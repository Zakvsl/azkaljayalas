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azkaljayav2\azkaljayalas2\python\"/>
    </mc:Choice>
  </mc:AlternateContent>
  <xr:revisionPtr revIDLastSave="0" documentId="13_ncr:1_{EA0B177B-EE51-4EDC-875A-947B4F218E6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 Order Bengkel" sheetId="1" r:id="rId1"/>
    <sheet name="Referensi Harga" sheetId="2" r:id="rId2"/>
    <sheet name="Ketebalan Material" sheetId="5" r:id="rId3"/>
    <sheet name="Profile Size" sheetId="4" r:id="rId4"/>
    <sheet name="Upah Tenaga Ahli" sheetId="6" r:id="rId5"/>
    <sheet name="Finishing" sheetId="7" r:id="rId6"/>
    <sheet name="Kerumitan" sheetId="8" r:id="rId7"/>
    <sheet name="Referensi Tambahan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9" i="1"/>
  <c r="T290" i="1"/>
  <c r="T291" i="1"/>
  <c r="T292" i="1"/>
  <c r="T293" i="1"/>
  <c r="T294" i="1"/>
  <c r="T295" i="1"/>
  <c r="T297" i="1"/>
  <c r="T298" i="1"/>
  <c r="T299" i="1"/>
  <c r="T300" i="1"/>
  <c r="T301" i="1"/>
  <c r="T302" i="1"/>
  <c r="T303" i="1"/>
  <c r="T305" i="1"/>
  <c r="T306" i="1"/>
  <c r="T307" i="1"/>
  <c r="T308" i="1"/>
  <c r="T309" i="1"/>
  <c r="T310" i="1"/>
  <c r="T311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8" i="1"/>
  <c r="T329" i="1"/>
  <c r="T330" i="1"/>
  <c r="T331" i="1"/>
  <c r="T332" i="1"/>
  <c r="T333" i="1"/>
  <c r="T336" i="1"/>
  <c r="T337" i="1"/>
  <c r="T339" i="1"/>
  <c r="T340" i="1"/>
  <c r="T341" i="1"/>
  <c r="T342" i="1"/>
  <c r="T343" i="1"/>
  <c r="T345" i="1"/>
  <c r="T346" i="1"/>
  <c r="T347" i="1"/>
  <c r="T348" i="1"/>
  <c r="T349" i="1"/>
  <c r="T350" i="1"/>
  <c r="T351" i="1"/>
  <c r="T353" i="1"/>
  <c r="T354" i="1"/>
  <c r="T355" i="1"/>
  <c r="T357" i="1"/>
  <c r="T358" i="1"/>
  <c r="T360" i="1"/>
  <c r="T361" i="1"/>
  <c r="T362" i="1"/>
  <c r="T365" i="1"/>
  <c r="T366" i="1"/>
  <c r="T367" i="1"/>
  <c r="T368" i="1"/>
  <c r="T369" i="1"/>
  <c r="T370" i="1"/>
  <c r="T374" i="1"/>
  <c r="T377" i="1"/>
  <c r="T378" i="1"/>
  <c r="T379" i="1"/>
  <c r="T382" i="1"/>
  <c r="T384" i="1"/>
  <c r="T385" i="1"/>
  <c r="T386" i="1"/>
  <c r="T388" i="1"/>
  <c r="T390" i="1"/>
  <c r="T391" i="1"/>
  <c r="T393" i="1"/>
  <c r="T394" i="1"/>
  <c r="T396" i="1"/>
  <c r="T398" i="1"/>
  <c r="T402" i="1"/>
  <c r="T404" i="1"/>
  <c r="T410" i="1"/>
  <c r="T416" i="1"/>
  <c r="T418" i="1"/>
  <c r="T419" i="1"/>
  <c r="T420" i="1"/>
  <c r="T421" i="1"/>
  <c r="T423" i="1"/>
  <c r="T426" i="1"/>
  <c r="T427" i="1"/>
  <c r="T428" i="1"/>
  <c r="T430" i="1"/>
  <c r="T432" i="1"/>
  <c r="T434" i="1"/>
  <c r="T442" i="1"/>
  <c r="T449" i="1"/>
  <c r="T450" i="1"/>
  <c r="T453" i="1"/>
  <c r="T458" i="1"/>
  <c r="T463" i="1"/>
  <c r="T465" i="1"/>
  <c r="T466" i="1"/>
  <c r="T468" i="1"/>
  <c r="T475" i="1"/>
  <c r="T477" i="1"/>
  <c r="T482" i="1"/>
  <c r="T490" i="1"/>
  <c r="T491" i="1"/>
  <c r="T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3" i="1"/>
  <c r="O2" i="1"/>
  <c r="N2" i="1" a="1"/>
  <c r="N2" i="1" s="1"/>
  <c r="P3" i="1" a="1"/>
  <c r="P3" i="1" s="1"/>
  <c r="M3" i="1" a="1"/>
  <c r="M3" i="1" s="1"/>
  <c r="M4" i="1" a="1"/>
  <c r="M4" i="1"/>
  <c r="M5" i="1" a="1"/>
  <c r="M5" i="1" s="1"/>
  <c r="M6" i="1" a="1"/>
  <c r="M6" i="1"/>
  <c r="M7" i="1" a="1"/>
  <c r="M7" i="1" s="1"/>
  <c r="M8" i="1" a="1"/>
  <c r="M8" i="1" s="1"/>
  <c r="M9" i="1" a="1"/>
  <c r="M9" i="1" s="1"/>
  <c r="M10" i="1" a="1"/>
  <c r="M10" i="1"/>
  <c r="M11" i="1" a="1"/>
  <c r="M11" i="1"/>
  <c r="M12" i="1" a="1"/>
  <c r="M12" i="1" s="1"/>
  <c r="P12" i="1" s="1" a="1"/>
  <c r="P12" i="1" s="1"/>
  <c r="M13" i="1" a="1"/>
  <c r="M13" i="1" s="1"/>
  <c r="M14" i="1" a="1"/>
  <c r="M14" i="1"/>
  <c r="M15" i="1" a="1"/>
  <c r="M15" i="1" s="1"/>
  <c r="P15" i="1" s="1" a="1"/>
  <c r="P15" i="1" s="1"/>
  <c r="M16" i="1" a="1"/>
  <c r="M16" i="1" s="1"/>
  <c r="P16" i="1" s="1" a="1"/>
  <c r="P16" i="1" s="1"/>
  <c r="M17" i="1" a="1"/>
  <c r="M17" i="1" s="1"/>
  <c r="M18" i="1" a="1"/>
  <c r="M18" i="1"/>
  <c r="M19" i="1" a="1"/>
  <c r="M19" i="1"/>
  <c r="M20" i="1" a="1"/>
  <c r="M20" i="1"/>
  <c r="M21" i="1" a="1"/>
  <c r="M21" i="1" s="1"/>
  <c r="M22" i="1" a="1"/>
  <c r="M22" i="1"/>
  <c r="M23" i="1" a="1"/>
  <c r="M23" i="1" s="1"/>
  <c r="P23" i="1" s="1" a="1"/>
  <c r="P23" i="1" s="1"/>
  <c r="M24" i="1" a="1"/>
  <c r="M24" i="1" s="1"/>
  <c r="P24" i="1" s="1" a="1"/>
  <c r="P24" i="1" s="1"/>
  <c r="M25" i="1" a="1"/>
  <c r="M25" i="1" s="1"/>
  <c r="M26" i="1" a="1"/>
  <c r="M26" i="1"/>
  <c r="M27" i="1" a="1"/>
  <c r="M27" i="1"/>
  <c r="M28" i="1" a="1"/>
  <c r="M28" i="1"/>
  <c r="M29" i="1" a="1"/>
  <c r="M29" i="1" s="1"/>
  <c r="M30" i="1" a="1"/>
  <c r="M30" i="1"/>
  <c r="M31" i="1" a="1"/>
  <c r="M31" i="1" s="1"/>
  <c r="P31" i="1" s="1" a="1"/>
  <c r="P31" i="1" s="1"/>
  <c r="M32" i="1" a="1"/>
  <c r="M32" i="1" s="1"/>
  <c r="M33" i="1" a="1"/>
  <c r="M33" i="1" s="1"/>
  <c r="M34" i="1" a="1"/>
  <c r="M34" i="1"/>
  <c r="P34" i="1" s="1" a="1"/>
  <c r="P34" i="1" s="1"/>
  <c r="M35" i="1" a="1"/>
  <c r="M35" i="1" s="1"/>
  <c r="P35" i="1" s="1" a="1"/>
  <c r="P35" i="1" s="1"/>
  <c r="M36" i="1" a="1"/>
  <c r="M36" i="1"/>
  <c r="M37" i="1" a="1"/>
  <c r="M37" i="1" s="1"/>
  <c r="M38" i="1" a="1"/>
  <c r="M38" i="1" s="1"/>
  <c r="P38" i="1" s="1" a="1"/>
  <c r="P38" i="1" s="1"/>
  <c r="M39" i="1" a="1"/>
  <c r="M39" i="1" s="1"/>
  <c r="M40" i="1" a="1"/>
  <c r="M40" i="1" s="1"/>
  <c r="M41" i="1" a="1"/>
  <c r="M41" i="1" s="1"/>
  <c r="M42" i="1" a="1"/>
  <c r="M42" i="1"/>
  <c r="M43" i="1" a="1"/>
  <c r="M43" i="1"/>
  <c r="M44" i="1" a="1"/>
  <c r="M44" i="1" s="1"/>
  <c r="P44" i="1" s="1" a="1"/>
  <c r="P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/>
  <c r="M51" i="1" a="1"/>
  <c r="M51" i="1"/>
  <c r="M52" i="1" a="1"/>
  <c r="M52" i="1"/>
  <c r="P52" i="1" s="1" a="1"/>
  <c r="P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P58" i="1" s="1" a="1"/>
  <c r="P58" i="1" s="1"/>
  <c r="M59" i="1" a="1"/>
  <c r="M59" i="1"/>
  <c r="M60" i="1" a="1"/>
  <c r="M60" i="1"/>
  <c r="M61" i="1" a="1"/>
  <c r="M61" i="1" s="1"/>
  <c r="M62" i="1" a="1"/>
  <c r="M62" i="1" s="1"/>
  <c r="M63" i="1" a="1"/>
  <c r="M63" i="1" s="1"/>
  <c r="P63" i="1" s="1" a="1"/>
  <c r="P63" i="1" s="1"/>
  <c r="M64" i="1" a="1"/>
  <c r="M64" i="1" s="1"/>
  <c r="P64" i="1" s="1" a="1"/>
  <c r="P64" i="1" s="1"/>
  <c r="M65" i="1" a="1"/>
  <c r="M65" i="1" s="1"/>
  <c r="M66" i="1" a="1"/>
  <c r="M66" i="1"/>
  <c r="M67" i="1" a="1"/>
  <c r="M67" i="1" s="1"/>
  <c r="M68" i="1" a="1"/>
  <c r="M68" i="1"/>
  <c r="M69" i="1" a="1"/>
  <c r="M69" i="1" s="1"/>
  <c r="M70" i="1" a="1"/>
  <c r="M70" i="1" s="1"/>
  <c r="M71" i="1" a="1"/>
  <c r="M71" i="1" s="1"/>
  <c r="P71" i="1" s="1" a="1"/>
  <c r="P71" i="1" s="1"/>
  <c r="M72" i="1" a="1"/>
  <c r="M72" i="1" s="1"/>
  <c r="P72" i="1" s="1" a="1"/>
  <c r="P72" i="1" s="1"/>
  <c r="M73" i="1" a="1"/>
  <c r="M73" i="1" s="1"/>
  <c r="M74" i="1" a="1"/>
  <c r="M74" i="1"/>
  <c r="M75" i="1" a="1"/>
  <c r="M75" i="1"/>
  <c r="M76" i="1" a="1"/>
  <c r="M76" i="1" s="1"/>
  <c r="M77" i="1" a="1"/>
  <c r="M77" i="1" s="1"/>
  <c r="M78" i="1" a="1"/>
  <c r="M78" i="1" s="1"/>
  <c r="M79" i="1" a="1"/>
  <c r="M79" i="1" s="1"/>
  <c r="P79" i="1" s="1" a="1"/>
  <c r="P79" i="1" s="1"/>
  <c r="M80" i="1" a="1"/>
  <c r="M80" i="1" s="1"/>
  <c r="P80" i="1" s="1" a="1"/>
  <c r="P80" i="1" s="1"/>
  <c r="M81" i="1" a="1"/>
  <c r="M81" i="1" s="1"/>
  <c r="M82" i="1" a="1"/>
  <c r="M82" i="1"/>
  <c r="M83" i="1" a="1"/>
  <c r="M83" i="1"/>
  <c r="M84" i="1" a="1"/>
  <c r="M84" i="1"/>
  <c r="M85" i="1" a="1"/>
  <c r="M85" i="1" s="1"/>
  <c r="M86" i="1" a="1"/>
  <c r="M86" i="1" s="1"/>
  <c r="M87" i="1" a="1"/>
  <c r="M87" i="1" s="1"/>
  <c r="P87" i="1" s="1" a="1"/>
  <c r="P87" i="1" s="1"/>
  <c r="M88" i="1" a="1"/>
  <c r="M88" i="1" s="1"/>
  <c r="P88" i="1" s="1" a="1"/>
  <c r="P88" i="1" s="1"/>
  <c r="M89" i="1" a="1"/>
  <c r="M89" i="1" s="1"/>
  <c r="P89" i="1" s="1" a="1"/>
  <c r="P89" i="1" s="1"/>
  <c r="M90" i="1" a="1"/>
  <c r="M90" i="1" s="1"/>
  <c r="P90" i="1" s="1" a="1"/>
  <c r="P90" i="1" s="1"/>
  <c r="M91" i="1" a="1"/>
  <c r="M91" i="1"/>
  <c r="M92" i="1" a="1"/>
  <c r="M92" i="1"/>
  <c r="M93" i="1" a="1"/>
  <c r="M93" i="1" s="1"/>
  <c r="M94" i="1" a="1"/>
  <c r="M94" i="1" s="1"/>
  <c r="M95" i="1" a="1"/>
  <c r="M95" i="1" s="1"/>
  <c r="P95" i="1" s="1" a="1"/>
  <c r="P95" i="1" s="1"/>
  <c r="M96" i="1" a="1"/>
  <c r="M96" i="1"/>
  <c r="M97" i="1" a="1"/>
  <c r="M97" i="1" s="1"/>
  <c r="M98" i="1" a="1"/>
  <c r="M98" i="1"/>
  <c r="M99" i="1" a="1"/>
  <c r="M99" i="1" s="1"/>
  <c r="M100" i="1" a="1"/>
  <c r="M100" i="1"/>
  <c r="M101" i="1" a="1"/>
  <c r="M101" i="1" s="1"/>
  <c r="M102" i="1" a="1"/>
  <c r="M102" i="1" s="1"/>
  <c r="M103" i="1" a="1"/>
  <c r="M103" i="1" s="1"/>
  <c r="P103" i="1" s="1" a="1"/>
  <c r="P103" i="1" s="1"/>
  <c r="M104" i="1" a="1"/>
  <c r="M104" i="1" s="1"/>
  <c r="M105" i="1" a="1"/>
  <c r="M105" i="1" s="1"/>
  <c r="M106" i="1" a="1"/>
  <c r="M106" i="1"/>
  <c r="M107" i="1" a="1"/>
  <c r="M107" i="1"/>
  <c r="M108" i="1" a="1"/>
  <c r="M108" i="1" s="1"/>
  <c r="M109" i="1" a="1"/>
  <c r="M109" i="1" s="1"/>
  <c r="M110" i="1" a="1"/>
  <c r="M110" i="1"/>
  <c r="M111" i="1" a="1"/>
  <c r="M111" i="1" s="1"/>
  <c r="P111" i="1" s="1" a="1"/>
  <c r="P111" i="1" s="1"/>
  <c r="M112" i="1" a="1"/>
  <c r="M112" i="1" s="1"/>
  <c r="M113" i="1" a="1"/>
  <c r="M113" i="1" s="1"/>
  <c r="M114" i="1" a="1"/>
  <c r="M114" i="1"/>
  <c r="M115" i="1" a="1"/>
  <c r="M115" i="1"/>
  <c r="M116" i="1" a="1"/>
  <c r="M116" i="1"/>
  <c r="M117" i="1" a="1"/>
  <c r="M117" i="1" s="1"/>
  <c r="M118" i="1" a="1"/>
  <c r="M118" i="1" s="1"/>
  <c r="M119" i="1" a="1"/>
  <c r="M119" i="1"/>
  <c r="M120" i="1" a="1"/>
  <c r="M120" i="1" s="1"/>
  <c r="M121" i="1" a="1"/>
  <c r="M121" i="1" s="1"/>
  <c r="M122" i="1" a="1"/>
  <c r="M122" i="1" s="1"/>
  <c r="P122" i="1" s="1" a="1"/>
  <c r="M123" i="1" a="1"/>
  <c r="M123" i="1"/>
  <c r="M124" i="1" a="1"/>
  <c r="M124" i="1"/>
  <c r="M125" i="1" a="1"/>
  <c r="M125" i="1" s="1"/>
  <c r="M126" i="1" a="1"/>
  <c r="M126" i="1" s="1"/>
  <c r="P126" i="1" s="1" a="1"/>
  <c r="P126" i="1" s="1"/>
  <c r="M127" i="1" a="1"/>
  <c r="M127" i="1" s="1"/>
  <c r="M128" i="1" a="1"/>
  <c r="M128" i="1"/>
  <c r="M129" i="1" a="1"/>
  <c r="M129" i="1" s="1"/>
  <c r="M130" i="1" a="1"/>
  <c r="M130" i="1"/>
  <c r="M131" i="1" a="1"/>
  <c r="M131" i="1" s="1"/>
  <c r="M132" i="1" a="1"/>
  <c r="M132" i="1"/>
  <c r="M133" i="1" a="1"/>
  <c r="M133" i="1" s="1"/>
  <c r="M134" i="1" a="1"/>
  <c r="M134" i="1" s="1"/>
  <c r="P134" i="1" s="1" a="1"/>
  <c r="P134" i="1" s="1"/>
  <c r="M135" i="1" a="1"/>
  <c r="M135" i="1" s="1"/>
  <c r="M136" i="1" a="1"/>
  <c r="M136" i="1" s="1"/>
  <c r="M137" i="1" a="1"/>
  <c r="M137" i="1" s="1"/>
  <c r="M138" i="1" a="1"/>
  <c r="M138" i="1"/>
  <c r="M139" i="1" a="1"/>
  <c r="M139" i="1"/>
  <c r="M140" i="1" a="1"/>
  <c r="M140" i="1" s="1"/>
  <c r="M141" i="1" a="1"/>
  <c r="M141" i="1" s="1"/>
  <c r="M142" i="1" a="1"/>
  <c r="M142" i="1"/>
  <c r="M143" i="1" a="1"/>
  <c r="M143" i="1" s="1"/>
  <c r="M144" i="1" a="1"/>
  <c r="M144" i="1" s="1"/>
  <c r="M145" i="1" a="1"/>
  <c r="M145" i="1" s="1"/>
  <c r="M146" i="1" a="1"/>
  <c r="M146" i="1"/>
  <c r="M147" i="1" a="1"/>
  <c r="M147" i="1"/>
  <c r="M148" i="1" a="1"/>
  <c r="M148" i="1"/>
  <c r="M149" i="1" a="1"/>
  <c r="M149" i="1" s="1"/>
  <c r="M150" i="1" a="1"/>
  <c r="M150" i="1" s="1"/>
  <c r="P150" i="1" s="1" a="1"/>
  <c r="M151" i="1" a="1"/>
  <c r="M151" i="1"/>
  <c r="M152" i="1" a="1"/>
  <c r="M152" i="1" s="1"/>
  <c r="P152" i="1" s="1" a="1"/>
  <c r="P152" i="1" s="1"/>
  <c r="M153" i="1" a="1"/>
  <c r="M153" i="1" s="1"/>
  <c r="M154" i="1" a="1"/>
  <c r="M154" i="1" s="1"/>
  <c r="M155" i="1" a="1"/>
  <c r="M155" i="1"/>
  <c r="M156" i="1" a="1"/>
  <c r="M156" i="1"/>
  <c r="M157" i="1" a="1"/>
  <c r="M157" i="1" s="1"/>
  <c r="M158" i="1" a="1"/>
  <c r="M158" i="1" s="1"/>
  <c r="M159" i="1" a="1"/>
  <c r="M159" i="1" s="1"/>
  <c r="M160" i="1" a="1"/>
  <c r="M160" i="1"/>
  <c r="M161" i="1" a="1"/>
  <c r="M161" i="1" s="1"/>
  <c r="M162" i="1" a="1"/>
  <c r="M162" i="1"/>
  <c r="M163" i="1" a="1"/>
  <c r="M163" i="1" s="1"/>
  <c r="M164" i="1" a="1"/>
  <c r="M164" i="1"/>
  <c r="M165" i="1" a="1"/>
  <c r="M165" i="1" s="1"/>
  <c r="M166" i="1" a="1"/>
  <c r="M166" i="1" s="1"/>
  <c r="M167" i="1" a="1"/>
  <c r="M167" i="1" s="1"/>
  <c r="M168" i="1" a="1"/>
  <c r="M168" i="1" s="1"/>
  <c r="P168" i="1" s="1" a="1"/>
  <c r="P168" i="1" s="1"/>
  <c r="M169" i="1" a="1"/>
  <c r="M169" i="1" s="1"/>
  <c r="M170" i="1" a="1"/>
  <c r="M170" i="1"/>
  <c r="M171" i="1" a="1"/>
  <c r="M171" i="1"/>
  <c r="M172" i="1" a="1"/>
  <c r="M172" i="1" s="1"/>
  <c r="M173" i="1" a="1"/>
  <c r="M173" i="1" s="1"/>
  <c r="M174" i="1" a="1"/>
  <c r="M174" i="1"/>
  <c r="M175" i="1" a="1"/>
  <c r="M175" i="1" s="1"/>
  <c r="P175" i="1" s="1" a="1"/>
  <c r="P175" i="1" s="1"/>
  <c r="M176" i="1" a="1"/>
  <c r="M176" i="1" s="1"/>
  <c r="M177" i="1" a="1"/>
  <c r="M177" i="1" s="1"/>
  <c r="M178" i="1" a="1"/>
  <c r="M178" i="1"/>
  <c r="M179" i="1" a="1"/>
  <c r="M179" i="1"/>
  <c r="M180" i="1" a="1"/>
  <c r="M180" i="1"/>
  <c r="M181" i="1" a="1"/>
  <c r="M181" i="1" s="1"/>
  <c r="M182" i="1" a="1"/>
  <c r="M182" i="1" s="1"/>
  <c r="M183" i="1" a="1"/>
  <c r="M183" i="1"/>
  <c r="M184" i="1" a="1"/>
  <c r="M184" i="1" s="1"/>
  <c r="M185" i="1" a="1"/>
  <c r="M185" i="1" s="1"/>
  <c r="M186" i="1" a="1"/>
  <c r="M186" i="1" s="1"/>
  <c r="M187" i="1" a="1"/>
  <c r="M187" i="1"/>
  <c r="M188" i="1" a="1"/>
  <c r="M188" i="1"/>
  <c r="M189" i="1" a="1"/>
  <c r="M189" i="1" s="1"/>
  <c r="M190" i="1" a="1"/>
  <c r="M190" i="1" s="1"/>
  <c r="M191" i="1" a="1"/>
  <c r="M191" i="1" s="1"/>
  <c r="M192" i="1" a="1"/>
  <c r="M192" i="1"/>
  <c r="M193" i="1" a="1"/>
  <c r="M193" i="1" s="1"/>
  <c r="M194" i="1" a="1"/>
  <c r="M194" i="1"/>
  <c r="M195" i="1" a="1"/>
  <c r="M195" i="1" s="1"/>
  <c r="M196" i="1" a="1"/>
  <c r="M196" i="1"/>
  <c r="M197" i="1" a="1"/>
  <c r="M197" i="1" s="1"/>
  <c r="M198" i="1" a="1"/>
  <c r="M198" i="1" s="1"/>
  <c r="P198" i="1" s="1" a="1"/>
  <c r="P198" i="1" s="1"/>
  <c r="M199" i="1" a="1"/>
  <c r="M199" i="1" s="1"/>
  <c r="M200" i="1" a="1"/>
  <c r="M200" i="1" s="1"/>
  <c r="M201" i="1" a="1"/>
  <c r="M201" i="1" s="1"/>
  <c r="M202" i="1" a="1"/>
  <c r="M202" i="1"/>
  <c r="M203" i="1" a="1"/>
  <c r="M203" i="1"/>
  <c r="M204" i="1" a="1"/>
  <c r="M204" i="1" s="1"/>
  <c r="M205" i="1" a="1"/>
  <c r="M205" i="1" s="1"/>
  <c r="M206" i="1" a="1"/>
  <c r="M206" i="1"/>
  <c r="M207" i="1" a="1"/>
  <c r="M207" i="1" s="1"/>
  <c r="M208" i="1" a="1"/>
  <c r="M208" i="1" s="1"/>
  <c r="M209" i="1" a="1"/>
  <c r="M209" i="1" s="1"/>
  <c r="M210" i="1" a="1"/>
  <c r="M210" i="1"/>
  <c r="M211" i="1" a="1"/>
  <c r="M211" i="1"/>
  <c r="M212" i="1" a="1"/>
  <c r="M212" i="1"/>
  <c r="M213" i="1" a="1"/>
  <c r="M213" i="1" s="1"/>
  <c r="M214" i="1" a="1"/>
  <c r="M214" i="1" s="1"/>
  <c r="M215" i="1" a="1"/>
  <c r="M215" i="1"/>
  <c r="M216" i="1" a="1"/>
  <c r="M216" i="1" s="1"/>
  <c r="M217" i="1" a="1"/>
  <c r="M217" i="1" s="1"/>
  <c r="M218" i="1" a="1"/>
  <c r="M218" i="1" s="1"/>
  <c r="M219" i="1" a="1"/>
  <c r="M219" i="1"/>
  <c r="M220" i="1" a="1"/>
  <c r="M220" i="1"/>
  <c r="M221" i="1" a="1"/>
  <c r="M221" i="1" s="1"/>
  <c r="M222" i="1" a="1"/>
  <c r="M222" i="1" s="1"/>
  <c r="M223" i="1" a="1"/>
  <c r="M223" i="1" s="1"/>
  <c r="M224" i="1" a="1"/>
  <c r="M224" i="1"/>
  <c r="M225" i="1" a="1"/>
  <c r="M225" i="1" s="1"/>
  <c r="M226" i="1" a="1"/>
  <c r="M226" i="1"/>
  <c r="M227" i="1" a="1"/>
  <c r="M227" i="1" s="1"/>
  <c r="M228" i="1" a="1"/>
  <c r="M228" i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/>
  <c r="M235" i="1" a="1"/>
  <c r="M235" i="1"/>
  <c r="M236" i="1" a="1"/>
  <c r="M236" i="1" s="1"/>
  <c r="P236" i="1" s="1" a="1"/>
  <c r="P236" i="1" s="1"/>
  <c r="M237" i="1" a="1"/>
  <c r="M237" i="1" s="1"/>
  <c r="M238" i="1" a="1"/>
  <c r="M238" i="1"/>
  <c r="M239" i="1" a="1"/>
  <c r="M239" i="1" s="1"/>
  <c r="M240" i="1" a="1"/>
  <c r="M240" i="1" s="1"/>
  <c r="M241" i="1" a="1"/>
  <c r="M241" i="1" s="1"/>
  <c r="M242" i="1" a="1"/>
  <c r="M242" i="1"/>
  <c r="M243" i="1" a="1"/>
  <c r="M243" i="1"/>
  <c r="M244" i="1" a="1"/>
  <c r="M244" i="1"/>
  <c r="M245" i="1" a="1"/>
  <c r="M245" i="1" s="1"/>
  <c r="M246" i="1" a="1"/>
  <c r="M246" i="1" s="1"/>
  <c r="M247" i="1" a="1"/>
  <c r="M247" i="1"/>
  <c r="M248" i="1" a="1"/>
  <c r="M248" i="1" s="1"/>
  <c r="M249" i="1" a="1"/>
  <c r="M249" i="1" s="1"/>
  <c r="M250" i="1" a="1"/>
  <c r="M250" i="1" s="1"/>
  <c r="M251" i="1" a="1"/>
  <c r="M251" i="1"/>
  <c r="M252" i="1" a="1"/>
  <c r="M252" i="1"/>
  <c r="M253" i="1" a="1"/>
  <c r="M253" i="1" s="1"/>
  <c r="M254" i="1" a="1"/>
  <c r="M254" i="1" s="1"/>
  <c r="M255" i="1" a="1"/>
  <c r="M255" i="1" s="1"/>
  <c r="M256" i="1" a="1"/>
  <c r="M256" i="1"/>
  <c r="M257" i="1" a="1"/>
  <c r="M257" i="1" s="1"/>
  <c r="M258" i="1" a="1"/>
  <c r="M258" i="1"/>
  <c r="M259" i="1" a="1"/>
  <c r="M259" i="1" s="1"/>
  <c r="P259" i="1" s="1" a="1"/>
  <c r="P259" i="1" s="1"/>
  <c r="M260" i="1" a="1"/>
  <c r="M260" i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/>
  <c r="M267" i="1" a="1"/>
  <c r="M267" i="1"/>
  <c r="M268" i="1" a="1"/>
  <c r="M268" i="1" s="1"/>
  <c r="M269" i="1" a="1"/>
  <c r="M269" i="1" s="1"/>
  <c r="M270" i="1" a="1"/>
  <c r="M270" i="1"/>
  <c r="M271" i="1" a="1"/>
  <c r="M271" i="1" s="1"/>
  <c r="M272" i="1" a="1"/>
  <c r="M272" i="1" s="1"/>
  <c r="M273" i="1" a="1"/>
  <c r="M273" i="1" s="1"/>
  <c r="M274" i="1" a="1"/>
  <c r="M274" i="1"/>
  <c r="M275" i="1" a="1"/>
  <c r="M275" i="1"/>
  <c r="M276" i="1" a="1"/>
  <c r="M276" i="1"/>
  <c r="M277" i="1" a="1"/>
  <c r="M277" i="1" s="1"/>
  <c r="M278" i="1" a="1"/>
  <c r="M278" i="1" s="1"/>
  <c r="M279" i="1" a="1"/>
  <c r="M279" i="1"/>
  <c r="M280" i="1" a="1"/>
  <c r="M280" i="1" s="1"/>
  <c r="M281" i="1" a="1"/>
  <c r="M281" i="1" s="1"/>
  <c r="M282" i="1" a="1"/>
  <c r="M282" i="1" s="1"/>
  <c r="P282" i="1" s="1" a="1"/>
  <c r="P282" i="1" s="1"/>
  <c r="M283" i="1" a="1"/>
  <c r="M283" i="1"/>
  <c r="M284" i="1" a="1"/>
  <c r="M284" i="1"/>
  <c r="M285" i="1" a="1"/>
  <c r="M285" i="1" s="1"/>
  <c r="M286" i="1" a="1"/>
  <c r="M286" i="1" s="1"/>
  <c r="M287" i="1" a="1"/>
  <c r="M287" i="1" s="1"/>
  <c r="M288" i="1" a="1"/>
  <c r="M288" i="1"/>
  <c r="M289" i="1" a="1"/>
  <c r="M289" i="1" s="1"/>
  <c r="M290" i="1" a="1"/>
  <c r="M290" i="1"/>
  <c r="M291" i="1" a="1"/>
  <c r="M291" i="1" s="1"/>
  <c r="M292" i="1" a="1"/>
  <c r="M292" i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/>
  <c r="M299" i="1" a="1"/>
  <c r="M299" i="1"/>
  <c r="M300" i="1" a="1"/>
  <c r="M300" i="1" s="1"/>
  <c r="M301" i="1" a="1"/>
  <c r="M301" i="1" s="1"/>
  <c r="M302" i="1" a="1"/>
  <c r="M302" i="1"/>
  <c r="M303" i="1" a="1"/>
  <c r="M303" i="1" s="1"/>
  <c r="M304" i="1" a="1"/>
  <c r="M304" i="1" s="1"/>
  <c r="M305" i="1" a="1"/>
  <c r="M305" i="1" s="1"/>
  <c r="M306" i="1" a="1"/>
  <c r="M306" i="1"/>
  <c r="M307" i="1" a="1"/>
  <c r="M307" i="1"/>
  <c r="M308" i="1" a="1"/>
  <c r="M308" i="1"/>
  <c r="M309" i="1" a="1"/>
  <c r="M309" i="1" s="1"/>
  <c r="M310" i="1" a="1"/>
  <c r="M310" i="1" s="1"/>
  <c r="M311" i="1" a="1"/>
  <c r="M311" i="1"/>
  <c r="M312" i="1" a="1"/>
  <c r="M312" i="1" s="1"/>
  <c r="M313" i="1" a="1"/>
  <c r="M313" i="1" s="1"/>
  <c r="M314" i="1" a="1"/>
  <c r="M314" i="1" s="1"/>
  <c r="M315" i="1" a="1"/>
  <c r="M315" i="1"/>
  <c r="M316" i="1" a="1"/>
  <c r="M316" i="1"/>
  <c r="M317" i="1" a="1"/>
  <c r="M317" i="1" s="1"/>
  <c r="M318" i="1" a="1"/>
  <c r="M318" i="1" s="1"/>
  <c r="M319" i="1" a="1"/>
  <c r="M319" i="1" s="1"/>
  <c r="M320" i="1" a="1"/>
  <c r="M320" i="1"/>
  <c r="M321" i="1" a="1"/>
  <c r="M321" i="1" s="1"/>
  <c r="M322" i="1" a="1"/>
  <c r="M322" i="1"/>
  <c r="M323" i="1" a="1"/>
  <c r="M323" i="1" s="1"/>
  <c r="M324" i="1" a="1"/>
  <c r="M324" i="1"/>
  <c r="M325" i="1" a="1"/>
  <c r="M325" i="1" s="1"/>
  <c r="M326" i="1" a="1"/>
  <c r="M326" i="1" s="1"/>
  <c r="M327" i="1" a="1"/>
  <c r="M327" i="1" s="1"/>
  <c r="M328" i="1" a="1"/>
  <c r="M328" i="1" s="1"/>
  <c r="M329" i="1" a="1"/>
  <c r="M329" i="1" s="1"/>
  <c r="M330" i="1" a="1"/>
  <c r="M330" i="1"/>
  <c r="M331" i="1" a="1"/>
  <c r="M331" i="1"/>
  <c r="M332" i="1" a="1"/>
  <c r="M332" i="1" s="1"/>
  <c r="M333" i="1" a="1"/>
  <c r="M333" i="1" s="1"/>
  <c r="M334" i="1" a="1"/>
  <c r="M334" i="1"/>
  <c r="M335" i="1" a="1"/>
  <c r="M335" i="1" s="1"/>
  <c r="M336" i="1" a="1"/>
  <c r="M336" i="1" s="1"/>
  <c r="M337" i="1" a="1"/>
  <c r="M337" i="1" s="1"/>
  <c r="M338" i="1" a="1"/>
  <c r="M338" i="1"/>
  <c r="M339" i="1" a="1"/>
  <c r="M339" i="1"/>
  <c r="M340" i="1" a="1"/>
  <c r="M340" i="1"/>
  <c r="M341" i="1" a="1"/>
  <c r="M341" i="1" s="1"/>
  <c r="M342" i="1" a="1"/>
  <c r="M342" i="1" s="1"/>
  <c r="M343" i="1" a="1"/>
  <c r="M343" i="1"/>
  <c r="M344" i="1" a="1"/>
  <c r="M344" i="1" s="1"/>
  <c r="M345" i="1" a="1"/>
  <c r="M345" i="1" s="1"/>
  <c r="M346" i="1" a="1"/>
  <c r="M346" i="1" s="1"/>
  <c r="M347" i="1" a="1"/>
  <c r="M347" i="1"/>
  <c r="M348" i="1" a="1"/>
  <c r="M348" i="1" s="1"/>
  <c r="M349" i="1" a="1"/>
  <c r="M349" i="1" s="1"/>
  <c r="M350" i="1" a="1"/>
  <c r="M350" i="1" s="1"/>
  <c r="M351" i="1" a="1"/>
  <c r="M351" i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 s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 s="1"/>
  <c r="M475" i="1" a="1"/>
  <c r="M475" i="1" s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 s="1"/>
  <c r="M2" i="1" a="1"/>
  <c r="M2" i="1" s="1"/>
  <c r="P11" i="1" a="1"/>
  <c r="P11" i="1" s="1"/>
  <c r="P13" i="1" a="1"/>
  <c r="P13" i="1" s="1"/>
  <c r="P14" i="1" a="1"/>
  <c r="P14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2" i="1" a="1"/>
  <c r="P32" i="1" s="1"/>
  <c r="P33" i="1" a="1"/>
  <c r="P33" i="1" s="1"/>
  <c r="P36" i="1" a="1"/>
  <c r="P36" i="1" s="1"/>
  <c r="P37" i="1" a="1"/>
  <c r="P37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3" i="1" a="1"/>
  <c r="P53" i="1" s="1"/>
  <c r="P54" i="1" a="1"/>
  <c r="P54" i="1"/>
  <c r="P55" i="1" a="1"/>
  <c r="P55" i="1" s="1"/>
  <c r="P56" i="1" a="1"/>
  <c r="P56" i="1" s="1"/>
  <c r="P57" i="1" a="1"/>
  <c r="P57" i="1" s="1"/>
  <c r="P59" i="1" a="1"/>
  <c r="P59" i="1" s="1"/>
  <c r="P60" i="1" a="1"/>
  <c r="P60" i="1"/>
  <c r="P61" i="1" a="1"/>
  <c r="P61" i="1" s="1"/>
  <c r="P62" i="1" a="1"/>
  <c r="P62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91" i="1" a="1"/>
  <c r="P91" i="1" s="1"/>
  <c r="P92" i="1" a="1"/>
  <c r="P92" i="1" s="1"/>
  <c r="P93" i="1" a="1"/>
  <c r="P93" i="1" s="1"/>
  <c r="P94" i="1" a="1"/>
  <c r="P94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P102" i="1" a="1"/>
  <c r="P102" i="1" s="1"/>
  <c r="P104" i="1" a="1"/>
  <c r="P104" i="1" s="1"/>
  <c r="P105" i="1" a="1"/>
  <c r="P105" i="1" s="1"/>
  <c r="P106" i="1" a="1"/>
  <c r="P106" i="1" s="1"/>
  <c r="P107" i="1" a="1"/>
  <c r="P107" i="1" s="1"/>
  <c r="P108" i="1" a="1"/>
  <c r="P108" i="1" s="1"/>
  <c r="P109" i="1" a="1"/>
  <c r="P109" i="1" s="1"/>
  <c r="P110" i="1" a="1"/>
  <c r="P110" i="1" s="1"/>
  <c r="P112" i="1" a="1"/>
  <c r="P112" i="1" s="1"/>
  <c r="P113" i="1" a="1"/>
  <c r="P113" i="1" s="1"/>
  <c r="P114" i="1" a="1"/>
  <c r="P114" i="1" s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/>
  <c r="P123" i="1" a="1"/>
  <c r="P123" i="1" s="1"/>
  <c r="P124" i="1" a="1"/>
  <c r="P124" i="1" s="1"/>
  <c r="P125" i="1" a="1"/>
  <c r="P125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5" i="1" a="1"/>
  <c r="P135" i="1" s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P141" i="1" a="1"/>
  <c r="P141" i="1" s="1"/>
  <c r="P142" i="1" a="1"/>
  <c r="P142" i="1" s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 s="1"/>
  <c r="P149" i="1" a="1"/>
  <c r="P149" i="1" s="1"/>
  <c r="P150" i="1"/>
  <c r="P151" i="1" a="1"/>
  <c r="P151" i="1" s="1"/>
  <c r="P153" i="1" a="1"/>
  <c r="P153" i="1" s="1"/>
  <c r="P154" i="1" a="1"/>
  <c r="P154" i="1" s="1"/>
  <c r="P155" i="1" a="1"/>
  <c r="P155" i="1" s="1"/>
  <c r="P156" i="1" a="1"/>
  <c r="P156" i="1" s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 s="1"/>
  <c r="P163" i="1" a="1"/>
  <c r="P163" i="1" s="1"/>
  <c r="P164" i="1" a="1"/>
  <c r="P164" i="1" s="1"/>
  <c r="P165" i="1" a="1"/>
  <c r="P165" i="1" s="1"/>
  <c r="P166" i="1" a="1"/>
  <c r="P166" i="1" s="1"/>
  <c r="P167" i="1" a="1"/>
  <c r="P167" i="1" s="1"/>
  <c r="P169" i="1" a="1"/>
  <c r="P169" i="1" s="1"/>
  <c r="P170" i="1" a="1"/>
  <c r="P170" i="1" s="1"/>
  <c r="P171" i="1" a="1"/>
  <c r="P171" i="1" s="1"/>
  <c r="P172" i="1" a="1"/>
  <c r="P172" i="1" s="1"/>
  <c r="P173" i="1" a="1"/>
  <c r="P173" i="1" s="1"/>
  <c r="P174" i="1" a="1"/>
  <c r="P174" i="1"/>
  <c r="P176" i="1" a="1"/>
  <c r="P176" i="1" s="1"/>
  <c r="P177" i="1" a="1"/>
  <c r="P177" i="1" s="1"/>
  <c r="P178" i="1" a="1"/>
  <c r="P178" i="1" s="1"/>
  <c r="P179" i="1" a="1"/>
  <c r="P179" i="1" s="1"/>
  <c r="P180" i="1" a="1"/>
  <c r="P180" i="1" s="1"/>
  <c r="P181" i="1" a="1"/>
  <c r="P181" i="1" s="1"/>
  <c r="P182" i="1" a="1"/>
  <c r="P182" i="1" s="1"/>
  <c r="P183" i="1" a="1"/>
  <c r="P183" i="1" s="1"/>
  <c r="P184" i="1" a="1"/>
  <c r="P184" i="1" s="1"/>
  <c r="P185" i="1" a="1"/>
  <c r="P185" i="1" s="1"/>
  <c r="P186" i="1" a="1"/>
  <c r="P186" i="1" s="1"/>
  <c r="P187" i="1" a="1"/>
  <c r="P187" i="1" s="1"/>
  <c r="P188" i="1" a="1"/>
  <c r="P188" i="1" s="1"/>
  <c r="P189" i="1" a="1"/>
  <c r="P189" i="1" s="1"/>
  <c r="P190" i="1" a="1"/>
  <c r="P190" i="1" s="1"/>
  <c r="P191" i="1" a="1"/>
  <c r="P191" i="1" s="1"/>
  <c r="P192" i="1" a="1"/>
  <c r="P192" i="1" s="1"/>
  <c r="P193" i="1" a="1"/>
  <c r="P193" i="1" s="1"/>
  <c r="P194" i="1" a="1"/>
  <c r="P194" i="1" s="1"/>
  <c r="P195" i="1" a="1"/>
  <c r="P195" i="1" s="1"/>
  <c r="P196" i="1" a="1"/>
  <c r="P196" i="1" s="1"/>
  <c r="P197" i="1" a="1"/>
  <c r="P197" i="1" s="1"/>
  <c r="P199" i="1" a="1"/>
  <c r="P199" i="1" s="1"/>
  <c r="P200" i="1" a="1"/>
  <c r="P200" i="1"/>
  <c r="P201" i="1" a="1"/>
  <c r="P201" i="1" s="1"/>
  <c r="P202" i="1" a="1"/>
  <c r="P202" i="1" s="1"/>
  <c r="P203" i="1" a="1"/>
  <c r="P203" i="1" s="1"/>
  <c r="P204" i="1" a="1"/>
  <c r="P204" i="1" s="1"/>
  <c r="P205" i="1" a="1"/>
  <c r="P205" i="1" s="1"/>
  <c r="P206" i="1" a="1"/>
  <c r="P206" i="1" s="1"/>
  <c r="P207" i="1" a="1"/>
  <c r="P207" i="1" s="1"/>
  <c r="P208" i="1" a="1"/>
  <c r="P208" i="1" s="1"/>
  <c r="P209" i="1" a="1"/>
  <c r="P209" i="1" s="1"/>
  <c r="P210" i="1" a="1"/>
  <c r="P210" i="1" s="1"/>
  <c r="P211" i="1" a="1"/>
  <c r="P211" i="1" s="1"/>
  <c r="P212" i="1" a="1"/>
  <c r="P212" i="1" s="1"/>
  <c r="P213" i="1" a="1"/>
  <c r="P213" i="1" s="1"/>
  <c r="P214" i="1" a="1"/>
  <c r="P214" i="1" s="1"/>
  <c r="P215" i="1" a="1"/>
  <c r="P215" i="1" s="1"/>
  <c r="P216" i="1" a="1"/>
  <c r="P216" i="1"/>
  <c r="P217" i="1" a="1"/>
  <c r="P217" i="1" s="1"/>
  <c r="P218" i="1" a="1"/>
  <c r="P218" i="1" s="1"/>
  <c r="P219" i="1" a="1"/>
  <c r="P219" i="1" s="1"/>
  <c r="P220" i="1" a="1"/>
  <c r="P220" i="1" s="1"/>
  <c r="P221" i="1" a="1"/>
  <c r="P221" i="1" s="1"/>
  <c r="P222" i="1" a="1"/>
  <c r="P222" i="1" s="1"/>
  <c r="P223" i="1" a="1"/>
  <c r="P223" i="1" s="1"/>
  <c r="P224" i="1" a="1"/>
  <c r="P224" i="1" s="1"/>
  <c r="P225" i="1" a="1"/>
  <c r="P225" i="1" s="1"/>
  <c r="P226" i="1" a="1"/>
  <c r="P226" i="1" s="1"/>
  <c r="P227" i="1" a="1"/>
  <c r="P227" i="1" s="1"/>
  <c r="P228" i="1" a="1"/>
  <c r="P228" i="1" s="1"/>
  <c r="P229" i="1" a="1"/>
  <c r="P229" i="1" s="1"/>
  <c r="P230" i="1" a="1"/>
  <c r="P230" i="1" s="1"/>
  <c r="P231" i="1" a="1"/>
  <c r="P231" i="1" s="1"/>
  <c r="P232" i="1" a="1"/>
  <c r="P232" i="1" s="1"/>
  <c r="P233" i="1" a="1"/>
  <c r="P233" i="1" s="1"/>
  <c r="P234" i="1" a="1"/>
  <c r="P234" i="1" s="1"/>
  <c r="P235" i="1" a="1"/>
  <c r="P235" i="1" s="1"/>
  <c r="P237" i="1" a="1"/>
  <c r="P237" i="1" s="1"/>
  <c r="P238" i="1" a="1"/>
  <c r="P238" i="1" s="1"/>
  <c r="P239" i="1" a="1"/>
  <c r="P239" i="1" s="1"/>
  <c r="P240" i="1" a="1"/>
  <c r="P240" i="1" s="1"/>
  <c r="P241" i="1" a="1"/>
  <c r="P241" i="1" s="1"/>
  <c r="P242" i="1" a="1"/>
  <c r="P242" i="1" s="1"/>
  <c r="P243" i="1" a="1"/>
  <c r="P243" i="1" s="1"/>
  <c r="P244" i="1" a="1"/>
  <c r="P244" i="1" s="1"/>
  <c r="P245" i="1" a="1"/>
  <c r="P245" i="1" s="1"/>
  <c r="P246" i="1" a="1"/>
  <c r="P246" i="1"/>
  <c r="P247" i="1" a="1"/>
  <c r="P247" i="1" s="1"/>
  <c r="P248" i="1" a="1"/>
  <c r="P248" i="1" s="1"/>
  <c r="P249" i="1" a="1"/>
  <c r="P249" i="1" s="1"/>
  <c r="P250" i="1" a="1"/>
  <c r="P250" i="1" s="1"/>
  <c r="P251" i="1" a="1"/>
  <c r="P251" i="1" s="1"/>
  <c r="P252" i="1" a="1"/>
  <c r="P252" i="1" s="1"/>
  <c r="P253" i="1" a="1"/>
  <c r="P253" i="1" s="1"/>
  <c r="P254" i="1" a="1"/>
  <c r="P254" i="1" s="1"/>
  <c r="P255" i="1" a="1"/>
  <c r="P255" i="1" s="1"/>
  <c r="P256" i="1" a="1"/>
  <c r="P256" i="1" s="1"/>
  <c r="P257" i="1" a="1"/>
  <c r="P257" i="1" s="1"/>
  <c r="P258" i="1" a="1"/>
  <c r="P258" i="1" s="1"/>
  <c r="P260" i="1" a="1"/>
  <c r="P260" i="1" s="1"/>
  <c r="P261" i="1" a="1"/>
  <c r="P261" i="1" s="1"/>
  <c r="P262" i="1" a="1"/>
  <c r="P262" i="1"/>
  <c r="P263" i="1" a="1"/>
  <c r="P263" i="1" s="1"/>
  <c r="P264" i="1" a="1"/>
  <c r="P264" i="1" s="1"/>
  <c r="P265" i="1" a="1"/>
  <c r="P265" i="1" s="1"/>
  <c r="P266" i="1" a="1"/>
  <c r="P266" i="1" s="1"/>
  <c r="P267" i="1" a="1"/>
  <c r="P267" i="1" s="1"/>
  <c r="P268" i="1" a="1"/>
  <c r="P268" i="1" s="1"/>
  <c r="P269" i="1" a="1"/>
  <c r="P269" i="1" s="1"/>
  <c r="P270" i="1" a="1"/>
  <c r="P270" i="1" s="1"/>
  <c r="P271" i="1" a="1"/>
  <c r="P271" i="1" s="1"/>
  <c r="P272" i="1" a="1"/>
  <c r="P272" i="1" s="1"/>
  <c r="P273" i="1" a="1"/>
  <c r="P273" i="1" s="1"/>
  <c r="P274" i="1" a="1"/>
  <c r="P274" i="1" s="1"/>
  <c r="P275" i="1" a="1"/>
  <c r="P275" i="1" s="1"/>
  <c r="P276" i="1" a="1"/>
  <c r="P276" i="1" s="1"/>
  <c r="P277" i="1" a="1"/>
  <c r="P277" i="1" s="1"/>
  <c r="P278" i="1" a="1"/>
  <c r="P278" i="1" s="1"/>
  <c r="P279" i="1" a="1"/>
  <c r="P279" i="1" s="1"/>
  <c r="P280" i="1" a="1"/>
  <c r="P280" i="1" s="1"/>
  <c r="P281" i="1" a="1"/>
  <c r="P281" i="1" s="1"/>
  <c r="P283" i="1" a="1"/>
  <c r="P283" i="1" s="1"/>
  <c r="P284" i="1" a="1"/>
  <c r="P284" i="1" s="1"/>
  <c r="P285" i="1" a="1"/>
  <c r="P285" i="1" s="1"/>
  <c r="P286" i="1" a="1"/>
  <c r="P286" i="1"/>
  <c r="P287" i="1" a="1"/>
  <c r="P287" i="1" s="1"/>
  <c r="P288" i="1" a="1"/>
  <c r="P288" i="1" s="1"/>
  <c r="P289" i="1" a="1"/>
  <c r="P289" i="1" s="1"/>
  <c r="P290" i="1" a="1"/>
  <c r="P290" i="1" s="1"/>
  <c r="P291" i="1" a="1"/>
  <c r="P291" i="1" s="1"/>
  <c r="P292" i="1" a="1"/>
  <c r="P292" i="1" s="1"/>
  <c r="P293" i="1" a="1"/>
  <c r="P293" i="1" s="1"/>
  <c r="P294" i="1" a="1"/>
  <c r="P294" i="1" s="1"/>
  <c r="P295" i="1" a="1"/>
  <c r="P295" i="1" s="1"/>
  <c r="P296" i="1" a="1"/>
  <c r="P296" i="1" s="1"/>
  <c r="P297" i="1" a="1"/>
  <c r="P297" i="1" s="1"/>
  <c r="P298" i="1" a="1"/>
  <c r="P298" i="1" s="1"/>
  <c r="P299" i="1" a="1"/>
  <c r="P299" i="1" s="1"/>
  <c r="P300" i="1" a="1"/>
  <c r="P300" i="1" s="1"/>
  <c r="P301" i="1" a="1"/>
  <c r="P301" i="1" s="1"/>
  <c r="P302" i="1" a="1"/>
  <c r="P302" i="1" s="1"/>
  <c r="P303" i="1" a="1"/>
  <c r="P303" i="1" s="1"/>
  <c r="P304" i="1" a="1"/>
  <c r="P304" i="1" s="1"/>
  <c r="P305" i="1" a="1"/>
  <c r="P305" i="1" s="1"/>
  <c r="P306" i="1" a="1"/>
  <c r="P306" i="1" s="1"/>
  <c r="P307" i="1" a="1"/>
  <c r="P307" i="1" s="1"/>
  <c r="P308" i="1" a="1"/>
  <c r="P308" i="1" s="1"/>
  <c r="P309" i="1" a="1"/>
  <c r="P309" i="1" s="1"/>
  <c r="P310" i="1" a="1"/>
  <c r="P310" i="1" s="1"/>
  <c r="P311" i="1" a="1"/>
  <c r="P311" i="1" s="1"/>
  <c r="P312" i="1" a="1"/>
  <c r="P312" i="1" s="1"/>
  <c r="P313" i="1" a="1"/>
  <c r="P313" i="1" s="1"/>
  <c r="P314" i="1" a="1"/>
  <c r="P314" i="1" s="1"/>
  <c r="P315" i="1" a="1"/>
  <c r="P315" i="1" s="1"/>
  <c r="P316" i="1" a="1"/>
  <c r="P316" i="1" s="1"/>
  <c r="P317" i="1" a="1"/>
  <c r="P317" i="1" s="1"/>
  <c r="P318" i="1" a="1"/>
  <c r="P318" i="1" s="1"/>
  <c r="P319" i="1" a="1"/>
  <c r="P319" i="1" s="1"/>
  <c r="P320" i="1" a="1"/>
  <c r="P320" i="1" s="1"/>
  <c r="P321" i="1" a="1"/>
  <c r="P321" i="1" s="1"/>
  <c r="P322" i="1" a="1"/>
  <c r="P322" i="1" s="1"/>
  <c r="P323" i="1" a="1"/>
  <c r="P323" i="1" s="1"/>
  <c r="P324" i="1" a="1"/>
  <c r="P324" i="1" s="1"/>
  <c r="P325" i="1" a="1"/>
  <c r="P325" i="1" s="1"/>
  <c r="P326" i="1" a="1"/>
  <c r="P326" i="1"/>
  <c r="P327" i="1" a="1"/>
  <c r="P327" i="1" s="1"/>
  <c r="P328" i="1" a="1"/>
  <c r="P328" i="1" s="1"/>
  <c r="P329" i="1" a="1"/>
  <c r="P329" i="1" s="1"/>
  <c r="P330" i="1" a="1"/>
  <c r="P330" i="1" s="1"/>
  <c r="P331" i="1" a="1"/>
  <c r="P331" i="1" s="1"/>
  <c r="P332" i="1" a="1"/>
  <c r="P332" i="1" s="1"/>
  <c r="P333" i="1" a="1"/>
  <c r="P333" i="1" s="1"/>
  <c r="P334" i="1" a="1"/>
  <c r="P334" i="1" s="1"/>
  <c r="P335" i="1" a="1"/>
  <c r="P335" i="1" s="1"/>
  <c r="P336" i="1" a="1"/>
  <c r="P336" i="1" s="1"/>
  <c r="P337" i="1" a="1"/>
  <c r="P337" i="1" s="1"/>
  <c r="P338" i="1" a="1"/>
  <c r="P338" i="1" s="1"/>
  <c r="P339" i="1" a="1"/>
  <c r="P339" i="1" s="1"/>
  <c r="P340" i="1" a="1"/>
  <c r="P340" i="1" s="1"/>
  <c r="P341" i="1" a="1"/>
  <c r="P341" i="1" s="1"/>
  <c r="P342" i="1" a="1"/>
  <c r="P342" i="1" s="1"/>
  <c r="P343" i="1" a="1"/>
  <c r="P343" i="1" s="1"/>
  <c r="P344" i="1" a="1"/>
  <c r="P344" i="1" s="1"/>
  <c r="P345" i="1" a="1"/>
  <c r="P345" i="1" s="1"/>
  <c r="P346" i="1" a="1"/>
  <c r="P346" i="1" s="1"/>
  <c r="P347" i="1" a="1"/>
  <c r="P347" i="1" s="1"/>
  <c r="P348" i="1" a="1"/>
  <c r="P348" i="1" s="1"/>
  <c r="P349" i="1" a="1"/>
  <c r="P349" i="1" s="1"/>
  <c r="P350" i="1" a="1"/>
  <c r="P350" i="1" s="1"/>
  <c r="P351" i="1" a="1"/>
  <c r="P351" i="1" s="1"/>
  <c r="P352" i="1" a="1"/>
  <c r="P352" i="1" s="1"/>
  <c r="P353" i="1" a="1"/>
  <c r="P353" i="1" s="1"/>
  <c r="P354" i="1" a="1"/>
  <c r="P354" i="1" s="1"/>
  <c r="P355" i="1" a="1"/>
  <c r="P355" i="1" s="1"/>
  <c r="P356" i="1" a="1"/>
  <c r="P356" i="1" s="1"/>
  <c r="P357" i="1" a="1"/>
  <c r="P357" i="1" s="1"/>
  <c r="P358" i="1" a="1"/>
  <c r="P358" i="1" s="1"/>
  <c r="P359" i="1" a="1"/>
  <c r="P359" i="1" s="1"/>
  <c r="P360" i="1" a="1"/>
  <c r="P360" i="1" s="1"/>
  <c r="P361" i="1" a="1"/>
  <c r="P361" i="1" s="1"/>
  <c r="P362" i="1" a="1"/>
  <c r="P362" i="1" s="1"/>
  <c r="P363" i="1" a="1"/>
  <c r="P363" i="1" s="1"/>
  <c r="P364" i="1" a="1"/>
  <c r="P364" i="1" s="1"/>
  <c r="P365" i="1" a="1"/>
  <c r="P365" i="1" s="1"/>
  <c r="P366" i="1" a="1"/>
  <c r="P366" i="1" s="1"/>
  <c r="P367" i="1" a="1"/>
  <c r="P367" i="1" s="1"/>
  <c r="P368" i="1" a="1"/>
  <c r="P368" i="1" s="1"/>
  <c r="P369" i="1" a="1"/>
  <c r="P369" i="1" s="1"/>
  <c r="P370" i="1" a="1"/>
  <c r="P370" i="1" s="1"/>
  <c r="P371" i="1" a="1"/>
  <c r="P371" i="1" s="1"/>
  <c r="P372" i="1" a="1"/>
  <c r="P372" i="1" s="1"/>
  <c r="P373" i="1" a="1"/>
  <c r="P373" i="1" s="1"/>
  <c r="P374" i="1" a="1"/>
  <c r="P374" i="1" s="1"/>
  <c r="P375" i="1" a="1"/>
  <c r="P375" i="1" s="1"/>
  <c r="P376" i="1" a="1"/>
  <c r="P376" i="1" s="1"/>
  <c r="P377" i="1" a="1"/>
  <c r="P377" i="1" s="1"/>
  <c r="P378" i="1" a="1"/>
  <c r="P378" i="1" s="1"/>
  <c r="P379" i="1" a="1"/>
  <c r="P379" i="1" s="1"/>
  <c r="P380" i="1" a="1"/>
  <c r="P380" i="1" s="1"/>
  <c r="P381" i="1" a="1"/>
  <c r="P381" i="1" s="1"/>
  <c r="P382" i="1" a="1"/>
  <c r="P382" i="1" s="1"/>
  <c r="P383" i="1" a="1"/>
  <c r="P383" i="1" s="1"/>
  <c r="P384" i="1" a="1"/>
  <c r="P384" i="1" s="1"/>
  <c r="P385" i="1" a="1"/>
  <c r="P385" i="1" s="1"/>
  <c r="P386" i="1" a="1"/>
  <c r="P386" i="1" s="1"/>
  <c r="P387" i="1" a="1"/>
  <c r="P387" i="1" s="1"/>
  <c r="P388" i="1" a="1"/>
  <c r="P388" i="1" s="1"/>
  <c r="P389" i="1" a="1"/>
  <c r="P389" i="1" s="1"/>
  <c r="P390" i="1" a="1"/>
  <c r="P390" i="1" s="1"/>
  <c r="P391" i="1" a="1"/>
  <c r="P391" i="1" s="1"/>
  <c r="P392" i="1" a="1"/>
  <c r="P392" i="1" s="1"/>
  <c r="P393" i="1" a="1"/>
  <c r="P393" i="1" s="1"/>
  <c r="P394" i="1" a="1"/>
  <c r="P394" i="1" s="1"/>
  <c r="P395" i="1" a="1"/>
  <c r="P395" i="1" s="1"/>
  <c r="P396" i="1" a="1"/>
  <c r="P396" i="1" s="1"/>
  <c r="P397" i="1" a="1"/>
  <c r="P397" i="1" s="1"/>
  <c r="P398" i="1" a="1"/>
  <c r="P398" i="1" s="1"/>
  <c r="P399" i="1" a="1"/>
  <c r="P399" i="1" s="1"/>
  <c r="P400" i="1" a="1"/>
  <c r="P400" i="1" s="1"/>
  <c r="P401" i="1" a="1"/>
  <c r="P401" i="1" s="1"/>
  <c r="P402" i="1" a="1"/>
  <c r="P402" i="1" s="1"/>
  <c r="P403" i="1" a="1"/>
  <c r="P403" i="1" s="1"/>
  <c r="P404" i="1" a="1"/>
  <c r="P404" i="1" s="1"/>
  <c r="P405" i="1" a="1"/>
  <c r="P405" i="1" s="1"/>
  <c r="P406" i="1" a="1"/>
  <c r="P406" i="1" s="1"/>
  <c r="P407" i="1" a="1"/>
  <c r="P407" i="1" s="1"/>
  <c r="P408" i="1" a="1"/>
  <c r="P408" i="1" s="1"/>
  <c r="P409" i="1" a="1"/>
  <c r="P409" i="1" s="1"/>
  <c r="P410" i="1" a="1"/>
  <c r="P410" i="1" s="1"/>
  <c r="P411" i="1" a="1"/>
  <c r="P411" i="1" s="1"/>
  <c r="P412" i="1" a="1"/>
  <c r="P412" i="1" s="1"/>
  <c r="P413" i="1" a="1"/>
  <c r="P413" i="1" s="1"/>
  <c r="P414" i="1" a="1"/>
  <c r="P414" i="1" s="1"/>
  <c r="P415" i="1" a="1"/>
  <c r="P415" i="1" s="1"/>
  <c r="P416" i="1" a="1"/>
  <c r="P416" i="1" s="1"/>
  <c r="P417" i="1" a="1"/>
  <c r="P417" i="1" s="1"/>
  <c r="P418" i="1" a="1"/>
  <c r="P418" i="1" s="1"/>
  <c r="P419" i="1" a="1"/>
  <c r="P419" i="1" s="1"/>
  <c r="P420" i="1" a="1"/>
  <c r="P420" i="1" s="1"/>
  <c r="P421" i="1" a="1"/>
  <c r="P421" i="1" s="1"/>
  <c r="P422" i="1" a="1"/>
  <c r="P422" i="1" s="1"/>
  <c r="P423" i="1" a="1"/>
  <c r="P423" i="1" s="1"/>
  <c r="P424" i="1" a="1"/>
  <c r="P424" i="1" s="1"/>
  <c r="P425" i="1" a="1"/>
  <c r="P425" i="1" s="1"/>
  <c r="P426" i="1" a="1"/>
  <c r="P426" i="1" s="1"/>
  <c r="P427" i="1" a="1"/>
  <c r="P427" i="1" s="1"/>
  <c r="P428" i="1" a="1"/>
  <c r="P428" i="1" s="1"/>
  <c r="P429" i="1" a="1"/>
  <c r="P429" i="1" s="1"/>
  <c r="P430" i="1" a="1"/>
  <c r="P430" i="1" s="1"/>
  <c r="P431" i="1" a="1"/>
  <c r="P431" i="1" s="1"/>
  <c r="P432" i="1" a="1"/>
  <c r="P432" i="1" s="1"/>
  <c r="P433" i="1" a="1"/>
  <c r="P433" i="1" s="1"/>
  <c r="P434" i="1" a="1"/>
  <c r="P434" i="1" s="1"/>
  <c r="P435" i="1" a="1"/>
  <c r="P435" i="1" s="1"/>
  <c r="P436" i="1" a="1"/>
  <c r="P436" i="1" s="1"/>
  <c r="P437" i="1" a="1"/>
  <c r="P437" i="1" s="1"/>
  <c r="P438" i="1" a="1"/>
  <c r="P438" i="1" s="1"/>
  <c r="P439" i="1" a="1"/>
  <c r="P439" i="1" s="1"/>
  <c r="P440" i="1" a="1"/>
  <c r="P440" i="1" s="1"/>
  <c r="P441" i="1" a="1"/>
  <c r="P441" i="1" s="1"/>
  <c r="P442" i="1" a="1"/>
  <c r="P442" i="1" s="1"/>
  <c r="P443" i="1" a="1"/>
  <c r="P443" i="1" s="1"/>
  <c r="P444" i="1" a="1"/>
  <c r="P444" i="1" s="1"/>
  <c r="P445" i="1" a="1"/>
  <c r="P445" i="1" s="1"/>
  <c r="P446" i="1" a="1"/>
  <c r="P446" i="1" s="1"/>
  <c r="P447" i="1" a="1"/>
  <c r="P447" i="1" s="1"/>
  <c r="P448" i="1" a="1"/>
  <c r="P448" i="1" s="1"/>
  <c r="P449" i="1" a="1"/>
  <c r="P449" i="1" s="1"/>
  <c r="P450" i="1" a="1"/>
  <c r="P450" i="1" s="1"/>
  <c r="P451" i="1" a="1"/>
  <c r="P451" i="1" s="1"/>
  <c r="P452" i="1" a="1"/>
  <c r="P452" i="1" s="1"/>
  <c r="P453" i="1" a="1"/>
  <c r="P453" i="1" s="1"/>
  <c r="P454" i="1" a="1"/>
  <c r="P454" i="1" s="1"/>
  <c r="P455" i="1" a="1"/>
  <c r="P455" i="1" s="1"/>
  <c r="P456" i="1" a="1"/>
  <c r="P456" i="1" s="1"/>
  <c r="P457" i="1" a="1"/>
  <c r="P457" i="1" s="1"/>
  <c r="P458" i="1" a="1"/>
  <c r="P458" i="1" s="1"/>
  <c r="P459" i="1" a="1"/>
  <c r="P459" i="1" s="1"/>
  <c r="P460" i="1" a="1"/>
  <c r="P460" i="1" s="1"/>
  <c r="P461" i="1" a="1"/>
  <c r="P461" i="1" s="1"/>
  <c r="P462" i="1" a="1"/>
  <c r="P462" i="1" s="1"/>
  <c r="P463" i="1" a="1"/>
  <c r="P463" i="1" s="1"/>
  <c r="P464" i="1" a="1"/>
  <c r="P464" i="1" s="1"/>
  <c r="P465" i="1" a="1"/>
  <c r="P465" i="1" s="1"/>
  <c r="P466" i="1" a="1"/>
  <c r="P466" i="1" s="1"/>
  <c r="P467" i="1" a="1"/>
  <c r="P467" i="1" s="1"/>
  <c r="P468" i="1" a="1"/>
  <c r="P468" i="1" s="1"/>
  <c r="P469" i="1" a="1"/>
  <c r="P469" i="1" s="1"/>
  <c r="P470" i="1" a="1"/>
  <c r="P470" i="1" s="1"/>
  <c r="P471" i="1" a="1"/>
  <c r="P471" i="1" s="1"/>
  <c r="P472" i="1" a="1"/>
  <c r="P472" i="1" s="1"/>
  <c r="P473" i="1" a="1"/>
  <c r="P473" i="1" s="1"/>
  <c r="P474" i="1" a="1"/>
  <c r="P474" i="1" s="1"/>
  <c r="P475" i="1" a="1"/>
  <c r="P475" i="1" s="1"/>
  <c r="P476" i="1" a="1"/>
  <c r="P476" i="1" s="1"/>
  <c r="P477" i="1" a="1"/>
  <c r="P477" i="1" s="1"/>
  <c r="P478" i="1" a="1"/>
  <c r="P478" i="1" s="1"/>
  <c r="P479" i="1" a="1"/>
  <c r="P479" i="1" s="1"/>
  <c r="P480" i="1" a="1"/>
  <c r="P480" i="1" s="1"/>
  <c r="P481" i="1" a="1"/>
  <c r="P481" i="1" s="1"/>
  <c r="P482" i="1" a="1"/>
  <c r="P482" i="1" s="1"/>
  <c r="P483" i="1" a="1"/>
  <c r="P483" i="1" s="1"/>
  <c r="P484" i="1" a="1"/>
  <c r="P484" i="1" s="1"/>
  <c r="P485" i="1" a="1"/>
  <c r="P485" i="1" s="1"/>
  <c r="P486" i="1" a="1"/>
  <c r="P486" i="1" s="1"/>
  <c r="P487" i="1" a="1"/>
  <c r="P487" i="1" s="1"/>
  <c r="P488" i="1" a="1"/>
  <c r="P488" i="1" s="1"/>
  <c r="P489" i="1" a="1"/>
  <c r="P489" i="1" s="1"/>
  <c r="P490" i="1" a="1"/>
  <c r="P490" i="1" s="1"/>
  <c r="P491" i="1" a="1"/>
  <c r="P491" i="1" s="1"/>
  <c r="P492" i="1" a="1"/>
  <c r="P492" i="1" s="1"/>
  <c r="P493" i="1" a="1"/>
  <c r="P493" i="1" s="1"/>
  <c r="P494" i="1" a="1"/>
  <c r="P494" i="1" s="1"/>
  <c r="P495" i="1" a="1"/>
  <c r="P495" i="1" s="1"/>
  <c r="P496" i="1" a="1"/>
  <c r="P496" i="1" s="1"/>
  <c r="P497" i="1" a="1"/>
  <c r="P497" i="1" s="1"/>
  <c r="P498" i="1" a="1"/>
  <c r="P498" i="1" s="1"/>
  <c r="P499" i="1" a="1"/>
  <c r="P499" i="1" s="1"/>
  <c r="P500" i="1" a="1"/>
  <c r="P500" i="1" s="1"/>
  <c r="P501" i="1" a="1"/>
  <c r="P501" i="1" s="1"/>
  <c r="P502" i="1" a="1"/>
  <c r="P502" i="1" s="1"/>
  <c r="P4" i="1" a="1"/>
  <c r="P4" i="1" s="1"/>
  <c r="P5" i="1" a="1"/>
  <c r="P5" i="1" s="1"/>
  <c r="P6" i="1" a="1"/>
  <c r="P6" i="1"/>
  <c r="P7" i="1" a="1"/>
  <c r="P7" i="1" s="1"/>
  <c r="P8" i="1" a="1"/>
  <c r="P8" i="1" s="1"/>
  <c r="P9" i="1" a="1"/>
  <c r="P9" i="1" s="1"/>
  <c r="P10" i="1" a="1"/>
  <c r="P10" i="1" s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123" i="1" a="1"/>
  <c r="N123" i="1" s="1"/>
  <c r="N124" i="1" a="1"/>
  <c r="N124" i="1" s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 s="1"/>
  <c r="N142" i="1" a="1"/>
  <c r="N142" i="1" s="1"/>
  <c r="N143" i="1" a="1"/>
  <c r="N143" i="1" s="1"/>
  <c r="N144" i="1" a="1"/>
  <c r="N144" i="1" s="1"/>
  <c r="N145" i="1" a="1"/>
  <c r="N145" i="1" s="1"/>
  <c r="N146" i="1" a="1"/>
  <c r="N146" i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 s="1"/>
  <c r="N153" i="1" a="1"/>
  <c r="N153" i="1" s="1"/>
  <c r="N154" i="1" a="1"/>
  <c r="N154" i="1" s="1"/>
  <c r="N155" i="1" a="1"/>
  <c r="N155" i="1" s="1"/>
  <c r="N156" i="1" a="1"/>
  <c r="N156" i="1" s="1"/>
  <c r="N157" i="1" a="1"/>
  <c r="N157" i="1" s="1"/>
  <c r="N158" i="1" a="1"/>
  <c r="N158" i="1" s="1"/>
  <c r="N159" i="1" a="1"/>
  <c r="N159" i="1" s="1"/>
  <c r="N160" i="1" a="1"/>
  <c r="N160" i="1" s="1"/>
  <c r="N161" i="1" a="1"/>
  <c r="N161" i="1" s="1"/>
  <c r="N162" i="1" a="1"/>
  <c r="N162" i="1" s="1"/>
  <c r="N163" i="1" a="1"/>
  <c r="N163" i="1" s="1"/>
  <c r="N164" i="1" a="1"/>
  <c r="N164" i="1" s="1"/>
  <c r="N165" i="1" a="1"/>
  <c r="N165" i="1" s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172" i="1" a="1"/>
  <c r="N172" i="1" s="1"/>
  <c r="N173" i="1" a="1"/>
  <c r="N173" i="1" s="1"/>
  <c r="N174" i="1" a="1"/>
  <c r="N174" i="1"/>
  <c r="N175" i="1" a="1"/>
  <c r="N175" i="1" s="1"/>
  <c r="N176" i="1" a="1"/>
  <c r="N176" i="1" s="1"/>
  <c r="N177" i="1" a="1"/>
  <c r="N177" i="1" s="1"/>
  <c r="N178" i="1" a="1"/>
  <c r="N178" i="1" s="1"/>
  <c r="N179" i="1" a="1"/>
  <c r="N179" i="1" s="1"/>
  <c r="N180" i="1" a="1"/>
  <c r="N180" i="1" s="1"/>
  <c r="N181" i="1" a="1"/>
  <c r="N181" i="1" s="1"/>
  <c r="N182" i="1" a="1"/>
  <c r="N182" i="1" s="1"/>
  <c r="N183" i="1" a="1"/>
  <c r="N183" i="1" s="1"/>
  <c r="N184" i="1" a="1"/>
  <c r="N184" i="1" s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 s="1"/>
  <c r="N195" i="1" a="1"/>
  <c r="N195" i="1" s="1"/>
  <c r="N196" i="1" a="1"/>
  <c r="N196" i="1" s="1"/>
  <c r="N197" i="1" a="1"/>
  <c r="N197" i="1" s="1"/>
  <c r="N198" i="1" a="1"/>
  <c r="N198" i="1" s="1"/>
  <c r="N199" i="1" a="1"/>
  <c r="N199" i="1" s="1"/>
  <c r="N200" i="1" a="1"/>
  <c r="N200" i="1" s="1"/>
  <c r="N201" i="1" a="1"/>
  <c r="N201" i="1" s="1"/>
  <c r="N202" i="1" a="1"/>
  <c r="N202" i="1" s="1"/>
  <c r="N203" i="1" a="1"/>
  <c r="N203" i="1" s="1"/>
  <c r="N204" i="1" a="1"/>
  <c r="N204" i="1" s="1"/>
  <c r="N205" i="1" a="1"/>
  <c r="N205" i="1" s="1"/>
  <c r="N206" i="1" a="1"/>
  <c r="N206" i="1" s="1"/>
  <c r="N207" i="1" a="1"/>
  <c r="N207" i="1" s="1"/>
  <c r="N208" i="1" a="1"/>
  <c r="N208" i="1" s="1"/>
  <c r="N209" i="1" a="1"/>
  <c r="N209" i="1" s="1"/>
  <c r="N210" i="1" a="1"/>
  <c r="N210" i="1" s="1"/>
  <c r="N211" i="1" a="1"/>
  <c r="N211" i="1" s="1"/>
  <c r="N212" i="1" a="1"/>
  <c r="N212" i="1" s="1"/>
  <c r="N213" i="1" a="1"/>
  <c r="N213" i="1" s="1"/>
  <c r="N214" i="1" a="1"/>
  <c r="N214" i="1" s="1"/>
  <c r="N215" i="1" a="1"/>
  <c r="N215" i="1" s="1"/>
  <c r="N216" i="1" a="1"/>
  <c r="N216" i="1" s="1"/>
  <c r="N217" i="1" a="1"/>
  <c r="N217" i="1" s="1"/>
  <c r="N218" i="1" a="1"/>
  <c r="N218" i="1" s="1"/>
  <c r="N219" i="1" a="1"/>
  <c r="N219" i="1" s="1"/>
  <c r="N220" i="1" a="1"/>
  <c r="N220" i="1" s="1"/>
  <c r="N221" i="1" a="1"/>
  <c r="N221" i="1" s="1"/>
  <c r="N222" i="1" a="1"/>
  <c r="N222" i="1" s="1"/>
  <c r="N223" i="1" a="1"/>
  <c r="N223" i="1" s="1"/>
  <c r="N224" i="1" a="1"/>
  <c r="N224" i="1" s="1"/>
  <c r="N225" i="1" a="1"/>
  <c r="N225" i="1" s="1"/>
  <c r="N226" i="1" a="1"/>
  <c r="N226" i="1" s="1"/>
  <c r="N227" i="1" a="1"/>
  <c r="N227" i="1" s="1"/>
  <c r="N228" i="1" a="1"/>
  <c r="N228" i="1" s="1"/>
  <c r="N229" i="1" a="1"/>
  <c r="N229" i="1" s="1"/>
  <c r="N230" i="1" a="1"/>
  <c r="N230" i="1" s="1"/>
  <c r="N231" i="1" a="1"/>
  <c r="N231" i="1" s="1"/>
  <c r="N232" i="1" a="1"/>
  <c r="N232" i="1" s="1"/>
  <c r="N233" i="1" a="1"/>
  <c r="N233" i="1" s="1"/>
  <c r="N234" i="1" a="1"/>
  <c r="N234" i="1" s="1"/>
  <c r="N235" i="1" a="1"/>
  <c r="N235" i="1" s="1"/>
  <c r="N236" i="1" a="1"/>
  <c r="N236" i="1" s="1"/>
  <c r="N237" i="1" a="1"/>
  <c r="N237" i="1" s="1"/>
  <c r="N238" i="1" a="1"/>
  <c r="N238" i="1" s="1"/>
  <c r="N239" i="1" a="1"/>
  <c r="N239" i="1" s="1"/>
  <c r="N240" i="1" a="1"/>
  <c r="N240" i="1" s="1"/>
  <c r="N241" i="1" a="1"/>
  <c r="N241" i="1" s="1"/>
  <c r="N242" i="1" a="1"/>
  <c r="N242" i="1" s="1"/>
  <c r="N243" i="1" a="1"/>
  <c r="N243" i="1" s="1"/>
  <c r="N244" i="1" a="1"/>
  <c r="N244" i="1" s="1"/>
  <c r="N245" i="1" a="1"/>
  <c r="N245" i="1" s="1"/>
  <c r="N246" i="1" a="1"/>
  <c r="N246" i="1" s="1"/>
  <c r="N247" i="1" a="1"/>
  <c r="N247" i="1" s="1"/>
  <c r="N248" i="1" a="1"/>
  <c r="N248" i="1" s="1"/>
  <c r="N249" i="1" a="1"/>
  <c r="N249" i="1" s="1"/>
  <c r="N250" i="1" a="1"/>
  <c r="N250" i="1" s="1"/>
  <c r="N251" i="1" a="1"/>
  <c r="N251" i="1" s="1"/>
  <c r="N252" i="1" a="1"/>
  <c r="N252" i="1" s="1"/>
  <c r="N253" i="1" a="1"/>
  <c r="N253" i="1" s="1"/>
  <c r="N254" i="1" a="1"/>
  <c r="N254" i="1" s="1"/>
  <c r="N255" i="1" a="1"/>
  <c r="N255" i="1" s="1"/>
  <c r="N256" i="1" a="1"/>
  <c r="N256" i="1" s="1"/>
  <c r="N257" i="1" a="1"/>
  <c r="N257" i="1" s="1"/>
  <c r="N258" i="1" a="1"/>
  <c r="N258" i="1" s="1"/>
  <c r="N259" i="1" a="1"/>
  <c r="N259" i="1" s="1"/>
  <c r="N260" i="1" a="1"/>
  <c r="N260" i="1" s="1"/>
  <c r="N261" i="1" a="1"/>
  <c r="N261" i="1" s="1"/>
  <c r="N262" i="1" a="1"/>
  <c r="N262" i="1" s="1"/>
  <c r="N263" i="1" a="1"/>
  <c r="N263" i="1" s="1"/>
  <c r="N264" i="1" a="1"/>
  <c r="N264" i="1" s="1"/>
  <c r="N265" i="1" a="1"/>
  <c r="N265" i="1" s="1"/>
  <c r="N266" i="1" a="1"/>
  <c r="N266" i="1" s="1"/>
  <c r="N267" i="1" a="1"/>
  <c r="N267" i="1" s="1"/>
  <c r="N268" i="1" a="1"/>
  <c r="N268" i="1" s="1"/>
  <c r="N269" i="1" a="1"/>
  <c r="N269" i="1" s="1"/>
  <c r="N270" i="1" a="1"/>
  <c r="N270" i="1" s="1"/>
  <c r="N271" i="1" a="1"/>
  <c r="N271" i="1" s="1"/>
  <c r="N272" i="1" a="1"/>
  <c r="N272" i="1" s="1"/>
  <c r="N273" i="1" a="1"/>
  <c r="N273" i="1"/>
  <c r="N274" i="1" a="1"/>
  <c r="N274" i="1"/>
  <c r="N275" i="1" a="1"/>
  <c r="N275" i="1" s="1"/>
  <c r="N276" i="1" a="1"/>
  <c r="N276" i="1" s="1"/>
  <c r="N277" i="1" a="1"/>
  <c r="N277" i="1" s="1"/>
  <c r="N278" i="1" a="1"/>
  <c r="N278" i="1" s="1"/>
  <c r="N279" i="1" a="1"/>
  <c r="N279" i="1" s="1"/>
  <c r="N280" i="1" a="1"/>
  <c r="N280" i="1" s="1"/>
  <c r="N281" i="1" a="1"/>
  <c r="N281" i="1" s="1"/>
  <c r="N282" i="1" a="1"/>
  <c r="N282" i="1" s="1"/>
  <c r="N283" i="1" a="1"/>
  <c r="N283" i="1" s="1"/>
  <c r="N284" i="1" a="1"/>
  <c r="N284" i="1" s="1"/>
  <c r="N285" i="1" a="1"/>
  <c r="N285" i="1" s="1"/>
  <c r="N286" i="1" a="1"/>
  <c r="N286" i="1" s="1"/>
  <c r="N287" i="1" a="1"/>
  <c r="N287" i="1" s="1"/>
  <c r="N288" i="1" a="1"/>
  <c r="N288" i="1" s="1"/>
  <c r="T288" i="1" s="1"/>
  <c r="N289" i="1" a="1"/>
  <c r="N289" i="1" s="1"/>
  <c r="N290" i="1" a="1"/>
  <c r="N290" i="1" s="1"/>
  <c r="N291" i="1" a="1"/>
  <c r="N291" i="1" s="1"/>
  <c r="N292" i="1" a="1"/>
  <c r="N292" i="1" s="1"/>
  <c r="N293" i="1" a="1"/>
  <c r="N293" i="1" s="1"/>
  <c r="N294" i="1" a="1"/>
  <c r="N294" i="1" s="1"/>
  <c r="N295" i="1" a="1"/>
  <c r="N295" i="1" s="1"/>
  <c r="N296" i="1" a="1"/>
  <c r="N296" i="1" s="1"/>
  <c r="T296" i="1" s="1"/>
  <c r="N297" i="1" a="1"/>
  <c r="N297" i="1" s="1"/>
  <c r="N298" i="1" a="1"/>
  <c r="N298" i="1" s="1"/>
  <c r="N299" i="1" a="1"/>
  <c r="N299" i="1" s="1"/>
  <c r="N300" i="1" a="1"/>
  <c r="N300" i="1" s="1"/>
  <c r="N301" i="1" a="1"/>
  <c r="N301" i="1" s="1"/>
  <c r="N302" i="1" a="1"/>
  <c r="N302" i="1" s="1"/>
  <c r="N303" i="1" a="1"/>
  <c r="N303" i="1" s="1"/>
  <c r="N304" i="1" a="1"/>
  <c r="N304" i="1" s="1"/>
  <c r="T304" i="1" s="1"/>
  <c r="N305" i="1" a="1"/>
  <c r="N305" i="1" s="1"/>
  <c r="N306" i="1" a="1"/>
  <c r="N306" i="1" s="1"/>
  <c r="N307" i="1" a="1"/>
  <c r="N307" i="1" s="1"/>
  <c r="N308" i="1" a="1"/>
  <c r="N308" i="1" s="1"/>
  <c r="N309" i="1" a="1"/>
  <c r="N309" i="1" s="1"/>
  <c r="N310" i="1" a="1"/>
  <c r="N310" i="1" s="1"/>
  <c r="N311" i="1" a="1"/>
  <c r="N311" i="1" s="1"/>
  <c r="N312" i="1" a="1"/>
  <c r="N312" i="1" s="1"/>
  <c r="T312" i="1" s="1"/>
  <c r="N313" i="1" a="1"/>
  <c r="N313" i="1" s="1"/>
  <c r="N314" i="1" a="1"/>
  <c r="N314" i="1" s="1"/>
  <c r="N315" i="1" a="1"/>
  <c r="N315" i="1" s="1"/>
  <c r="N316" i="1" a="1"/>
  <c r="N316" i="1" s="1"/>
  <c r="N317" i="1" a="1"/>
  <c r="N317" i="1" s="1"/>
  <c r="N318" i="1" a="1"/>
  <c r="N318" i="1" s="1"/>
  <c r="N319" i="1" a="1"/>
  <c r="N319" i="1"/>
  <c r="N320" i="1" a="1"/>
  <c r="N320" i="1" s="1"/>
  <c r="N321" i="1" a="1"/>
  <c r="N321" i="1" s="1"/>
  <c r="N322" i="1" a="1"/>
  <c r="N322" i="1" s="1"/>
  <c r="N323" i="1" a="1"/>
  <c r="N323" i="1" s="1"/>
  <c r="N324" i="1" a="1"/>
  <c r="N324" i="1" s="1"/>
  <c r="N325" i="1" a="1"/>
  <c r="N325" i="1" s="1"/>
  <c r="N326" i="1" a="1"/>
  <c r="N326" i="1" s="1"/>
  <c r="T326" i="1" s="1"/>
  <c r="N327" i="1" a="1"/>
  <c r="N327" i="1" s="1"/>
  <c r="T327" i="1" s="1"/>
  <c r="N328" i="1" a="1"/>
  <c r="N328" i="1" s="1"/>
  <c r="N329" i="1" a="1"/>
  <c r="N329" i="1" s="1"/>
  <c r="N330" i="1" a="1"/>
  <c r="N330" i="1" s="1"/>
  <c r="N331" i="1" a="1"/>
  <c r="N331" i="1" s="1"/>
  <c r="N332" i="1" a="1"/>
  <c r="N332" i="1" s="1"/>
  <c r="N333" i="1" a="1"/>
  <c r="N333" i="1" s="1"/>
  <c r="N334" i="1" a="1"/>
  <c r="N334" i="1" s="1"/>
  <c r="T334" i="1" s="1"/>
  <c r="N335" i="1" a="1"/>
  <c r="N335" i="1" s="1"/>
  <c r="T335" i="1" s="1"/>
  <c r="N336" i="1" a="1"/>
  <c r="N336" i="1" s="1"/>
  <c r="N337" i="1" a="1"/>
  <c r="N337" i="1" s="1"/>
  <c r="N338" i="1" a="1"/>
  <c r="N338" i="1" s="1"/>
  <c r="T338" i="1" s="1"/>
  <c r="N339" i="1" a="1"/>
  <c r="N339" i="1"/>
  <c r="N340" i="1" a="1"/>
  <c r="N340" i="1" s="1"/>
  <c r="N341" i="1" a="1"/>
  <c r="N341" i="1" s="1"/>
  <c r="N342" i="1" a="1"/>
  <c r="N342" i="1" s="1"/>
  <c r="N343" i="1" a="1"/>
  <c r="N343" i="1" s="1"/>
  <c r="N344" i="1" a="1"/>
  <c r="N344" i="1" s="1"/>
  <c r="T344" i="1" s="1"/>
  <c r="N345" i="1" a="1"/>
  <c r="N345" i="1" s="1"/>
  <c r="N346" i="1" a="1"/>
  <c r="N346" i="1" s="1"/>
  <c r="N347" i="1" a="1"/>
  <c r="N347" i="1" s="1"/>
  <c r="N348" i="1" a="1"/>
  <c r="N348" i="1" s="1"/>
  <c r="N349" i="1" a="1"/>
  <c r="N349" i="1" s="1"/>
  <c r="N350" i="1" a="1"/>
  <c r="N350" i="1" s="1"/>
  <c r="N351" i="1" a="1"/>
  <c r="N351" i="1" s="1"/>
  <c r="N352" i="1" a="1"/>
  <c r="N352" i="1" s="1"/>
  <c r="T352" i="1" s="1"/>
  <c r="N353" i="1" a="1"/>
  <c r="N353" i="1" s="1"/>
  <c r="N354" i="1" a="1"/>
  <c r="N354" i="1" s="1"/>
  <c r="N355" i="1" a="1"/>
  <c r="N355" i="1" s="1"/>
  <c r="N356" i="1" a="1"/>
  <c r="N356" i="1" s="1"/>
  <c r="T356" i="1" s="1"/>
  <c r="N357" i="1" a="1"/>
  <c r="N357" i="1" s="1"/>
  <c r="N358" i="1" a="1"/>
  <c r="N358" i="1" s="1"/>
  <c r="N359" i="1" a="1"/>
  <c r="N359" i="1" s="1"/>
  <c r="T359" i="1" s="1"/>
  <c r="N360" i="1" a="1"/>
  <c r="N360" i="1" s="1"/>
  <c r="N361" i="1" a="1"/>
  <c r="N361" i="1" s="1"/>
  <c r="N362" i="1" a="1"/>
  <c r="N362" i="1" s="1"/>
  <c r="N363" i="1" a="1"/>
  <c r="N363" i="1" s="1"/>
  <c r="T363" i="1" s="1"/>
  <c r="N364" i="1" a="1"/>
  <c r="N364" i="1" s="1"/>
  <c r="T364" i="1" s="1"/>
  <c r="N365" i="1" a="1"/>
  <c r="N365" i="1" s="1"/>
  <c r="N366" i="1" a="1"/>
  <c r="N366" i="1" s="1"/>
  <c r="N367" i="1" a="1"/>
  <c r="N367" i="1" s="1"/>
  <c r="N368" i="1" a="1"/>
  <c r="N368" i="1" s="1"/>
  <c r="N369" i="1" a="1"/>
  <c r="N369" i="1" s="1"/>
  <c r="N370" i="1" a="1"/>
  <c r="N370" i="1" s="1"/>
  <c r="N371" i="1" a="1"/>
  <c r="N371" i="1" s="1"/>
  <c r="T371" i="1" s="1"/>
  <c r="N372" i="1" a="1"/>
  <c r="N372" i="1" s="1"/>
  <c r="T372" i="1" s="1"/>
  <c r="N373" i="1" a="1"/>
  <c r="N373" i="1" s="1"/>
  <c r="T373" i="1" s="1"/>
  <c r="N374" i="1" a="1"/>
  <c r="N374" i="1" s="1"/>
  <c r="N375" i="1" a="1"/>
  <c r="N375" i="1" s="1"/>
  <c r="T375" i="1" s="1"/>
  <c r="N376" i="1" a="1"/>
  <c r="N376" i="1" s="1"/>
  <c r="T376" i="1" s="1"/>
  <c r="N377" i="1" a="1"/>
  <c r="N377" i="1" s="1"/>
  <c r="N378" i="1" a="1"/>
  <c r="N378" i="1" s="1"/>
  <c r="N379" i="1" a="1"/>
  <c r="N379" i="1" s="1"/>
  <c r="N380" i="1" a="1"/>
  <c r="N380" i="1" s="1"/>
  <c r="T380" i="1" s="1"/>
  <c r="N381" i="1" a="1"/>
  <c r="N381" i="1" s="1"/>
  <c r="T381" i="1" s="1"/>
  <c r="N382" i="1" a="1"/>
  <c r="N382" i="1" s="1"/>
  <c r="N383" i="1" a="1"/>
  <c r="N383" i="1" s="1"/>
  <c r="T383" i="1" s="1"/>
  <c r="N384" i="1" a="1"/>
  <c r="N384" i="1" s="1"/>
  <c r="N385" i="1" a="1"/>
  <c r="N385" i="1" s="1"/>
  <c r="N386" i="1" a="1"/>
  <c r="N386" i="1" s="1"/>
  <c r="N387" i="1" a="1"/>
  <c r="N387" i="1" s="1"/>
  <c r="T387" i="1" s="1"/>
  <c r="N388" i="1" a="1"/>
  <c r="N388" i="1" s="1"/>
  <c r="N389" i="1" a="1"/>
  <c r="N389" i="1" s="1"/>
  <c r="T389" i="1" s="1"/>
  <c r="N390" i="1" a="1"/>
  <c r="N390" i="1" s="1"/>
  <c r="N391" i="1" a="1"/>
  <c r="N391" i="1" s="1"/>
  <c r="N392" i="1" a="1"/>
  <c r="N392" i="1" s="1"/>
  <c r="T392" i="1" s="1"/>
  <c r="N393" i="1" a="1"/>
  <c r="N393" i="1" s="1"/>
  <c r="N394" i="1" a="1"/>
  <c r="N394" i="1" s="1"/>
  <c r="N395" i="1" a="1"/>
  <c r="N395" i="1" s="1"/>
  <c r="T395" i="1" s="1"/>
  <c r="N396" i="1" a="1"/>
  <c r="N396" i="1" s="1"/>
  <c r="N397" i="1" a="1"/>
  <c r="N397" i="1" s="1"/>
  <c r="T397" i="1" s="1"/>
  <c r="N398" i="1" a="1"/>
  <c r="N398" i="1" s="1"/>
  <c r="N399" i="1" a="1"/>
  <c r="N399" i="1" s="1"/>
  <c r="T399" i="1" s="1"/>
  <c r="N400" i="1" a="1"/>
  <c r="N400" i="1" s="1"/>
  <c r="T400" i="1" s="1"/>
  <c r="N401" i="1" a="1"/>
  <c r="N401" i="1" s="1"/>
  <c r="T401" i="1" s="1"/>
  <c r="N402" i="1" a="1"/>
  <c r="N402" i="1" s="1"/>
  <c r="N403" i="1" a="1"/>
  <c r="N403" i="1" s="1"/>
  <c r="T403" i="1" s="1"/>
  <c r="N404" i="1" a="1"/>
  <c r="N404" i="1" s="1"/>
  <c r="N405" i="1" a="1"/>
  <c r="N405" i="1" s="1"/>
  <c r="T405" i="1" s="1"/>
  <c r="N406" i="1" a="1"/>
  <c r="N406" i="1" s="1"/>
  <c r="T406" i="1" s="1"/>
  <c r="N407" i="1" a="1"/>
  <c r="N407" i="1" s="1"/>
  <c r="T407" i="1" s="1"/>
  <c r="N408" i="1" a="1"/>
  <c r="N408" i="1" s="1"/>
  <c r="T408" i="1" s="1"/>
  <c r="N409" i="1" a="1"/>
  <c r="N409" i="1" s="1"/>
  <c r="T409" i="1" s="1"/>
  <c r="N410" i="1" a="1"/>
  <c r="N410" i="1" s="1"/>
  <c r="N411" i="1" a="1"/>
  <c r="N411" i="1" s="1"/>
  <c r="T411" i="1" s="1"/>
  <c r="N412" i="1" a="1"/>
  <c r="N412" i="1" s="1"/>
  <c r="T412" i="1" s="1"/>
  <c r="N413" i="1" a="1"/>
  <c r="N413" i="1" s="1"/>
  <c r="T413" i="1" s="1"/>
  <c r="N414" i="1" a="1"/>
  <c r="N414" i="1" s="1"/>
  <c r="T414" i="1" s="1"/>
  <c r="N415" i="1" a="1"/>
  <c r="N415" i="1" s="1"/>
  <c r="T415" i="1" s="1"/>
  <c r="N416" i="1" a="1"/>
  <c r="N416" i="1" s="1"/>
  <c r="N417" i="1" a="1"/>
  <c r="N417" i="1" s="1"/>
  <c r="T417" i="1" s="1"/>
  <c r="N418" i="1" a="1"/>
  <c r="N418" i="1" s="1"/>
  <c r="N419" i="1" a="1"/>
  <c r="N419" i="1" s="1"/>
  <c r="N420" i="1" a="1"/>
  <c r="N420" i="1" s="1"/>
  <c r="N421" i="1" a="1"/>
  <c r="N421" i="1" s="1"/>
  <c r="N422" i="1" a="1"/>
  <c r="N422" i="1" s="1"/>
  <c r="T422" i="1" s="1"/>
  <c r="N423" i="1" a="1"/>
  <c r="N423" i="1" s="1"/>
  <c r="N424" i="1" a="1"/>
  <c r="N424" i="1" s="1"/>
  <c r="T424" i="1" s="1"/>
  <c r="N425" i="1" a="1"/>
  <c r="N425" i="1" s="1"/>
  <c r="T425" i="1" s="1"/>
  <c r="N426" i="1" a="1"/>
  <c r="N426" i="1" s="1"/>
  <c r="N427" i="1" a="1"/>
  <c r="N427" i="1" s="1"/>
  <c r="N428" i="1" a="1"/>
  <c r="N428" i="1" s="1"/>
  <c r="N429" i="1" a="1"/>
  <c r="N429" i="1" s="1"/>
  <c r="T429" i="1" s="1"/>
  <c r="N430" i="1" a="1"/>
  <c r="N430" i="1" s="1"/>
  <c r="N431" i="1" a="1"/>
  <c r="N431" i="1" s="1"/>
  <c r="T431" i="1" s="1"/>
  <c r="N432" i="1" a="1"/>
  <c r="N432" i="1" s="1"/>
  <c r="N433" i="1" a="1"/>
  <c r="N433" i="1" s="1"/>
  <c r="T433" i="1" s="1"/>
  <c r="N434" i="1" a="1"/>
  <c r="N434" i="1" s="1"/>
  <c r="N435" i="1" a="1"/>
  <c r="N435" i="1" s="1"/>
  <c r="T435" i="1" s="1"/>
  <c r="N436" i="1" a="1"/>
  <c r="N436" i="1" s="1"/>
  <c r="T436" i="1" s="1"/>
  <c r="N437" i="1" a="1"/>
  <c r="N437" i="1" s="1"/>
  <c r="T437" i="1" s="1"/>
  <c r="N438" i="1" a="1"/>
  <c r="N438" i="1" s="1"/>
  <c r="T438" i="1" s="1"/>
  <c r="N439" i="1" a="1"/>
  <c r="N439" i="1" s="1"/>
  <c r="T439" i="1" s="1"/>
  <c r="N440" i="1" a="1"/>
  <c r="N440" i="1" s="1"/>
  <c r="T440" i="1" s="1"/>
  <c r="N441" i="1" a="1"/>
  <c r="N441" i="1" s="1"/>
  <c r="T441" i="1" s="1"/>
  <c r="N442" i="1" a="1"/>
  <c r="N442" i="1" s="1"/>
  <c r="N443" i="1" a="1"/>
  <c r="N443" i="1" s="1"/>
  <c r="T443" i="1" s="1"/>
  <c r="N444" i="1" a="1"/>
  <c r="N444" i="1" s="1"/>
  <c r="T444" i="1" s="1"/>
  <c r="N445" i="1" a="1"/>
  <c r="N445" i="1" s="1"/>
  <c r="T445" i="1" s="1"/>
  <c r="N446" i="1" a="1"/>
  <c r="N446" i="1" s="1"/>
  <c r="T446" i="1" s="1"/>
  <c r="N447" i="1" a="1"/>
  <c r="N447" i="1" s="1"/>
  <c r="T447" i="1" s="1"/>
  <c r="N448" i="1" a="1"/>
  <c r="N448" i="1" s="1"/>
  <c r="T448" i="1" s="1"/>
  <c r="N449" i="1" a="1"/>
  <c r="N449" i="1" s="1"/>
  <c r="N450" i="1" a="1"/>
  <c r="N450" i="1" s="1"/>
  <c r="N451" i="1" a="1"/>
  <c r="N451" i="1" s="1"/>
  <c r="T451" i="1" s="1"/>
  <c r="N452" i="1" a="1"/>
  <c r="N452" i="1" s="1"/>
  <c r="T452" i="1" s="1"/>
  <c r="N453" i="1" a="1"/>
  <c r="N453" i="1" s="1"/>
  <c r="N454" i="1" a="1"/>
  <c r="N454" i="1" s="1"/>
  <c r="T454" i="1" s="1"/>
  <c r="N455" i="1" a="1"/>
  <c r="N455" i="1" s="1"/>
  <c r="T455" i="1" s="1"/>
  <c r="N456" i="1" a="1"/>
  <c r="N456" i="1" s="1"/>
  <c r="T456" i="1" s="1"/>
  <c r="N457" i="1" a="1"/>
  <c r="N457" i="1" s="1"/>
  <c r="T457" i="1" s="1"/>
  <c r="N458" i="1" a="1"/>
  <c r="N458" i="1" s="1"/>
  <c r="N459" i="1" a="1"/>
  <c r="N459" i="1" s="1"/>
  <c r="T459" i="1" s="1"/>
  <c r="N460" i="1" a="1"/>
  <c r="N460" i="1" s="1"/>
  <c r="T460" i="1" s="1"/>
  <c r="N461" i="1" a="1"/>
  <c r="N461" i="1" s="1"/>
  <c r="T461" i="1" s="1"/>
  <c r="N462" i="1" a="1"/>
  <c r="N462" i="1" s="1"/>
  <c r="T462" i="1" s="1"/>
  <c r="N463" i="1" a="1"/>
  <c r="N463" i="1" s="1"/>
  <c r="N464" i="1" a="1"/>
  <c r="N464" i="1" s="1"/>
  <c r="T464" i="1" s="1"/>
  <c r="N465" i="1" a="1"/>
  <c r="N465" i="1" s="1"/>
  <c r="N466" i="1" a="1"/>
  <c r="N466" i="1" s="1"/>
  <c r="N467" i="1" a="1"/>
  <c r="N467" i="1" s="1"/>
  <c r="T467" i="1" s="1"/>
  <c r="N468" i="1" a="1"/>
  <c r="N468" i="1" s="1"/>
  <c r="N469" i="1" a="1"/>
  <c r="N469" i="1" s="1"/>
  <c r="T469" i="1" s="1"/>
  <c r="N470" i="1" a="1"/>
  <c r="N470" i="1" s="1"/>
  <c r="T470" i="1" s="1"/>
  <c r="N471" i="1" a="1"/>
  <c r="N471" i="1" s="1"/>
  <c r="T471" i="1" s="1"/>
  <c r="N472" i="1" a="1"/>
  <c r="N472" i="1" s="1"/>
  <c r="T472" i="1" s="1"/>
  <c r="N473" i="1" a="1"/>
  <c r="N473" i="1" s="1"/>
  <c r="T473" i="1" s="1"/>
  <c r="N474" i="1" a="1"/>
  <c r="N474" i="1" s="1"/>
  <c r="T474" i="1" s="1"/>
  <c r="N475" i="1" a="1"/>
  <c r="N475" i="1" s="1"/>
  <c r="N476" i="1" a="1"/>
  <c r="N476" i="1" s="1"/>
  <c r="T476" i="1" s="1"/>
  <c r="N477" i="1" a="1"/>
  <c r="N477" i="1" s="1"/>
  <c r="N478" i="1" a="1"/>
  <c r="N478" i="1" s="1"/>
  <c r="T478" i="1" s="1"/>
  <c r="N479" i="1" a="1"/>
  <c r="N479" i="1" s="1"/>
  <c r="T479" i="1" s="1"/>
  <c r="N480" i="1" a="1"/>
  <c r="N480" i="1" s="1"/>
  <c r="T480" i="1" s="1"/>
  <c r="N481" i="1" a="1"/>
  <c r="N481" i="1" s="1"/>
  <c r="T481" i="1" s="1"/>
  <c r="N482" i="1" a="1"/>
  <c r="N482" i="1" s="1"/>
  <c r="N483" i="1" a="1"/>
  <c r="N483" i="1" s="1"/>
  <c r="T483" i="1" s="1"/>
  <c r="N484" i="1" a="1"/>
  <c r="N484" i="1" s="1"/>
  <c r="T484" i="1" s="1"/>
  <c r="N485" i="1" a="1"/>
  <c r="N485" i="1" s="1"/>
  <c r="T485" i="1" s="1"/>
  <c r="N486" i="1" a="1"/>
  <c r="N486" i="1" s="1"/>
  <c r="T486" i="1" s="1"/>
  <c r="N487" i="1" a="1"/>
  <c r="N487" i="1" s="1"/>
  <c r="T487" i="1" s="1"/>
  <c r="N488" i="1" a="1"/>
  <c r="N488" i="1" s="1"/>
  <c r="T488" i="1" s="1"/>
  <c r="N489" i="1" a="1"/>
  <c r="N489" i="1" s="1"/>
  <c r="T489" i="1" s="1"/>
  <c r="N490" i="1" a="1"/>
  <c r="N490" i="1" s="1"/>
  <c r="N491" i="1" a="1"/>
  <c r="N491" i="1" s="1"/>
  <c r="N492" i="1" a="1"/>
  <c r="N492" i="1" s="1"/>
  <c r="T492" i="1" s="1"/>
  <c r="N493" i="1" a="1"/>
  <c r="N493" i="1" s="1"/>
  <c r="T493" i="1" s="1"/>
  <c r="N494" i="1" a="1"/>
  <c r="N494" i="1" s="1"/>
  <c r="T494" i="1" s="1"/>
  <c r="N495" i="1" a="1"/>
  <c r="N495" i="1" s="1"/>
  <c r="T495" i="1" s="1"/>
  <c r="N496" i="1" a="1"/>
  <c r="N496" i="1" s="1"/>
  <c r="T496" i="1" s="1"/>
  <c r="N497" i="1" a="1"/>
  <c r="N497" i="1" s="1"/>
  <c r="T497" i="1" s="1"/>
  <c r="N498" i="1" a="1"/>
  <c r="N498" i="1" s="1"/>
  <c r="T498" i="1" s="1"/>
  <c r="N499" i="1" a="1"/>
  <c r="N499" i="1" s="1"/>
  <c r="T499" i="1" s="1"/>
  <c r="N500" i="1" a="1"/>
  <c r="N500" i="1" s="1"/>
  <c r="T500" i="1" s="1"/>
  <c r="N501" i="1" a="1"/>
  <c r="N501" i="1" s="1"/>
  <c r="T501" i="1" s="1"/>
  <c r="N502" i="1" a="1"/>
  <c r="N502" i="1" s="1"/>
  <c r="T50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2" i="2"/>
  <c r="P2" i="1" l="1" a="1"/>
  <c r="P2" i="1" s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<sst xmlns="http://schemas.openxmlformats.org/spreadsheetml/2006/main" count="4162" uniqueCount="648">
  <si>
    <t>JENIS_MATERIAL</t>
  </si>
  <si>
    <t>PROFILE_SIZE</t>
  </si>
  <si>
    <t>METODE_HITUNG</t>
  </si>
  <si>
    <t>FINISHING</t>
  </si>
  <si>
    <t>Pagar</t>
  </si>
  <si>
    <t>PER-M2</t>
  </si>
  <si>
    <t>Kanopi</t>
  </si>
  <si>
    <t>Pintu Gerbang</t>
  </si>
  <si>
    <t>Teralis</t>
  </si>
  <si>
    <t>PER-LUBANG</t>
  </si>
  <si>
    <t>Pintu Handerson</t>
  </si>
  <si>
    <t>Jenis Material</t>
  </si>
  <si>
    <t>Tambahan Harga per m2</t>
  </si>
  <si>
    <t>Hollow</t>
  </si>
  <si>
    <t>Pipa Stainless</t>
  </si>
  <si>
    <t>Hollow Stainless</t>
  </si>
  <si>
    <t>Finishing</t>
  </si>
  <si>
    <t>Harga Tambahan</t>
  </si>
  <si>
    <t>Cat Dasar</t>
  </si>
  <si>
    <t>Cat Biasa</t>
  </si>
  <si>
    <t>Cat Duco</t>
  </si>
  <si>
    <t>Kerumitan</t>
  </si>
  <si>
    <t>Tambahan Harga</t>
  </si>
  <si>
    <t>Sederhana</t>
  </si>
  <si>
    <t>Menengah</t>
  </si>
  <si>
    <t>Kompleks</t>
  </si>
  <si>
    <t>ORD-00001</t>
  </si>
  <si>
    <t>Bu Yani</t>
  </si>
  <si>
    <t>Suradadi</t>
  </si>
  <si>
    <t>3x6</t>
  </si>
  <si>
    <t>ORD-00002</t>
  </si>
  <si>
    <t>Kontraktor Budi</t>
  </si>
  <si>
    <t>Margasari</t>
  </si>
  <si>
    <t>4x4</t>
  </si>
  <si>
    <t>ORD-00003</t>
  </si>
  <si>
    <t>4x8</t>
  </si>
  <si>
    <t>ORD-00004</t>
  </si>
  <si>
    <t>Bu Ningsih</t>
  </si>
  <si>
    <t>Talang</t>
  </si>
  <si>
    <t>ORD-00005</t>
  </si>
  <si>
    <t>Bu Wati</t>
  </si>
  <si>
    <t>Balapulang</t>
  </si>
  <si>
    <t>ORD-00006</t>
  </si>
  <si>
    <t>Perumahan Tegal Asri</t>
  </si>
  <si>
    <t>Jatinegara</t>
  </si>
  <si>
    <t>ORD-00007</t>
  </si>
  <si>
    <t>4x6</t>
  </si>
  <si>
    <t>ORD-00008</t>
  </si>
  <si>
    <t>ORD-00009</t>
  </si>
  <si>
    <t>Mas Andi</t>
  </si>
  <si>
    <t>ORD-00010</t>
  </si>
  <si>
    <t>ORD-00011</t>
  </si>
  <si>
    <t>ORD-00012</t>
  </si>
  <si>
    <t>Mbak Tutik</t>
  </si>
  <si>
    <t>Kramat</t>
  </si>
  <si>
    <t>ORD-00013</t>
  </si>
  <si>
    <t>Warung Makan Bu Tini</t>
  </si>
  <si>
    <t>Slawi</t>
  </si>
  <si>
    <t>ORD-00014</t>
  </si>
  <si>
    <t>Bu Umi</t>
  </si>
  <si>
    <t>ORD-00015</t>
  </si>
  <si>
    <t>Lebaksiu</t>
  </si>
  <si>
    <t>ORD-00016</t>
  </si>
  <si>
    <t>CV Griya Mandiri</t>
  </si>
  <si>
    <t>ORD-00017</t>
  </si>
  <si>
    <t>Mas Budi</t>
  </si>
  <si>
    <t>ORD-00018</t>
  </si>
  <si>
    <t>ORD-00019</t>
  </si>
  <si>
    <t>Mbak Sri</t>
  </si>
  <si>
    <t>Bojong</t>
  </si>
  <si>
    <t>ORD-00020</t>
  </si>
  <si>
    <t>Mas Joko</t>
  </si>
  <si>
    <t>ORD-00021</t>
  </si>
  <si>
    <t>BUMDES Bojong</t>
  </si>
  <si>
    <t>ORD-00022</t>
  </si>
  <si>
    <t>Pagerbarang</t>
  </si>
  <si>
    <t>ORD-00023</t>
  </si>
  <si>
    <t>Pak Warno</t>
  </si>
  <si>
    <t>ORD-00024</t>
  </si>
  <si>
    <t>ORD-00025</t>
  </si>
  <si>
    <t>ORD-00026</t>
  </si>
  <si>
    <t>Bu Siti</t>
  </si>
  <si>
    <t>ORD-00027</t>
  </si>
  <si>
    <t>Mbak Retno</t>
  </si>
  <si>
    <t>ORD-00028</t>
  </si>
  <si>
    <t>ORD-00029</t>
  </si>
  <si>
    <t>Bu Yatmi</t>
  </si>
  <si>
    <t>Dukuhturi</t>
  </si>
  <si>
    <t>ORD-00030</t>
  </si>
  <si>
    <t>ORD-00031</t>
  </si>
  <si>
    <t>Pak Sugeng</t>
  </si>
  <si>
    <t>Lengkong</t>
  </si>
  <si>
    <t>ORD-00032</t>
  </si>
  <si>
    <t>Pak Hadi</t>
  </si>
  <si>
    <t>ORD-00033</t>
  </si>
  <si>
    <t>ORD-00034</t>
  </si>
  <si>
    <t>Mushola Al-Ikhlas</t>
  </si>
  <si>
    <t>ORD-00035</t>
  </si>
  <si>
    <t>ORD-00036</t>
  </si>
  <si>
    <t>ORD-00037</t>
  </si>
  <si>
    <t>ORD-00038</t>
  </si>
  <si>
    <t>Mas Rudi</t>
  </si>
  <si>
    <t>ORD-00039</t>
  </si>
  <si>
    <t>Mas Agus</t>
  </si>
  <si>
    <t>ORD-00040</t>
  </si>
  <si>
    <t>Tarub</t>
  </si>
  <si>
    <t>ORD-00041</t>
  </si>
  <si>
    <t>ORD-00042</t>
  </si>
  <si>
    <t>Warureja</t>
  </si>
  <si>
    <t>ORD-00043</t>
  </si>
  <si>
    <t>Pak Bambang</t>
  </si>
  <si>
    <t>ORD-00044</t>
  </si>
  <si>
    <t>Toko Kelontong Berkah</t>
  </si>
  <si>
    <t>ORD-00045</t>
  </si>
  <si>
    <t>ORD-00046</t>
  </si>
  <si>
    <t>Balai Desa Warureja</t>
  </si>
  <si>
    <t>ORD-00047</t>
  </si>
  <si>
    <t>Pak Kasno</t>
  </si>
  <si>
    <t>ORD-00048</t>
  </si>
  <si>
    <t>ORD-00049</t>
  </si>
  <si>
    <t>ORD-00050</t>
  </si>
  <si>
    <t>Adiwerna</t>
  </si>
  <si>
    <t>ORD-00051</t>
  </si>
  <si>
    <t>CV Bangun Jaya</t>
  </si>
  <si>
    <t>ORD-00052</t>
  </si>
  <si>
    <t>ORD-00053</t>
  </si>
  <si>
    <t>Pak Sutrisno</t>
  </si>
  <si>
    <t>ORD-00054</t>
  </si>
  <si>
    <t>ORD-00055</t>
  </si>
  <si>
    <t>Mbak Lina</t>
  </si>
  <si>
    <t>ORD-00056</t>
  </si>
  <si>
    <t>ORD-00057</t>
  </si>
  <si>
    <t>ORD-00058</t>
  </si>
  <si>
    <t>Bu Endang</t>
  </si>
  <si>
    <t>ORD-00059</t>
  </si>
  <si>
    <t>ORD-00060</t>
  </si>
  <si>
    <t>ORD-00061</t>
  </si>
  <si>
    <t>ORD-00062</t>
  </si>
  <si>
    <t>ORD-00063</t>
  </si>
  <si>
    <t>Mbak Sari</t>
  </si>
  <si>
    <t>ORD-00064</t>
  </si>
  <si>
    <t>ORD-00065</t>
  </si>
  <si>
    <t>ORD-00066</t>
  </si>
  <si>
    <t>Masjid Nurul Huda</t>
  </si>
  <si>
    <t>ORD-00067</t>
  </si>
  <si>
    <t>ORD-00068</t>
  </si>
  <si>
    <t>ORD-00069</t>
  </si>
  <si>
    <t>ORD-00070</t>
  </si>
  <si>
    <t>TPQ Al-Falah</t>
  </si>
  <si>
    <t>ORD-00071</t>
  </si>
  <si>
    <t>ORD-00072</t>
  </si>
  <si>
    <t>ORD-00073</t>
  </si>
  <si>
    <t>ORD-00074</t>
  </si>
  <si>
    <t>ORD-00075</t>
  </si>
  <si>
    <t>ORD-00076</t>
  </si>
  <si>
    <t>ORD-00077</t>
  </si>
  <si>
    <t>Pak Slamet</t>
  </si>
  <si>
    <t>ORD-00078</t>
  </si>
  <si>
    <t>ORD-00079</t>
  </si>
  <si>
    <t>Pak Jarwo</t>
  </si>
  <si>
    <t>ORD-00080</t>
  </si>
  <si>
    <t>ORD-00081</t>
  </si>
  <si>
    <t>ORD-00082</t>
  </si>
  <si>
    <t>Mushola Ar-Rahman</t>
  </si>
  <si>
    <t>ORD-00083</t>
  </si>
  <si>
    <t>ORD-00084</t>
  </si>
  <si>
    <t>ORD-00085</t>
  </si>
  <si>
    <t>Toko Kayu Jati</t>
  </si>
  <si>
    <t>ORD-00086</t>
  </si>
  <si>
    <t>Pak Karso</t>
  </si>
  <si>
    <t>ORD-00087</t>
  </si>
  <si>
    <t>Warung Kopi Pak Mul</t>
  </si>
  <si>
    <t>ORD-00088</t>
  </si>
  <si>
    <t>ORD-00089</t>
  </si>
  <si>
    <t>ORD-00090</t>
  </si>
  <si>
    <t>ORD-00091</t>
  </si>
  <si>
    <t>ORD-00092</t>
  </si>
  <si>
    <t>ORD-00093</t>
  </si>
  <si>
    <t>ORD-00094</t>
  </si>
  <si>
    <t>Bu Marni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</si>
  <si>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</si>
  <si>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</si>
  <si>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</si>
  <si>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</si>
  <si>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</si>
  <si>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</si>
  <si>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</si>
  <si>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</si>
  <si>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</si>
  <si>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</si>
  <si>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</si>
  <si>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</si>
  <si>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</si>
  <si>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Mbak Tuti</t>
  </si>
  <si>
    <t>ORD-00108</t>
  </si>
  <si>
    <t>ORD-00109</t>
  </si>
  <si>
    <t>ORD-00110</t>
  </si>
  <si>
    <t>ORD-00111</t>
  </si>
  <si>
    <t>ORD-00112</t>
  </si>
  <si>
    <t>Pak Tukiman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</si>
  <si>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</si>
  <si>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</si>
  <si>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</si>
  <si>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</si>
  <si>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</si>
  <si>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</si>
  <si>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</si>
  <si>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</si>
  <si>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</si>
  <si>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</si>
  <si>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</si>
  <si>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</si>
  <si>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</si>
  <si>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</si>
  <si>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</si>
  <si>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</si>
  <si>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</si>
  <si>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</si>
  <si>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</si>
  <si>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</si>
  <si>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Konter HP Mandiri</t>
  </si>
  <si>
    <t>ORD-00133</t>
  </si>
  <si>
    <t>ORD-00134</t>
  </si>
  <si>
    <t>ORD-00135</t>
  </si>
  <si>
    <t>ORD-00136</t>
  </si>
  <si>
    <t>ORD-00137</t>
  </si>
  <si>
    <t>ORD-00138</t>
  </si>
  <si>
    <t>ORD-00139</t>
  </si>
  <si>
    <t>Toko Besi Sumber Rejeki</t>
  </si>
  <si>
    <t>ORD-00140</t>
  </si>
  <si>
    <t>ORD-00141</t>
  </si>
  <si>
    <t>ORD-00142</t>
  </si>
  <si>
    <t>Bu Puji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</si>
  <si>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</si>
  <si>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</si>
  <si>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</si>
  <si>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</si>
  <si>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</si>
  <si>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</si>
  <si>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</si>
  <si>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</si>
  <si>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</si>
  <si>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</si>
  <si>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</si>
  <si>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</si>
  <si>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</si>
  <si>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</si>
  <si>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</si>
  <si>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</si>
  <si>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</si>
  <si>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</si>
  <si>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Bu Surti</t>
  </si>
  <si>
    <t>ORD-00161</t>
  </si>
  <si>
    <t>ORD-00162</t>
  </si>
  <si>
    <t>ORD-00163</t>
  </si>
  <si>
    <t>ORD-00164</t>
  </si>
  <si>
    <t>ORD-00165</t>
  </si>
  <si>
    <t>ORD-00166</t>
  </si>
  <si>
    <t>PT Karya Sentosa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</si>
  <si>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</si>
  <si>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</si>
  <si>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</si>
  <si>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</si>
  <si>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</si>
  <si>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</si>
  <si>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</si>
  <si>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</si>
  <si>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</si>
  <si>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</si>
  <si>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</si>
  <si>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Kantor Desa Lengkong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</si>
  <si>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</si>
  <si>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</si>
  <si>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</si>
  <si>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</si>
  <si>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</si>
  <si>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</si>
  <si>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</si>
  <si>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</si>
  <si>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</si>
  <si>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Fotocopy Rizki</t>
  </si>
  <si>
    <t>ORD-00187</t>
  </si>
  <si>
    <t>ORD-00188</t>
  </si>
  <si>
    <t>ORD-00189</t>
  </si>
  <si>
    <t>ORD-00190</t>
  </si>
  <si>
    <t>Warung Nasi Bu Sum</t>
  </si>
  <si>
    <t>ORD-00191</t>
  </si>
  <si>
    <t>ORD-00192</t>
  </si>
  <si>
    <t>MI Muhammadiyah</t>
  </si>
  <si>
    <t>ORD-00193</t>
  </si>
  <si>
    <t>ORD-00194</t>
  </si>
  <si>
    <t>ORD-00195</t>
  </si>
  <si>
    <t>ORD-00196</t>
  </si>
  <si>
    <t>ORD-00197</t>
  </si>
  <si>
    <t>ORD-00198</t>
  </si>
  <si>
    <t>ORD-00199</t>
  </si>
  <si>
    <t>SDN 1 Bojong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</si>
  <si>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</si>
  <si>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</si>
  <si>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</si>
  <si>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</si>
  <si>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</si>
  <si>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</si>
  <si>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</si>
  <si>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</si>
  <si>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</si>
  <si>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</si>
  <si>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</si>
  <si>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</si>
  <si>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</si>
  <si>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</si>
  <si>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</si>
  <si>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</si>
  <si>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</si>
  <si>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</si>
  <si>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</si>
  <si>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</si>
  <si>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</si>
  <si>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</si>
  <si>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</si>
  <si>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</si>
  <si>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</si>
  <si>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</si>
  <si>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</si>
  <si>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</si>
  <si>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</si>
  <si>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</si>
  <si>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</si>
  <si>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</si>
  <si>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</si>
  <si>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</si>
  <si>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</si>
  <si>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</si>
  <si>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</si>
  <si>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</si>
  <si>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</si>
  <si>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</si>
  <si>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</si>
  <si>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</si>
  <si>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</si>
  <si>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</si>
  <si>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</si>
  <si>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</si>
  <si>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</si>
  <si>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Puskesmas Bojong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</si>
  <si>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</si>
  <si>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</si>
  <si>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</si>
  <si>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</si>
  <si>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</si>
  <si>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</si>
  <si>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</si>
  <si>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</si>
  <si>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</si>
  <si>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</si>
  <si>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</si>
  <si>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</si>
  <si>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</si>
  <si>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</si>
  <si>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</si>
  <si>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</si>
  <si>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</si>
  <si>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</si>
  <si>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</si>
  <si>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</si>
  <si>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</si>
  <si>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</si>
  <si>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</si>
  <si>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</si>
  <si>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</si>
  <si>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</si>
  <si>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</si>
  <si>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</si>
  <si>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</si>
  <si>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</si>
  <si>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</si>
  <si>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</si>
  <si>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</si>
  <si>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</si>
  <si>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</si>
  <si>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</si>
  <si>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</si>
  <si>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</si>
  <si>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</si>
  <si>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</si>
  <si>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</si>
  <si>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</si>
  <si>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</si>
  <si>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</si>
  <si>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</si>
  <si>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</si>
  <si>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</si>
  <si>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</si>
  <si>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</si>
  <si>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</si>
  <si>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</si>
  <si>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</si>
  <si>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</si>
  <si>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</si>
  <si>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</si>
  <si>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</si>
  <si>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</si>
  <si>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</si>
  <si>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</si>
  <si>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</si>
  <si>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</si>
  <si>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</si>
  <si>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</si>
  <si>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</si>
  <si>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</si>
  <si>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</si>
  <si>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</si>
  <si>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</si>
  <si>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</si>
  <si>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</si>
  <si>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</si>
  <si>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</si>
  <si>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</si>
  <si>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</si>
  <si>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</si>
  <si>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</si>
  <si>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</si>
  <si>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</si>
  <si>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</si>
  <si>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</si>
  <si>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</si>
  <si>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</si>
  <si>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</si>
  <si>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</si>
  <si>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</si>
  <si>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</si>
  <si>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</si>
  <si>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</si>
  <si>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</si>
  <si>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</si>
  <si>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</si>
  <si>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</si>
  <si>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</si>
  <si>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</si>
  <si>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</si>
  <si>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</si>
  <si>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</si>
  <si>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</si>
  <si>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</si>
  <si>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</si>
  <si>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</si>
  <si>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</si>
  <si>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</si>
  <si>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</si>
  <si>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</si>
  <si>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</si>
  <si>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</si>
  <si>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</si>
  <si>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</si>
  <si>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</si>
  <si>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</si>
  <si>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</si>
  <si>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</si>
  <si>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</si>
  <si>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</si>
  <si>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</si>
  <si>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</si>
  <si>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</si>
  <si>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</si>
  <si>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</si>
  <si>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</si>
  <si>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</si>
  <si>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</si>
  <si>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</si>
  <si>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</si>
  <si>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</si>
  <si>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</si>
  <si>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</si>
  <si>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</si>
  <si>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</si>
  <si>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</si>
  <si>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</si>
  <si>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</si>
  <si>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</si>
  <si>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</si>
  <si>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</si>
  <si>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</si>
  <si>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</si>
  <si>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</si>
  <si>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</si>
  <si>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</si>
  <si>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</si>
  <si>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</si>
  <si>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</si>
  <si>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</si>
  <si>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</si>
  <si>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</si>
  <si>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</si>
  <si>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</si>
  <si>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</si>
  <si>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</si>
  <si>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</si>
  <si>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</si>
  <si>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</si>
  <si>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</si>
  <si>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</si>
  <si>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</si>
  <si>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</si>
  <si>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</si>
  <si>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</si>
  <si>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</si>
  <si>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</si>
  <si>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</si>
  <si>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</si>
  <si>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</si>
  <si>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</si>
  <si>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</si>
  <si>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</si>
  <si>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</si>
  <si>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</si>
  <si>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</si>
  <si>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</si>
  <si>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</si>
  <si>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</si>
  <si>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</si>
  <si>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</si>
  <si>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</si>
  <si>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</si>
  <si>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</si>
  <si>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</si>
  <si>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</si>
  <si>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</si>
  <si>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</si>
  <si>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</si>
  <si>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</si>
  <si>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</si>
  <si>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</si>
  <si>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</si>
  <si>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</si>
  <si>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</si>
  <si>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</si>
  <si>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</si>
  <si>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</si>
  <si>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</si>
  <si>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</si>
  <si>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</si>
  <si>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</si>
  <si>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</si>
  <si>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</si>
  <si>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</si>
  <si>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</si>
  <si>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</si>
  <si>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</si>
  <si>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</si>
  <si>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</si>
  <si>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</si>
  <si>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</si>
  <si>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</si>
  <si>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</si>
  <si>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</si>
  <si>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</si>
  <si>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</si>
  <si>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</si>
  <si>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</si>
  <si>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</si>
  <si>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</si>
  <si>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</si>
  <si>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</si>
  <si>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</si>
  <si>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</si>
  <si>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</si>
  <si>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</si>
  <si>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</si>
  <si>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</si>
  <si>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</si>
  <si>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</si>
  <si>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</si>
  <si>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</si>
  <si>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</si>
  <si>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</si>
  <si>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</si>
  <si>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</si>
  <si>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</si>
  <si>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SMPN 2 Bojong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</si>
  <si>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</si>
  <si>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</si>
  <si>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</si>
  <si>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</si>
  <si>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</si>
  <si>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</si>
  <si>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</si>
  <si>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</si>
  <si>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</si>
  <si>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</si>
  <si>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</si>
  <si>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</si>
  <si>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</si>
  <si>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</si>
  <si>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</si>
  <si>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</si>
  <si>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</si>
  <si>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</si>
  <si>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</si>
  <si>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</si>
  <si>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</si>
  <si>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Profile Size</t>
  </si>
  <si>
    <t>Ketebalan (mm)</t>
  </si>
  <si>
    <t>PENYESUAIAN_HARGA</t>
  </si>
  <si>
    <t>KETEBALAN_MATERIAL(mm)</t>
  </si>
  <si>
    <t>UPAH_PER_M2</t>
  </si>
  <si>
    <t>UPAH_PER_LUBANG</t>
  </si>
  <si>
    <t>-</t>
  </si>
  <si>
    <t>HARGA_TAMBAHAN</t>
  </si>
  <si>
    <t>KERUMITAN</t>
  </si>
  <si>
    <t>Mas Malik</t>
  </si>
  <si>
    <t>Muhidin</t>
  </si>
  <si>
    <t>2x2</t>
  </si>
  <si>
    <t>1x3</t>
  </si>
  <si>
    <t>2x4</t>
  </si>
  <si>
    <t>1.5inch</t>
  </si>
  <si>
    <t>2inch</t>
  </si>
  <si>
    <t>Salon Titi</t>
  </si>
  <si>
    <t>Tanpa Cat</t>
  </si>
  <si>
    <t>ORD-00501</t>
  </si>
  <si>
    <t>KEY</t>
  </si>
  <si>
    <t>Produk</t>
  </si>
  <si>
    <t>Tahun</t>
  </si>
  <si>
    <t>Harga Hollow</t>
  </si>
  <si>
    <t>Harga Hollow Stainless</t>
  </si>
  <si>
    <t>Harga Pipa Stainless</t>
  </si>
  <si>
    <t>Railing</t>
  </si>
  <si>
    <t>UPAH_PER_M</t>
  </si>
  <si>
    <t>PER-M</t>
  </si>
  <si>
    <t>order_id</t>
  </si>
  <si>
    <t>tanggal</t>
  </si>
  <si>
    <t>tahun</t>
  </si>
  <si>
    <t>pelanggan</t>
  </si>
  <si>
    <t>lokasi</t>
  </si>
  <si>
    <t>produk</t>
  </si>
  <si>
    <t>jenis_material</t>
  </si>
  <si>
    <t>profile_size</t>
  </si>
  <si>
    <t>ketebalan_material</t>
  </si>
  <si>
    <t>ukuran</t>
  </si>
  <si>
    <t>jumlah_unit</t>
  </si>
  <si>
    <t>jumlah_lubang</t>
  </si>
  <si>
    <t>metode_hitung</t>
  </si>
  <si>
    <t>harga_per_m2</t>
  </si>
  <si>
    <t>harga_per_m</t>
  </si>
  <si>
    <t>harga_per_lubang</t>
  </si>
  <si>
    <t>upah_tenaga_ahli</t>
  </si>
  <si>
    <t>finishing</t>
  </si>
  <si>
    <t>kerumitan_desain</t>
  </si>
  <si>
    <t>harga_final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</si>
</sst>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/>
    <xf numFmtId="14" fontId="0" fillId="0" borderId="0" xfId="0" applyNumberFormat="1"/>
    <xf numFmtId="0" fontId="2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2"/>
  <sheetViews>
    <sheetView tabSelected="1" topLeftCell="C17" zoomScaleNormal="100" workbookViewId="0">
      <selection activeCell="D17" sqref="D17"/>
    </sheetView>
  </sheetViews>
  <sheetFormatPr defaultRowHeight="14.25" x14ac:dyDescent="0.45"/>
  <cols>
    <col min="1" max="1" width="9.86328125" bestFit="1" customWidth="1"/>
    <col min="2" max="2" width="15.1328125" bestFit="1" customWidth="1"/>
    <col min="3" max="3" width="10.73046875" customWidth="1"/>
    <col min="4" max="4" width="10.6640625" bestFit="1" customWidth="1"/>
    <col min="5" max="5" width="19" bestFit="1" customWidth="1"/>
    <col min="6" max="7" width="14.3984375" bestFit="1" customWidth="1"/>
    <col min="8" max="8" width="11.53125" bestFit="1" customWidth="1"/>
    <col min="9" max="10" width="21.19921875" bestFit="1" customWidth="1"/>
    <col min="11" max="11" width="15.33203125" bestFit="1" customWidth="1"/>
    <col min="12" max="12" width="15.1328125" bestFit="1" customWidth="1"/>
    <col min="13" max="13" width="15.6640625" bestFit="1" customWidth="1"/>
    <col min="14" max="14" width="19.33203125" bestFit="1" customWidth="1"/>
    <col min="15" max="15" width="19.33203125" customWidth="1"/>
    <col min="16" max="16" width="19.33203125" bestFit="1" customWidth="1"/>
    <col min="17" max="17" width="18.6640625" bestFit="1" customWidth="1"/>
    <col min="18" max="18" width="17.796875" bestFit="1" customWidth="1"/>
    <col min="19" max="19" width="15.59765625" bestFit="1" customWidth="1"/>
    <col min="20" max="20" width="15.9296875" bestFit="1" customWidth="1"/>
  </cols>
  <sheetData>
    <row r="1" spans="1:20" x14ac:dyDescent="0.45">
      <c r="A1" s="1" t="s">
        <v>628</v>
      </c>
      <c r="B1" s="1" t="s">
        <v>629</v>
      </c>
      <c r="C1" s="6" t="s">
        <v>630</v>
      </c>
      <c r="D1" s="1" t="s">
        <v>631</v>
      </c>
      <c r="E1" s="1" t="s">
        <v>632</v>
      </c>
      <c r="F1" s="1" t="s">
        <v>633</v>
      </c>
      <c r="G1" s="1" t="s">
        <v>634</v>
      </c>
      <c r="H1" s="1" t="s">
        <v>635</v>
      </c>
      <c r="I1" s="1" t="s">
        <v>636</v>
      </c>
      <c r="J1" s="7" t="s">
        <v>637</v>
      </c>
      <c r="K1" s="1" t="s">
        <v>638</v>
      </c>
      <c r="L1" s="1" t="s">
        <v>639</v>
      </c>
      <c r="M1" s="1" t="s">
        <v>640</v>
      </c>
      <c r="N1" s="1" t="s">
        <v>641</v>
      </c>
      <c r="O1" s="1" t="s">
        <v>642</v>
      </c>
      <c r="P1" s="1" t="s">
        <v>643</v>
      </c>
      <c r="Q1" s="1" t="s">
        <v>644</v>
      </c>
      <c r="R1" s="1" t="s">
        <v>645</v>
      </c>
      <c r="S1" s="1" t="s">
        <v>646</v>
      </c>
      <c r="T1" s="1" t="s">
        <v>647</v>
      </c>
    </row>
    <row r="2" spans="1:20" x14ac:dyDescent="0.45">
      <c r="A2" t="s">
        <v>26</v>
      </c>
      <c r="B2" s="5">
        <v>43919</v>
      </c>
      <c r="C2">
        <f>IF($B2="","",YEAR($B2))</f>
        <v>2020</v>
      </c>
      <c r="D2" t="s">
        <v>27</v>
      </c>
      <c r="E2" t="s">
        <v>28</v>
      </c>
      <c r="F2" t="s">
        <v>10</v>
      </c>
      <c r="G2" t="s">
        <v>13</v>
      </c>
      <c r="H2" t="s">
        <v>33</v>
      </c>
      <c r="I2">
        <v>0.8</v>
      </c>
      <c r="J2">
        <v>4.7300000000000004</v>
      </c>
      <c r="K2">
        <v>1</v>
      </c>
      <c r="L2">
        <v>0</v>
      </c>
      <c r="M2" t="str" cm="1">
        <f t="array" ref="M2">_xlfn.IFS(
   OR($F2="Pagar", $F2="Pintu Gerbang", $F2="Pintu Handerson", $F2="Kanopi"), "PER-M2",
   $F2="Teralis", "PER-LUBANG",
   OR($F2="Railing", $F2="Railing/Balkon"), "PER-M",
   TRUE, ""
)</f>
        <v>PER-M2</v>
      </c>
      <c r="N2" cm="1">
        <f t="array" ref="N2">IF($M2="PER-M2",
  IFERROR(
     _xlfn.IFS(
        $G2="Hollow",
            INDEX('Referensi Harga'!$C:$C,
                  MATCH($F2&amp;$C2,'Referensi Harga'!$A:$A&amp;'Referensi Harga'!$B:$B,0)),
        $G2="Hollow Stainless",
            INDEX('Referensi Harga'!$D:$D,
                  MATCH($F2&amp;$C2,'Referensi Harga'!$A:$A&amp;'Referensi Harga'!$B:$B,0)),
        $G2="Pipa Stainless",
            INDEX('Referensi Harga'!$E:$E,
                  MATCH($F2&amp;$C2,'Referensi Harga'!$A:$A&amp;'Referensi Harga'!$B:$B,0))
     ),0)
  + IFERROR(VLOOKUP($H2,'Profile Size'!$A:$B,2,FALSE),0)
  + IFERROR(VLOOKUP($I2,'Ketebalan Material'!$A:$B,2,FALSE),0),
0)</f>
        <v>800000</v>
      </c>
      <c r="O2">
        <f>IF($M2="PER-M",
  IFERROR(
    IF($G2="Hollow",
       INDEX('Referensi Harga'!$C:$C, MATCH($F2 &amp; "|" &amp; $C2, 'Referensi Harga'!$F:$F, 0)),
    IF($G2="Hollow Stainless",
       INDEX('Referensi Harga'!$D:$D, MATCH($F2 &amp; "|" &amp; $C2, 'Referensi Harga'!$F:$F, 0)),
       INDEX('Referensi Harga'!$E:$E, MATCH($F2 &amp; "|" &amp; $C2, 'Referensi Harga'!$F:$F, 0))
    ))
    + IFERROR(VLOOKUP($H2, 'Profile Size'!$A:$B, 2, FALSE), 0)
    + IFERROR(VLOOKUP($I2, 'Ketebalan Material'!$A:$B, 2, FALSE), 0), 0),
0)</f>
        <v>0</v>
      </c>
      <c r="P2" cm="1">
        <f t="array" ref="P2">IF($M2="PER-LUBANG",
  IFERROR(
     _xlfn.IFS(
        $G2="Hollow",
            INDEX('Referensi Harga'!$C:$C,
                  MATCH($F2&amp;$C2,'Referensi Harga'!$A:$A&amp;'Referensi Harga'!$B:$B,0)),
        $G2="Hollow Stainless",
            INDEX('Referensi Harga'!$D:$D,
                  MATCH($F2&amp;$C2,'Referensi Harga'!$A:$A&amp;'Referensi Harga'!$B:$B,0)),
        $G2="Pipa Stainless",
            INDEX('Referensi Harga'!$E:$E,
                  MATCH($F2&amp;$C2,'Referensi Harga'!$A:$A&amp;'Referensi Harga'!$B:$B,0))
     ),0)
  + IFERROR(VLOOKUP($H2,'Profile Size'!$A:$B,2,FALSE),0)
  + IFERROR(VLOOKUP($I2,'Ketebalan Material'!$A:$B,2,FALSE),0),
0)</f>
        <v>0</v>
      </c>
      <c r="Q2">
        <f>IF($M2="PER-M2",
    IFERROR(
        SUMIFS('Upah Tenaga Ahli'!$C:$C,
               'Upah Tenaga Ahli'!$A:$A,"PER-M2",
               'Upah Tenaga Ahli'!$B:$B,$G2
        ) * $J2 * $K2,
    0),
IF($M2="PER-LUBANG",
    IFERROR(
        SUMIFS('Upah Tenaga Ahli'!$D:$D,
               'Upah Tenaga Ahli'!$A:$A,"PER-LUBANG",
               'Upah Tenaga Ahli'!$B:$B,$G2
        ) * $L2 * $K2,
    0),
IF($M2="PER-M",
    IFERROR(
        SUMIFS('Upah Tenaga Ahli'!$E:$E,
               'Upah Tenaga Ahli'!$A:$A,"PER-M",
               'Upah Tenaga Ahli'!$B:$B,$G2
        ) * $J2 * $K2,
    0),
0)))</f>
        <v>473000.00000000006</v>
      </c>
      <c r="R2" t="s">
        <v>19</v>
      </c>
      <c r="S2" t="s">
        <v>23</v>
      </c>
      <c r="T2">
        <f>IF($M2="PER-M2",
   ($N2 * $J2 * $K2)
   + IFERROR(VLOOKUP($R2,Finishing!A:B,2,FALSE),0)
   + IFERROR(VLOOKUP($S2,Kerumitan!A:B,2,FALSE),0),
IF($M2="PER-LUBANG",
   ($P2 * $L2 * $K2)
   + IFERROR(VLOOKUP($R2,Finishing!A:B,2,FALSE),0)
   + IFERROR(VLOOKUP($S2,Kerumitan!A:B,2,FALSE),0),
IF($M2="PER-M",
   ($O2 * $J2 * $K2)
   + IFERROR(VLOOKUP($R2,Finishing!A:B,2,FALSE),0)
   + IFERROR(VLOOKUP($S2,Kerumitan!A:B,2,FALSE),0),
0)))</f>
        <v>3834000.0000000005</v>
      </c>
    </row>
    <row r="3" spans="1:20" x14ac:dyDescent="0.45">
      <c r="A3" t="s">
        <v>30</v>
      </c>
      <c r="B3" s="5">
        <v>45497</v>
      </c>
      <c r="C3">
        <f t="shared" ref="C3:C66" si="0">IF($B3="","",YEAR($B3))</f>
        <v>2024</v>
      </c>
      <c r="D3" t="s">
        <v>31</v>
      </c>
      <c r="E3" t="s">
        <v>32</v>
      </c>
      <c r="F3" t="s">
        <v>625</v>
      </c>
      <c r="G3" t="s">
        <v>13</v>
      </c>
      <c r="H3" t="s">
        <v>33</v>
      </c>
      <c r="I3">
        <v>0.8</v>
      </c>
      <c r="J3">
        <v>2.7</v>
      </c>
      <c r="K3">
        <v>3</v>
      </c>
      <c r="L3">
        <v>0</v>
      </c>
      <c r="M3" t="str" cm="1">
        <f t="array" ref="M3">_xlfn.IFS(
   OR($F3="Pagar", $F3="Pintu Gerbang", $F3="Pintu Handerson", $F3="Kanopi"), "PER-M2",
   $F3="Teralis", "PER-LUBANG",
   OR($F3="Railing", $F3="Railing/Balkon"), "PER-M",
   TRUE, ""
)</f>
        <v>PER-M</v>
      </c>
      <c r="N3" cm="1">
        <f t="array" ref="N3">IF($M3="PER-M2",
  IFERROR(
     _xlfn.IFS(
        $G3="Hollow",
            INDEX('Referensi Harga'!$C:$C,
                  MATCH($F3&amp;$C3,'Referensi Harga'!$A:$A&amp;'Referensi Harga'!$B:$B,0)),
        $G3="Hollow Stainless",
            INDEX('Referensi Harga'!$D:$D,
                  MATCH($F3&amp;$C3,'Referensi Harga'!$A:$A&amp;'Referensi Harga'!$B:$B,0)),
        $G3="Pipa Stainless",
            INDEX('Referensi Harga'!$E:$E,
                  MATCH($F3&amp;$C3,'Referensi Harga'!$A:$A&amp;'Referensi Harga'!$B:$B,0))
     ),0)
  + IFERROR(VLOOKUP($H3,'Profile Size'!$A:$B,2,FALSE),0)
  + IFERROR(VLOOKUP($I3,'Ketebalan Material'!$A:$B,2,FALSE),0),
0)</f>
        <v>0</v>
      </c>
      <c r="O3">
        <f>IF($M3="PER-M",
  IFERROR(
    IF($G3="Hollow",
       INDEX('Referensi Harga'!$C:$C, MATCH($F3 &amp; "|" &amp; $C3, 'Referensi Harga'!$F:$F, 0)),
    IF($G3="Hollow Stainless",
       INDEX('Referensi Harga'!$D:$D, MATCH($F3 &amp; "|" &amp; $C3, 'Referensi Harga'!$F:$F, 0)),
       INDEX('Referensi Harga'!$E:$E, MATCH($F3 &amp; "|" &amp; $C3, 'Referensi Harga'!$F:$F, 0))
    ))
    + IFERROR(VLOOKUP($H3, 'Profile Size'!$A:$B, 2, FALSE), 0)
    + IFERROR(VLOOKUP($I3, 'Ketebalan Material'!$A:$B, 2, FALSE), 0), 0),
0)</f>
        <v>500000</v>
      </c>
      <c r="P3" cm="1">
        <f t="array" ref="P3">IF($M3="PER-LUBANG",
  IFERROR(
     _xlfn.IFS(
        $G3="Hollow",
            INDEX('Referensi Harga'!$C:$C,
                  MATCH($F3&amp;$C3,'Referensi Harga'!$A:$A&amp;'Referensi Harga'!$B:$B,0)),
        $G3="Hollow Stainless",
            INDEX('Referensi Harga'!$D:$D,
                  MATCH($F3&amp;$C3,'Referensi Harga'!$A:$A&amp;'Referensi Harga'!$B:$B,0)),
        $G3="Pipa Stainless",
            INDEX('Referensi Harga'!$E:$E,
                  MATCH($F3&amp;$C3,'Referensi Harga'!$A:$A&amp;'Referensi Harga'!$B:$B,0))
     ),0)
  + IFERROR(VLOOKUP($H3,'Profile Size'!$A:$B,2,FALSE),0)
  + IFERROR(VLOOKUP($I3,'Ketebalan Material'!$A:$B,2,FALSE),0),
0)</f>
        <v>0</v>
      </c>
      <c r="Q3">
        <f>IF($M3="PER-M2",
    IFERROR(
        SUMIFS('Upah Tenaga Ahli'!$C:$C,
               'Upah Tenaga Ahli'!$A:$A,"PER-M2",
               'Upah Tenaga Ahli'!$B:$B,$G3
        ) * $J3 * $K3,
    0),
IF($M3="PER-LUBANG",
    IFERROR(
        SUMIFS('Upah Tenaga Ahli'!$D:$D,
               'Upah Tenaga Ahli'!$A:$A,"PER-LUBANG",
               'Upah Tenaga Ahli'!$B:$B,$G3
        ) * $L3 * $K3,
    0),
IF($M3="PER-M",
    IFERROR(
        SUMIFS('Upah Tenaga Ahli'!$E:$E,
               'Upah Tenaga Ahli'!$A:$A,"PER-M",
               'Upah Tenaga Ahli'!$B:$B,$G3
        ) * $J3 * $K3,
    0),
0)))</f>
        <v>810000</v>
      </c>
      <c r="R3" t="s">
        <v>19</v>
      </c>
      <c r="S3" t="s">
        <v>25</v>
      </c>
      <c r="T3">
        <f>IF($M3="PER-M2",
   ($N3 * $J3 * $K3)
   + IFERROR(VLOOKUP($R3,Finishing!A:B,2,FALSE),0)
   + IFERROR(VLOOKUP($S3,Kerumitan!A:B,2,FALSE),0),
IF($M3="PER-LUBANG",
   ($P3 * $L3 * $K3)
   + IFERROR(VLOOKUP($R3,Finishing!A:B,2,FALSE),0)
   + IFERROR(VLOOKUP($S3,Kerumitan!A:B,2,FALSE),0),
IF($M3="PER-M",
   ($O3 * $J3 * $K3)
   + IFERROR(VLOOKUP($R3,Finishing!A:B,2,FALSE),0)
   + IFERROR(VLOOKUP($S3,Kerumitan!A:B,2,FALSE),0),
0)))</f>
        <v>4250000</v>
      </c>
    </row>
    <row r="4" spans="1:20" x14ac:dyDescent="0.45">
      <c r="A4" t="s">
        <v>34</v>
      </c>
      <c r="B4" s="5">
        <v>44274</v>
      </c>
      <c r="C4">
        <f t="shared" si="0"/>
        <v>2021</v>
      </c>
      <c r="D4" t="s">
        <v>27</v>
      </c>
      <c r="E4" t="s">
        <v>32</v>
      </c>
      <c r="F4" t="s">
        <v>4</v>
      </c>
      <c r="G4" t="s">
        <v>15</v>
      </c>
      <c r="H4" t="s">
        <v>35</v>
      </c>
      <c r="I4">
        <v>1.2</v>
      </c>
      <c r="J4">
        <v>12.85</v>
      </c>
      <c r="K4">
        <v>1</v>
      </c>
      <c r="L4">
        <v>0</v>
      </c>
      <c r="M4" t="str" cm="1">
        <f t="array" ref="M4">_xlfn.IFS(
   OR($F4="Pagar", $F4="Pintu Gerbang", $F4="Pintu Handerson", $F4="Kanopi"), "PER-M2",
   $F4="Teralis", "PER-LUBANG",
   OR($F4="Railing", $F4="Railing/Balkon"), "PER-M",
   TRUE, ""
)</f>
        <v>PER-M2</v>
      </c>
      <c r="N4" cm="1">
        <f t="array" ref="N4">IF($M4="PER-M2",
  IFERROR(
     _xlfn.IFS(
        $G4="Hollow",
            INDEX('Referensi Harga'!$C:$C,
                  MATCH($F4&amp;$C4,'Referensi Harga'!$A:$A&amp;'Referensi Harga'!$B:$B,0)),
        $G4="Hollow Stainless",
            INDEX('Referensi Harga'!$D:$D,
                  MATCH($F4&amp;$C4,'Referensi Harga'!$A:$A&amp;'Referensi Harga'!$B:$B,0)),
        $G4="Pipa Stainless",
            INDEX('Referensi Harga'!$E:$E,
                  MATCH($F4&amp;$C4,'Referensi Harga'!$A:$A&amp;'Referensi Harga'!$B:$B,0))
     ),0)
  + IFERROR(VLOOKUP($H4,'Profile Size'!$A:$B,2,FALSE),0)
  + IFERROR(VLOOKUP($I4,'Ketebalan Material'!$A:$B,2,FALSE),0),
0)</f>
        <v>1300000</v>
      </c>
      <c r="O4">
        <f>IF($M4="PER-M",
  IFERROR(
    IF($G4="Hollow",
       INDEX('Referensi Harga'!$C:$C, MATCH($F4 &amp; "|" &amp; $C4, 'Referensi Harga'!$F:$F, 0)),
    IF($G4="Hollow Stainless",
       INDEX('Referensi Harga'!$D:$D, MATCH($F4 &amp; "|" &amp; $C4, 'Referensi Harga'!$F:$F, 0)),
       INDEX('Referensi Harga'!$E:$E, MATCH($F4 &amp; "|" &amp; $C4, 'Referensi Harga'!$F:$F, 0))
    ))
    + IFERROR(VLOOKUP($H4, 'Profile Size'!$A:$B, 2, FALSE), 0)
    + IFERROR(VLOOKUP($I4, 'Ketebalan Material'!$A:$B, 2, FALSE), 0), 0),
0)</f>
        <v>0</v>
      </c>
      <c r="P4" cm="1">
        <f t="array" ref="P4">IF($M4="PER-LUBANG",
  IFERROR(
     _xlfn.IFS(
        $G4="Hollow",
            INDEX('Referensi Harga'!$C:$C,
                  MATCH($F4&amp;$C4,'Referensi Harga'!$A:$A&amp;'Referensi Harga'!$B:$B,0)),
        $G4="Hollow Stainless",
            INDEX('Referensi Harga'!$D:$D,
                  MATCH($F4&amp;$C4,'Referensi Harga'!$A:$A&amp;'Referensi Harga'!$B:$B,0)),
        $G4="Pipa Stainless",
            INDEX('Referensi Harga'!$E:$E,
                  MATCH($F4&amp;$C4,'Referensi Harga'!$A:$A&amp;'Referensi Harga'!$B:$B,0))
     ),0)
  + IFERROR(VLOOKUP($H4,'Profile Size'!$A:$B,2,FALSE),0)
  + IFERROR(VLOOKUP($I4,'Ketebalan Material'!$A:$B,2,FALSE),0),
0)</f>
        <v>0</v>
      </c>
      <c r="Q4">
        <f>IF($M4="PER-M2",
    IFERROR(
        SUMIFS('Upah Tenaga Ahli'!$C:$C,
               'Upah Tenaga Ahli'!$A:$A,"PER-M2",
               'Upah Tenaga Ahli'!$B:$B,$G4
        ) * $J4 * $K4,
    0),
IF($M4="PER-LUBANG",
    IFERROR(
        SUMIFS('Upah Tenaga Ahli'!$D:$D,
               'Upah Tenaga Ahli'!$A:$A,"PER-LUBANG",
               'Upah Tenaga Ahli'!$B:$B,$G4
        ) * $L4 * $K4,
    0),
IF($M4="PER-M",
    IFERROR(
        SUMIFS('Upah Tenaga Ahli'!$E:$E,
               'Upah Tenaga Ahli'!$A:$A,"PER-M",
               'Upah Tenaga Ahli'!$B:$B,$G4
        ) * $J4 * $K4,
    0),
0)))</f>
        <v>1927500</v>
      </c>
      <c r="R4" t="s">
        <v>617</v>
      </c>
      <c r="S4" t="s">
        <v>23</v>
      </c>
      <c r="T4">
        <f>IF($M4="PER-M2",
   ($N4 * $J4 * $K4)
   + IFERROR(VLOOKUP($R4,Finishing!A:B,2,FALSE),0)
   + IFERROR(VLOOKUP($S4,Kerumitan!A:B,2,FALSE),0),
IF($M4="PER-LUBANG",
   ($P4 * $L4 * $K4)
   + IFERROR(VLOOKUP($R4,Finishing!A:B,2,FALSE),0)
   + IFERROR(VLOOKUP($S4,Kerumitan!A:B,2,FALSE),0),
IF($M4="PER-M",
   ($O4 * $J4 * $K4)
   + IFERROR(VLOOKUP($R4,Finishing!A:B,2,FALSE),0)
   + IFERROR(VLOOKUP($S4,Kerumitan!A:B,2,FALSE),0),
0)))</f>
        <v>16705000</v>
      </c>
    </row>
    <row r="5" spans="1:20" x14ac:dyDescent="0.45">
      <c r="A5" t="s">
        <v>36</v>
      </c>
      <c r="B5" s="5">
        <v>45160</v>
      </c>
      <c r="C5">
        <f t="shared" si="0"/>
        <v>2023</v>
      </c>
      <c r="D5" t="s">
        <v>37</v>
      </c>
      <c r="E5" t="s">
        <v>38</v>
      </c>
      <c r="F5" t="s">
        <v>7</v>
      </c>
      <c r="G5" t="s">
        <v>15</v>
      </c>
      <c r="H5" t="s">
        <v>33</v>
      </c>
      <c r="I5">
        <v>0.8</v>
      </c>
      <c r="J5">
        <v>6.03</v>
      </c>
      <c r="K5">
        <v>1</v>
      </c>
      <c r="L5">
        <v>0</v>
      </c>
      <c r="M5" t="str" cm="1">
        <f t="array" ref="M5">_xlfn.IFS(
   OR($F5="Pagar", $F5="Pintu Gerbang", $F5="Pintu Handerson", $F5="Kanopi"), "PER-M2",
   $F5="Teralis", "PER-LUBANG",
   OR($F5="Railing", $F5="Railing/Balkon"), "PER-M",
   TRUE, ""
)</f>
        <v>PER-M2</v>
      </c>
      <c r="N5" cm="1">
        <f t="array" ref="N5">IF($M5="PER-M2",
  IFERROR(
     _xlfn.IFS(
        $G5="Hollow",
            INDEX('Referensi Harga'!$C:$C,
                  MATCH($F5&amp;$C5,'Referensi Harga'!$A:$A&amp;'Referensi Harga'!$B:$B,0)),
        $G5="Hollow Stainless",
            INDEX('Referensi Harga'!$D:$D,
                  MATCH($F5&amp;$C5,'Referensi Harga'!$A:$A&amp;'Referensi Harga'!$B:$B,0)),
        $G5="Pipa Stainless",
            INDEX('Referensi Harga'!$E:$E,
                  MATCH($F5&amp;$C5,'Referensi Harga'!$A:$A&amp;'Referensi Harga'!$B:$B,0))
     ),0)
  + IFERROR(VLOOKUP($H5,'Profile Size'!$A:$B,2,FALSE),0)
  + IFERROR(VLOOKUP($I5,'Ketebalan Material'!$A:$B,2,FALSE),0),
0)</f>
        <v>1300000</v>
      </c>
      <c r="O5">
        <f>IF($M5="PER-M",
  IFERROR(
    IF($G5="Hollow",
       INDEX('Referensi Harga'!$C:$C, MATCH($F5 &amp; "|" &amp; $C5, 'Referensi Harga'!$F:$F, 0)),
    IF($G5="Hollow Stainless",
       INDEX('Referensi Harga'!$D:$D, MATCH($F5 &amp; "|" &amp; $C5, 'Referensi Harga'!$F:$F, 0)),
       INDEX('Referensi Harga'!$E:$E, MATCH($F5 &amp; "|" &amp; $C5, 'Referensi Harga'!$F:$F, 0))
    ))
    + IFERROR(VLOOKUP($H5, 'Profile Size'!$A:$B, 2, FALSE), 0)
    + IFERROR(VLOOKUP($I5, 'Ketebalan Material'!$A:$B, 2, FALSE), 0), 0),
0)</f>
        <v>0</v>
      </c>
      <c r="P5" cm="1">
        <f t="array" ref="P5">IF($M5="PER-LUBANG",
  IFERROR(
     _xlfn.IFS(
        $G5="Hollow",
            INDEX('Referensi Harga'!$C:$C,
                  MATCH($F5&amp;$C5,'Referensi Harga'!$A:$A&amp;'Referensi Harga'!$B:$B,0)),
        $G5="Hollow Stainless",
            INDEX('Referensi Harga'!$D:$D,
                  MATCH($F5&amp;$C5,'Referensi Harga'!$A:$A&amp;'Referensi Harga'!$B:$B,0)),
        $G5="Pipa Stainless",
            INDEX('Referensi Harga'!$E:$E,
                  MATCH($F5&amp;$C5,'Referensi Harga'!$A:$A&amp;'Referensi Harga'!$B:$B,0))
     ),0)
  + IFERROR(VLOOKUP($H5,'Profile Size'!$A:$B,2,FALSE),0)
  + IFERROR(VLOOKUP($I5,'Ketebalan Material'!$A:$B,2,FALSE),0),
0)</f>
        <v>0</v>
      </c>
      <c r="Q5">
        <f>IF($M5="PER-M2",
    IFERROR(
        SUMIFS('Upah Tenaga Ahli'!$C:$C,
               'Upah Tenaga Ahli'!$A:$A,"PER-M2",
               'Upah Tenaga Ahli'!$B:$B,$G5
        ) * $J5 * $K5,
    0),
IF($M5="PER-LUBANG",
    IFERROR(
        SUMIFS('Upah Tenaga Ahli'!$D:$D,
               'Upah Tenaga Ahli'!$A:$A,"PER-LUBANG",
               'Upah Tenaga Ahli'!$B:$B,$G5
        ) * $L5 * $K5,
    0),
IF($M5="PER-M",
    IFERROR(
        SUMIFS('Upah Tenaga Ahli'!$E:$E,
               'Upah Tenaga Ahli'!$A:$A,"PER-M",
               'Upah Tenaga Ahli'!$B:$B,$G5
        ) * $J5 * $K5,
    0),
0)))</f>
        <v>904500</v>
      </c>
      <c r="R5" t="s">
        <v>617</v>
      </c>
      <c r="S5" t="s">
        <v>25</v>
      </c>
      <c r="T5">
        <f>IF($M5="PER-M2",
   ($N5 * $J5 * $K5)
   + IFERROR(VLOOKUP($R5,Finishing!A:B,2,FALSE),0)
   + IFERROR(VLOOKUP($S5,Kerumitan!A:B,2,FALSE),0),
IF($M5="PER-LUBANG",
   ($P5 * $L5 * $K5)
   + IFERROR(VLOOKUP($R5,Finishing!A:B,2,FALSE),0)
   + IFERROR(VLOOKUP($S5,Kerumitan!A:B,2,FALSE),0),
IF($M5="PER-M",
   ($O5 * $J5 * $K5)
   + IFERROR(VLOOKUP($R5,Finishing!A:B,2,FALSE),0)
   + IFERROR(VLOOKUP($S5,Kerumitan!A:B,2,FALSE),0),
0)))</f>
        <v>7989000</v>
      </c>
    </row>
    <row r="6" spans="1:20" x14ac:dyDescent="0.45">
      <c r="A6" t="s">
        <v>39</v>
      </c>
      <c r="B6" s="5">
        <v>44540</v>
      </c>
      <c r="C6">
        <f t="shared" si="0"/>
        <v>2021</v>
      </c>
      <c r="D6" t="s">
        <v>40</v>
      </c>
      <c r="E6" t="s">
        <v>41</v>
      </c>
      <c r="F6" t="s">
        <v>10</v>
      </c>
      <c r="G6" t="s">
        <v>13</v>
      </c>
      <c r="H6" t="s">
        <v>35</v>
      </c>
      <c r="I6">
        <v>1.2</v>
      </c>
      <c r="J6">
        <v>2.7</v>
      </c>
      <c r="K6">
        <v>2</v>
      </c>
      <c r="L6">
        <v>0</v>
      </c>
      <c r="M6" t="str" cm="1">
        <f t="array" ref="M6">_xlfn.IFS(
   OR($F6="Pagar", $F6="Pintu Gerbang", $F6="Pintu Handerson", $F6="Kanopi"), "PER-M2",
   $F6="Teralis", "PER-LUBANG",
   OR($F6="Railing", $F6="Railing/Balkon"), "PER-M",
   TRUE, ""
)</f>
        <v>PER-M2</v>
      </c>
      <c r="N6" cm="1">
        <f t="array" ref="N6">IF($M6="PER-M2",
  IFERROR(
     _xlfn.IFS(
        $G6="Hollow",
            INDEX('Referensi Harga'!$C:$C,
                  MATCH($F6&amp;$C6,'Referensi Harga'!$A:$A&amp;'Referensi Harga'!$B:$B,0)),
        $G6="Hollow Stainless",
            INDEX('Referensi Harga'!$D:$D,
                  MATCH($F6&amp;$C6,'Referensi Harga'!$A:$A&amp;'Referensi Harga'!$B:$B,0)),
        $G6="Pipa Stainless",
            INDEX('Referensi Harga'!$E:$E,
                  MATCH($F6&amp;$C6,'Referensi Harga'!$A:$A&amp;'Referensi Harga'!$B:$B,0))
     ),0)
  + IFERROR(VLOOKUP($H6,'Profile Size'!$A:$B,2,FALSE),0)
  + IFERROR(VLOOKUP($I6,'Ketebalan Material'!$A:$B,2,FALSE),0),
0)</f>
        <v>1000000</v>
      </c>
      <c r="O6">
        <f>IF($M6="PER-M",
  IFERROR(
    IF($G6="Hollow",
       INDEX('Referensi Harga'!$C:$C, MATCH($F6 &amp; "|" &amp; $C6, 'Referensi Harga'!$F:$F, 0)),
    IF($G6="Hollow Stainless",
       INDEX('Referensi Harga'!$D:$D, MATCH($F6 &amp; "|" &amp; $C6, 'Referensi Harga'!$F:$F, 0)),
       INDEX('Referensi Harga'!$E:$E, MATCH($F6 &amp; "|" &amp; $C6, 'Referensi Harga'!$F:$F, 0))
    ))
    + IFERROR(VLOOKUP($H6, 'Profile Size'!$A:$B, 2, FALSE), 0)
    + IFERROR(VLOOKUP($I6, 'Ketebalan Material'!$A:$B, 2, FALSE), 0), 0),
0)</f>
        <v>0</v>
      </c>
      <c r="P6" cm="1">
        <f t="array" ref="P6">IF($M6="PER-LUBANG",
  IFERROR(
     _xlfn.IFS(
        $G6="Hollow",
            INDEX('Referensi Harga'!$C:$C,
                  MATCH($F6&amp;$C6,'Referensi Harga'!$A:$A&amp;'Referensi Harga'!$B:$B,0)),
        $G6="Hollow Stainless",
            INDEX('Referensi Harga'!$D:$D,
                  MATCH($F6&amp;$C6,'Referensi Harga'!$A:$A&amp;'Referensi Harga'!$B:$B,0)),
        $G6="Pipa Stainless",
            INDEX('Referensi Harga'!$E:$E,
                  MATCH($F6&amp;$C6,'Referensi Harga'!$A:$A&amp;'Referensi Harga'!$B:$B,0))
     ),0)
  + IFERROR(VLOOKUP($H6,'Profile Size'!$A:$B,2,FALSE),0)
  + IFERROR(VLOOKUP($I6,'Ketebalan Material'!$A:$B,2,FALSE),0),
0)</f>
        <v>0</v>
      </c>
      <c r="Q6">
        <f>IF($M6="PER-M2",
    IFERROR(
        SUMIFS('Upah Tenaga Ahli'!$C:$C,
               'Upah Tenaga Ahli'!$A:$A,"PER-M2",
               'Upah Tenaga Ahli'!$B:$B,$G6
        ) * $J6 * $K6,
    0),
IF($M6="PER-LUBANG",
    IFERROR(
        SUMIFS('Upah Tenaga Ahli'!$D:$D,
               'Upah Tenaga Ahli'!$A:$A,"PER-LUBANG",
               'Upah Tenaga Ahli'!$B:$B,$G6
        ) * $L6 * $K6,
    0),
IF($M6="PER-M",
    IFERROR(
        SUMIFS('Upah Tenaga Ahli'!$E:$E,
               'Upah Tenaga Ahli'!$A:$A,"PER-M",
               'Upah Tenaga Ahli'!$B:$B,$G6
        ) * $J6 * $K6,
    0),
0)))</f>
        <v>540000</v>
      </c>
      <c r="R6" t="s">
        <v>19</v>
      </c>
      <c r="S6" t="s">
        <v>24</v>
      </c>
      <c r="T6">
        <f>IF($M6="PER-M2",
   ($N6 * $J6 * $K6)
   + IFERROR(VLOOKUP($R6,Finishing!A:B,2,FALSE),0)
   + IFERROR(VLOOKUP($S6,Kerumitan!A:B,2,FALSE),0),
IF($M6="PER-LUBANG",
   ($P6 * $L6 * $K6)
   + IFERROR(VLOOKUP($R6,Finishing!A:B,2,FALSE),0)
   + IFERROR(VLOOKUP($S6,Kerumitan!A:B,2,FALSE),0),
IF($M6="PER-M",
   ($O6 * $J6 * $K6)
   + IFERROR(VLOOKUP($R6,Finishing!A:B,2,FALSE),0)
   + IFERROR(VLOOKUP($S6,Kerumitan!A:B,2,FALSE),0),
0)))</f>
        <v>5550000</v>
      </c>
    </row>
    <row r="7" spans="1:20" x14ac:dyDescent="0.45">
      <c r="A7" t="s">
        <v>42</v>
      </c>
      <c r="B7" s="5">
        <v>44772</v>
      </c>
      <c r="C7">
        <f t="shared" si="0"/>
        <v>2022</v>
      </c>
      <c r="D7" t="s">
        <v>43</v>
      </c>
      <c r="E7" t="s">
        <v>44</v>
      </c>
      <c r="F7" t="s">
        <v>7</v>
      </c>
      <c r="G7" t="s">
        <v>15</v>
      </c>
      <c r="H7" t="s">
        <v>35</v>
      </c>
      <c r="I7">
        <v>0.8</v>
      </c>
      <c r="J7">
        <v>12.93</v>
      </c>
      <c r="K7">
        <v>1</v>
      </c>
      <c r="L7">
        <v>0</v>
      </c>
      <c r="M7" t="str" cm="1">
        <f t="array" ref="M7">_xlfn.IFS(
   OR($F7="Pagar", $F7="Pintu Gerbang", $F7="Pintu Handerson", $F7="Kanopi"), "PER-M2",
   $F7="Teralis", "PER-LUBANG",
   OR($F7="Railing", $F7="Railing/Balkon"), "PER-M",
   TRUE, ""
)</f>
        <v>PER-M2</v>
      </c>
      <c r="N7" cm="1">
        <f t="array" ref="N7">IF($M7="PER-M2",
  IFERROR(
     _xlfn.IFS(
        $G7="Hollow",
            INDEX('Referensi Harga'!$C:$C,
                  MATCH($F7&amp;$C7,'Referensi Harga'!$A:$A&amp;'Referensi Harga'!$B:$B,0)),
        $G7="Hollow Stainless",
            INDEX('Referensi Harga'!$D:$D,
                  MATCH($F7&amp;$C7,'Referensi Harga'!$A:$A&amp;'Referensi Harga'!$B:$B,0)),
        $G7="Pipa Stainless",
            INDEX('Referensi Harga'!$E:$E,
                  MATCH($F7&amp;$C7,'Referensi Harga'!$A:$A&amp;'Referensi Harga'!$B:$B,0))
     ),0)
  + IFERROR(VLOOKUP($H7,'Profile Size'!$A:$B,2,FALSE),0)
  + IFERROR(VLOOKUP($I7,'Ketebalan Material'!$A:$B,2,FALSE),0),
0)</f>
        <v>1350000</v>
      </c>
      <c r="O7">
        <f>IF($M7="PER-M",
  IFERROR(
    IF($G7="Hollow",
       INDEX('Referensi Harga'!$C:$C, MATCH($F7 &amp; "|" &amp; $C7, 'Referensi Harga'!$F:$F, 0)),
    IF($G7="Hollow Stainless",
       INDEX('Referensi Harga'!$D:$D, MATCH($F7 &amp; "|" &amp; $C7, 'Referensi Harga'!$F:$F, 0)),
       INDEX('Referensi Harga'!$E:$E, MATCH($F7 &amp; "|" &amp; $C7, 'Referensi Harga'!$F:$F, 0))
    ))
    + IFERROR(VLOOKUP($H7, 'Profile Size'!$A:$B, 2, FALSE), 0)
    + IFERROR(VLOOKUP($I7, 'Ketebalan Material'!$A:$B, 2, FALSE), 0), 0),
0)</f>
        <v>0</v>
      </c>
      <c r="P7" cm="1">
        <f t="array" ref="P7">IF($M7="PER-LUBANG",
  IFERROR(
     _xlfn.IFS(
        $G7="Hollow",
            INDEX('Referensi Harga'!$C:$C,
                  MATCH($F7&amp;$C7,'Referensi Harga'!$A:$A&amp;'Referensi Harga'!$B:$B,0)),
        $G7="Hollow Stainless",
            INDEX('Referensi Harga'!$D:$D,
                  MATCH($F7&amp;$C7,'Referensi Harga'!$A:$A&amp;'Referensi Harga'!$B:$B,0)),
        $G7="Pipa Stainless",
            INDEX('Referensi Harga'!$E:$E,
                  MATCH($F7&amp;$C7,'Referensi Harga'!$A:$A&amp;'Referensi Harga'!$B:$B,0))
     ),0)
  + IFERROR(VLOOKUP($H7,'Profile Size'!$A:$B,2,FALSE),0)
  + IFERROR(VLOOKUP($I7,'Ketebalan Material'!$A:$B,2,FALSE),0),
0)</f>
        <v>0</v>
      </c>
      <c r="Q7">
        <f>IF($M7="PER-M2",
    IFERROR(
        SUMIFS('Upah Tenaga Ahli'!$C:$C,
               'Upah Tenaga Ahli'!$A:$A,"PER-M2",
               'Upah Tenaga Ahli'!$B:$B,$G7
        ) * $J7 * $K7,
    0),
IF($M7="PER-LUBANG",
    IFERROR(
        SUMIFS('Upah Tenaga Ahli'!$D:$D,
               'Upah Tenaga Ahli'!$A:$A,"PER-LUBANG",
               'Upah Tenaga Ahli'!$B:$B,$G7
        ) * $L7 * $K7,
    0),
IF($M7="PER-M",
    IFERROR(
        SUMIFS('Upah Tenaga Ahli'!$E:$E,
               'Upah Tenaga Ahli'!$A:$A,"PER-M",
               'Upah Tenaga Ahli'!$B:$B,$G7
        ) * $J7 * $K7,
    0),
0)))</f>
        <v>1939500</v>
      </c>
      <c r="R7" t="s">
        <v>617</v>
      </c>
      <c r="S7" t="s">
        <v>24</v>
      </c>
      <c r="T7">
        <f>IF($M7="PER-M2",
   ($N7 * $J7 * $K7)
   + IFERROR(VLOOKUP($R7,Finishing!A:B,2,FALSE),0)
   + IFERROR(VLOOKUP($S7,Kerumitan!A:B,2,FALSE),0),
IF($M7="PER-LUBANG",
   ($P7 * $L7 * $K7)
   + IFERROR(VLOOKUP($R7,Finishing!A:B,2,FALSE),0)
   + IFERROR(VLOOKUP($S7,Kerumitan!A:B,2,FALSE),0),
IF($M7="PER-M",
   ($O7 * $J7 * $K7)
   + IFERROR(VLOOKUP($R7,Finishing!A:B,2,FALSE),0)
   + IFERROR(VLOOKUP($S7,Kerumitan!A:B,2,FALSE),0),
0)))</f>
        <v>17555500</v>
      </c>
    </row>
    <row r="8" spans="1:20" x14ac:dyDescent="0.45">
      <c r="A8" t="s">
        <v>45</v>
      </c>
      <c r="B8" s="5">
        <v>45829</v>
      </c>
      <c r="C8">
        <f t="shared" si="0"/>
        <v>2025</v>
      </c>
      <c r="D8" t="s">
        <v>27</v>
      </c>
      <c r="E8" t="s">
        <v>44</v>
      </c>
      <c r="F8" t="s">
        <v>625</v>
      </c>
      <c r="G8" t="s">
        <v>15</v>
      </c>
      <c r="H8" t="s">
        <v>46</v>
      </c>
      <c r="I8">
        <v>1.2</v>
      </c>
      <c r="J8">
        <v>14</v>
      </c>
      <c r="K8">
        <v>2</v>
      </c>
      <c r="L8">
        <v>0</v>
      </c>
      <c r="M8" t="str" cm="1">
        <f t="array" ref="M8">_xlfn.IFS(
   OR($F8="Pagar", $F8="Pintu Gerbang", $F8="Pintu Handerson", $F8="Kanopi"), "PER-M2",
   $F8="Teralis", "PER-LUBANG",
   OR($F8="Railing", $F8="Railing/Balkon"), "PER-M",
   TRUE, ""
)</f>
        <v>PER-M</v>
      </c>
      <c r="N8" cm="1">
        <f t="array" ref="N8">IF($M8="PER-M2",
  IFERROR(
     _xlfn.IFS(
        $G8="Hollow",
            INDEX('Referensi Harga'!$C:$C,
                  MATCH($F8&amp;$C8,'Referensi Harga'!$A:$A&amp;'Referensi Harga'!$B:$B,0)),
        $G8="Hollow Stainless",
            INDEX('Referensi Harga'!$D:$D,
                  MATCH($F8&amp;$C8,'Referensi Harga'!$A:$A&amp;'Referensi Harga'!$B:$B,0)),
        $G8="Pipa Stainless",
            INDEX('Referensi Harga'!$E:$E,
                  MATCH($F8&amp;$C8,'Referensi Harga'!$A:$A&amp;'Referensi Harga'!$B:$B,0))
     ),0)
  + IFERROR(VLOOKUP($H8,'Profile Size'!$A:$B,2,FALSE),0)
  + IFERROR(VLOOKUP($I8,'Ketebalan Material'!$A:$B,2,FALSE),0),
0)</f>
        <v>0</v>
      </c>
      <c r="O8">
        <f>IF($M8="PER-M",
  IFERROR(
    IF($G8="Hollow",
       INDEX('Referensi Harga'!$C:$C, MATCH($F8 &amp; "|" &amp; $C8, 'Referensi Harga'!$F:$F, 0)),
    IF($G8="Hollow Stainless",
       INDEX('Referensi Harga'!$D:$D, MATCH($F8 &amp; "|" &amp; $C8, 'Referensi Harga'!$F:$F, 0)),
       INDEX('Referensi Harga'!$E:$E, MATCH($F8 &amp; "|" &amp; $C8, 'Referensi Harga'!$F:$F, 0))
    ))
    + IFERROR(VLOOKUP($H8, 'Profile Size'!$A:$B, 2, FALSE), 0)
    + IFERROR(VLOOKUP($I8, 'Ketebalan Material'!$A:$B, 2, FALSE), 0), 0),
0)</f>
        <v>1350000</v>
      </c>
      <c r="P8" cm="1">
        <f t="array" ref="P8">IF($M8="PER-LUBANG",
  IFERROR(
     _xlfn.IFS(
        $G8="Hollow",
            INDEX('Referensi Harga'!$C:$C,
                  MATCH($F8&amp;$C8,'Referensi Harga'!$A:$A&amp;'Referensi Harga'!$B:$B,0)),
        $G8="Hollow Stainless",
            INDEX('Referensi Harga'!$D:$D,
                  MATCH($F8&amp;$C8,'Referensi Harga'!$A:$A&amp;'Referensi Harga'!$B:$B,0)),
        $G8="Pipa Stainless",
            INDEX('Referensi Harga'!$E:$E,
                  MATCH($F8&amp;$C8,'Referensi Harga'!$A:$A&amp;'Referensi Harga'!$B:$B,0))
     ),0)
  + IFERROR(VLOOKUP($H8,'Profile Size'!$A:$B,2,FALSE),0)
  + IFERROR(VLOOKUP($I8,'Ketebalan Material'!$A:$B,2,FALSE),0),
0)</f>
        <v>0</v>
      </c>
      <c r="Q8">
        <f>IF($M8="PER-M2",
    IFERROR(
        SUMIFS('Upah Tenaga Ahli'!$C:$C,
               'Upah Tenaga Ahli'!$A:$A,"PER-M2",
               'Upah Tenaga Ahli'!$B:$B,$G8
        ) * $J8 * $K8,
    0),
IF($M8="PER-LUBANG",
    IFERROR(
        SUMIFS('Upah Tenaga Ahli'!$D:$D,
               'Upah Tenaga Ahli'!$A:$A,"PER-LUBANG",
               'Upah Tenaga Ahli'!$B:$B,$G8
        ) * $L8 * $K8,
    0),
IF($M8="PER-M",
    IFERROR(
        SUMIFS('Upah Tenaga Ahli'!$E:$E,
               'Upah Tenaga Ahli'!$A:$A,"PER-M",
               'Upah Tenaga Ahli'!$B:$B,$G8
        ) * $J8 * $K8,
    0),
0)))</f>
        <v>4200000</v>
      </c>
      <c r="R8" t="s">
        <v>617</v>
      </c>
      <c r="S8" t="s">
        <v>23</v>
      </c>
      <c r="T8">
        <f>IF($M8="PER-M2",
   ($N8 * $J8 * $K8)
   + IFERROR(VLOOKUP($R8,Finishing!A:B,2,FALSE),0)
   + IFERROR(VLOOKUP($S8,Kerumitan!A:B,2,FALSE),0),
IF($M8="PER-LUBANG",
   ($P8 * $L8 * $K8)
   + IFERROR(VLOOKUP($R8,Finishing!A:B,2,FALSE),0)
   + IFERROR(VLOOKUP($S8,Kerumitan!A:B,2,FALSE),0),
IF($M8="PER-M",
   ($O8 * $J8 * $K8)
   + IFERROR(VLOOKUP($R8,Finishing!A:B,2,FALSE),0)
   + IFERROR(VLOOKUP($S8,Kerumitan!A:B,2,FALSE),0),
0)))</f>
        <v>37800000</v>
      </c>
    </row>
    <row r="9" spans="1:20" x14ac:dyDescent="0.45">
      <c r="A9" t="s">
        <v>47</v>
      </c>
      <c r="B9" s="5">
        <v>43853</v>
      </c>
      <c r="C9">
        <f t="shared" si="0"/>
        <v>2020</v>
      </c>
      <c r="D9" t="s">
        <v>43</v>
      </c>
      <c r="E9" t="s">
        <v>44</v>
      </c>
      <c r="F9" t="s">
        <v>625</v>
      </c>
      <c r="G9" t="s">
        <v>13</v>
      </c>
      <c r="H9" t="s">
        <v>46</v>
      </c>
      <c r="I9">
        <v>0.8</v>
      </c>
      <c r="J9">
        <v>5.6</v>
      </c>
      <c r="K9">
        <v>3</v>
      </c>
      <c r="L9">
        <v>0</v>
      </c>
      <c r="M9" t="str" cm="1">
        <f t="array" ref="M9">_xlfn.IFS(
   OR($F9="Pagar", $F9="Pintu Gerbang", $F9="Pintu Handerson", $F9="Kanopi"), "PER-M2",
   $F9="Teralis", "PER-LUBANG",
   OR($F9="Railing", $F9="Railing/Balkon"), "PER-M",
   TRUE, ""
)</f>
        <v>PER-M</v>
      </c>
      <c r="N9" cm="1">
        <f t="array" ref="N9">IF($M9="PER-M2",
  IFERROR(
     _xlfn.IFS(
        $G9="Hollow",
            INDEX('Referensi Harga'!$C:$C,
                  MATCH($F9&amp;$C9,'Referensi Harga'!$A:$A&amp;'Referensi Harga'!$B:$B,0)),
        $G9="Hollow Stainless",
            INDEX('Referensi Harga'!$D:$D,
                  MATCH($F9&amp;$C9,'Referensi Harga'!$A:$A&amp;'Referensi Harga'!$B:$B,0)),
        $G9="Pipa Stainless",
            INDEX('Referensi Harga'!$E:$E,
                  MATCH($F9&amp;$C9,'Referensi Harga'!$A:$A&amp;'Referensi Harga'!$B:$B,0))
     ),0)
  + IFERROR(VLOOKUP($H9,'Profile Size'!$A:$B,2,FALSE),0)
  + IFERROR(VLOOKUP($I9,'Ketebalan Material'!$A:$B,2,FALSE),0),
0)</f>
        <v>0</v>
      </c>
      <c r="O9">
        <f>IF($M9="PER-M",
  IFERROR(
    IF($G9="Hollow",
       INDEX('Referensi Harga'!$C:$C, MATCH($F9 &amp; "|" &amp; $C9, 'Referensi Harga'!$F:$F, 0)),
    IF($G9="Hollow Stainless",
       INDEX('Referensi Harga'!$D:$D, MATCH($F9 &amp; "|" &amp; $C9, 'Referensi Harga'!$F:$F, 0)),
       INDEX('Referensi Harga'!$E:$E, MATCH($F9 &amp; "|" &amp; $C9, 'Referensi Harga'!$F:$F, 0))
    ))
    + IFERROR(VLOOKUP($H9, 'Profile Size'!$A:$B, 2, FALSE), 0)
    + IFERROR(VLOOKUP($I9, 'Ketebalan Material'!$A:$B, 2, FALSE), 0), 0),
0)</f>
        <v>450000</v>
      </c>
      <c r="P9" cm="1">
        <f t="array" ref="P9">IF($M9="PER-LUBANG",
  IFERROR(
     _xlfn.IFS(
        $G9="Hollow",
            INDEX('Referensi Harga'!$C:$C,
                  MATCH($F9&amp;$C9,'Referensi Harga'!$A:$A&amp;'Referensi Harga'!$B:$B,0)),
        $G9="Hollow Stainless",
            INDEX('Referensi Harga'!$D:$D,
                  MATCH($F9&amp;$C9,'Referensi Harga'!$A:$A&amp;'Referensi Harga'!$B:$B,0)),
        $G9="Pipa Stainless",
            INDEX('Referensi Harga'!$E:$E,
                  MATCH($F9&amp;$C9,'Referensi Harga'!$A:$A&amp;'Referensi Harga'!$B:$B,0))
     ),0)
  + IFERROR(VLOOKUP($H9,'Profile Size'!$A:$B,2,FALSE),0)
  + IFERROR(VLOOKUP($I9,'Ketebalan Material'!$A:$B,2,FALSE),0),
0)</f>
        <v>0</v>
      </c>
      <c r="Q9">
        <f>IF($M9="PER-M2",
    IFERROR(
        SUMIFS('Upah Tenaga Ahli'!$C:$C,
               'Upah Tenaga Ahli'!$A:$A,"PER-M2",
               'Upah Tenaga Ahli'!$B:$B,$G9
        ) * $J9 * $K9,
    0),
IF($M9="PER-LUBANG",
    IFERROR(
        SUMIFS('Upah Tenaga Ahli'!$D:$D,
               'Upah Tenaga Ahli'!$A:$A,"PER-LUBANG",
               'Upah Tenaga Ahli'!$B:$B,$G9
        ) * $L9 * $K9,
    0),
IF($M9="PER-M",
    IFERROR(
        SUMIFS('Upah Tenaga Ahli'!$E:$E,
               'Upah Tenaga Ahli'!$A:$A,"PER-M",
               'Upah Tenaga Ahli'!$B:$B,$G9
        ) * $J9 * $K9,
    0),
0)))</f>
        <v>1680000</v>
      </c>
      <c r="R9" t="s">
        <v>19</v>
      </c>
      <c r="S9" t="s">
        <v>23</v>
      </c>
      <c r="T9">
        <f>IF($M9="PER-M2",
   ($N9 * $J9 * $K9)
   + IFERROR(VLOOKUP($R9,Finishing!A:B,2,FALSE),0)
   + IFERROR(VLOOKUP($S9,Kerumitan!A:B,2,FALSE),0),
IF($M9="PER-LUBANG",
   ($P9 * $L9 * $K9)
   + IFERROR(VLOOKUP($R9,Finishing!A:B,2,FALSE),0)
   + IFERROR(VLOOKUP($S9,Kerumitan!A:B,2,FALSE),0),
IF($M9="PER-M",
   ($O9 * $J9 * $K9)
   + IFERROR(VLOOKUP($R9,Finishing!A:B,2,FALSE),0)
   + IFERROR(VLOOKUP($S9,Kerumitan!A:B,2,FALSE),0),
0)))</f>
        <v>7610000</v>
      </c>
    </row>
    <row r="10" spans="1:20" x14ac:dyDescent="0.45">
      <c r="A10" t="s">
        <v>48</v>
      </c>
      <c r="B10" s="5">
        <v>45441</v>
      </c>
      <c r="C10">
        <f t="shared" si="0"/>
        <v>2024</v>
      </c>
      <c r="D10" t="s">
        <v>49</v>
      </c>
      <c r="E10" t="s">
        <v>44</v>
      </c>
      <c r="F10" t="s">
        <v>8</v>
      </c>
      <c r="G10" t="s">
        <v>14</v>
      </c>
      <c r="H10" s="3" t="s">
        <v>612</v>
      </c>
      <c r="I10">
        <v>1.2</v>
      </c>
      <c r="J10">
        <v>0</v>
      </c>
      <c r="K10">
        <v>1</v>
      </c>
      <c r="L10">
        <v>18</v>
      </c>
      <c r="M10" t="str" cm="1">
        <f t="array" ref="M10">_xlfn.IFS(
   OR($F10="Pagar", $F10="Pintu Gerbang", $F10="Pintu Handerson", $F10="Kanopi"), "PER-M2",
   $F10="Teralis", "PER-LUBANG",
   OR($F10="Railing", $F10="Railing/Balkon"), "PER-M",
   TRUE, ""
)</f>
        <v>PER-LUBANG</v>
      </c>
      <c r="N10" cm="1">
        <f t="array" ref="N10">IF($M10="PER-M2",
  IFERROR(
     _xlfn.IFS(
        $G10="Hollow",
            INDEX('Referensi Harga'!$C:$C,
                  MATCH($F10&amp;$C10,'Referensi Harga'!$A:$A&amp;'Referensi Harga'!$B:$B,0)),
        $G10="Hollow Stainless",
            INDEX('Referensi Harga'!$D:$D,
                  MATCH($F10&amp;$C10,'Referensi Harga'!$A:$A&amp;'Referensi Harga'!$B:$B,0)),
        $G10="Pipa Stainless",
            INDEX('Referensi Harga'!$E:$E,
                  MATCH($F10&amp;$C10,'Referensi Harga'!$A:$A&amp;'Referensi Harga'!$B:$B,0))
     ),0)
  + IFERROR(VLOOKUP($H10,'Profile Size'!$A:$B,2,FALSE),0)
  + IFERROR(VLOOKUP($I10,'Ketebalan Material'!$A:$B,2,FALSE),0),
0)</f>
        <v>0</v>
      </c>
      <c r="O10">
        <f>IF($M10="PER-M",
  IFERROR(
    IF($G10="Hollow",
       INDEX('Referensi Harga'!$C:$C, MATCH($F10 &amp; "|" &amp; $C10, 'Referensi Harga'!$F:$F, 0)),
    IF($G10="Hollow Stainless",
       INDEX('Referensi Harga'!$D:$D, MATCH($F10 &amp; "|" &amp; $C10, 'Referensi Harga'!$F:$F, 0)),
       INDEX('Referensi Harga'!$E:$E, MATCH($F10 &amp; "|" &amp; $C10, 'Referensi Harga'!$F:$F, 0))
    ))
    + IFERROR(VLOOKUP($H10, 'Profile Size'!$A:$B, 2, FALSE), 0)
    + IFERROR(VLOOKUP($I10, 'Ketebalan Material'!$A:$B, 2, FALSE), 0), 0),
0)</f>
        <v>0</v>
      </c>
      <c r="P10" cm="1">
        <f t="array" ref="P10">IF($M10="PER-LUBANG",
  IFERROR(
     _xlfn.IFS(
        $G10="Hollow",
            INDEX('Referensi Harga'!$C:$C,
                  MATCH($F10&amp;$C10,'Referensi Harga'!$A:$A&amp;'Referensi Harga'!$B:$B,0)),
        $G10="Hollow Stainless",
            INDEX('Referensi Harga'!$D:$D,
                  MATCH($F10&amp;$C10,'Referensi Harga'!$A:$A&amp;'Referensi Harga'!$B:$B,0)),
        $G10="Pipa Stainless",
            INDEX('Referensi Harga'!$E:$E,
                  MATCH($F10&amp;$C10,'Referensi Harga'!$A:$A&amp;'Referensi Harga'!$B:$B,0))
     ),0)
  + IFERROR(VLOOKUP($H10,'Profile Size'!$A:$B,2,FALSE),0)
  + IFERROR(VLOOKUP($I10,'Ketebalan Material'!$A:$B,2,FALSE),0),
0)</f>
        <v>800000</v>
      </c>
      <c r="Q10">
        <f>IF($M10="PER-M2",
    IFERROR(
        SUMIFS('Upah Tenaga Ahli'!$C:$C,
               'Upah Tenaga Ahli'!$A:$A,"PER-M2",
               'Upah Tenaga Ahli'!$B:$B,$G10
        ) * $J10 * $K10,
    0),
IF($M10="PER-LUBANG",
    IFERROR(
        SUMIFS('Upah Tenaga Ahli'!$D:$D,
               'Upah Tenaga Ahli'!$A:$A,"PER-LUBANG",
               'Upah Tenaga Ahli'!$B:$B,$G10
        ) * $L10 * $K10,
    0),
IF($M10="PER-M",
    IFERROR(
        SUMIFS('Upah Tenaga Ahli'!$E:$E,
               'Upah Tenaga Ahli'!$A:$A,"PER-M",
               'Upah Tenaga Ahli'!$B:$B,$G10
        ) * $J10 * $K10,
    0),
0)))</f>
        <v>2700000</v>
      </c>
      <c r="R10" t="s">
        <v>617</v>
      </c>
      <c r="S10" t="s">
        <v>24</v>
      </c>
      <c r="T10">
        <f>IF($M10="PER-M2",
   ($N10 * $J10 * $K10)
   + IFERROR(VLOOKUP($R10,Finishing!A:B,2,FALSE),0)
   + IFERROR(VLOOKUP($S10,Kerumitan!A:B,2,FALSE),0),
IF($M10="PER-LUBANG",
   ($P10 * $L10 * $K10)
   + IFERROR(VLOOKUP($R10,Finishing!A:B,2,FALSE),0)
   + IFERROR(VLOOKUP($S10,Kerumitan!A:B,2,FALSE),0),
IF($M10="PER-M",
   ($O10 * $J10 * $K10)
   + IFERROR(VLOOKUP($R10,Finishing!A:B,2,FALSE),0)
   + IFERROR(VLOOKUP($S10,Kerumitan!A:B,2,FALSE),0),
0)))</f>
        <v>14500000</v>
      </c>
    </row>
    <row r="11" spans="1:20" x14ac:dyDescent="0.45">
      <c r="A11" t="s">
        <v>50</v>
      </c>
      <c r="B11" s="5">
        <v>44815</v>
      </c>
      <c r="C11">
        <f t="shared" si="0"/>
        <v>2022</v>
      </c>
      <c r="D11" t="s">
        <v>610</v>
      </c>
      <c r="E11" t="s">
        <v>32</v>
      </c>
      <c r="F11" t="s">
        <v>4</v>
      </c>
      <c r="G11" t="s">
        <v>13</v>
      </c>
      <c r="H11" t="s">
        <v>46</v>
      </c>
      <c r="I11">
        <v>0.8</v>
      </c>
      <c r="J11">
        <v>26.03</v>
      </c>
      <c r="K11">
        <v>1</v>
      </c>
      <c r="L11">
        <v>0</v>
      </c>
      <c r="M11" t="str" cm="1">
        <f t="array" ref="M11">_xlfn.IFS(
   OR($F11="Pagar", $F11="Pintu Gerbang", $F11="Pintu Handerson", $F11="Kanopi"), "PER-M2",
   $F11="Teralis", "PER-LUBANG",
   OR($F11="Railing", $F11="Railing/Balkon"), "PER-M",
   TRUE, ""
)</f>
        <v>PER-M2</v>
      </c>
      <c r="N11" cm="1">
        <f t="array" ref="N11">IF($M11="PER-M2",
  IFERROR(
     _xlfn.IFS(
        $G11="Hollow",
            INDEX('Referensi Harga'!$C:$C,
                  MATCH($F11&amp;$C11,'Referensi Harga'!$A:$A&amp;'Referensi Harga'!$B:$B,0)),
        $G11="Hollow Stainless",
            INDEX('Referensi Harga'!$D:$D,
                  MATCH($F11&amp;$C11,'Referensi Harga'!$A:$A&amp;'Referensi Harga'!$B:$B,0)),
        $G11="Pipa Stainless",
            INDEX('Referensi Harga'!$E:$E,
                  MATCH($F11&amp;$C11,'Referensi Harga'!$A:$A&amp;'Referensi Harga'!$B:$B,0))
     ),0)
  + IFERROR(VLOOKUP($H11,'Profile Size'!$A:$B,2,FALSE),0)
  + IFERROR(VLOOKUP($I11,'Ketebalan Material'!$A:$B,2,FALSE),0),
0)</f>
        <v>580000</v>
      </c>
      <c r="O11">
        <f>IF($M11="PER-M",
  IFERROR(
    IF($G11="Hollow",
       INDEX('Referensi Harga'!$C:$C, MATCH($F11 &amp; "|" &amp; $C11, 'Referensi Harga'!$F:$F, 0)),
    IF($G11="Hollow Stainless",
       INDEX('Referensi Harga'!$D:$D, MATCH($F11 &amp; "|" &amp; $C11, 'Referensi Harga'!$F:$F, 0)),
       INDEX('Referensi Harga'!$E:$E, MATCH($F11 &amp; "|" &amp; $C11, 'Referensi Harga'!$F:$F, 0))
    ))
    + IFERROR(VLOOKUP($H11, 'Profile Size'!$A:$B, 2, FALSE), 0)
    + IFERROR(VLOOKUP($I11, 'Ketebalan Material'!$A:$B, 2, FALSE), 0), 0),
0)</f>
        <v>0</v>
      </c>
      <c r="P11" cm="1">
        <f t="array" ref="P11">IF($M11="PER-LUBANG",
  IFERROR(
     _xlfn.IFS(
        $G11="Hollow",
            INDEX('Referensi Harga'!$C:$C,
                  MATCH($F11&amp;$C11,'Referensi Harga'!$A:$A&amp;'Referensi Harga'!$B:$B,0)),
        $G11="Hollow Stainless",
            INDEX('Referensi Harga'!$D:$D,
                  MATCH($F11&amp;$C11,'Referensi Harga'!$A:$A&amp;'Referensi Harga'!$B:$B,0)),
        $G11="Pipa Stainless",
            INDEX('Referensi Harga'!$E:$E,
                  MATCH($F11&amp;$C11,'Referensi Harga'!$A:$A&amp;'Referensi Harga'!$B:$B,0))
     ),0)
  + IFERROR(VLOOKUP($H11,'Profile Size'!$A:$B,2,FALSE),0)
  + IFERROR(VLOOKUP($I11,'Ketebalan Material'!$A:$B,2,FALSE),0),
0)</f>
        <v>0</v>
      </c>
      <c r="Q11">
        <f>IF($M11="PER-M2",
    IFERROR(
        SUMIFS('Upah Tenaga Ahli'!$C:$C,
               'Upah Tenaga Ahli'!$A:$A,"PER-M2",
               'Upah Tenaga Ahli'!$B:$B,$G11
        ) * $J11 * $K11,
    0),
IF($M11="PER-LUBANG",
    IFERROR(
        SUMIFS('Upah Tenaga Ahli'!$D:$D,
               'Upah Tenaga Ahli'!$A:$A,"PER-LUBANG",
               'Upah Tenaga Ahli'!$B:$B,$G11
        ) * $L11 * $K11,
    0),
IF($M11="PER-M",
    IFERROR(
        SUMIFS('Upah Tenaga Ahli'!$E:$E,
               'Upah Tenaga Ahli'!$A:$A,"PER-M",
               'Upah Tenaga Ahli'!$B:$B,$G11
        ) * $J11 * $K11,
    0),
0)))</f>
        <v>2603000</v>
      </c>
      <c r="R11" t="s">
        <v>19</v>
      </c>
      <c r="S11" t="s">
        <v>23</v>
      </c>
      <c r="T11">
        <f>IF($M11="PER-M2",
   ($N11 * $J11 * $K11)
   + IFERROR(VLOOKUP($R11,Finishing!A:B,2,FALSE),0)
   + IFERROR(VLOOKUP($S11,Kerumitan!A:B,2,FALSE),0),
IF($M11="PER-LUBANG",
   ($P11 * $L11 * $K11)
   + IFERROR(VLOOKUP($R11,Finishing!A:B,2,FALSE),0)
   + IFERROR(VLOOKUP($S11,Kerumitan!A:B,2,FALSE),0),
IF($M11="PER-M",
   ($O11 * $J11 * $K11)
   + IFERROR(VLOOKUP($R11,Finishing!A:B,2,FALSE),0)
   + IFERROR(VLOOKUP($S11,Kerumitan!A:B,2,FALSE),0),
0)))</f>
        <v>15147400</v>
      </c>
    </row>
    <row r="12" spans="1:20" x14ac:dyDescent="0.45">
      <c r="A12" t="s">
        <v>51</v>
      </c>
      <c r="B12" s="5">
        <v>43763</v>
      </c>
      <c r="C12">
        <f t="shared" si="0"/>
        <v>2019</v>
      </c>
      <c r="D12" t="s">
        <v>609</v>
      </c>
      <c r="E12" t="s">
        <v>28</v>
      </c>
      <c r="F12" t="s">
        <v>8</v>
      </c>
      <c r="G12" t="s">
        <v>15</v>
      </c>
      <c r="H12" t="s">
        <v>611</v>
      </c>
      <c r="I12">
        <v>1.2</v>
      </c>
      <c r="J12">
        <v>0</v>
      </c>
      <c r="K12">
        <v>1</v>
      </c>
      <c r="L12">
        <v>21</v>
      </c>
      <c r="M12" t="str" cm="1">
        <f t="array" ref="M12">_xlfn.IFS(
   OR($F12="Pagar", $F12="Pintu Gerbang", $F12="Pintu Handerson", $F12="Kanopi"), "PER-M2",
   $F12="Teralis", "PER-LUBANG",
   OR($F12="Railing", $F12="Railing/Balkon"), "PER-M",
   TRUE, ""
)</f>
        <v>PER-LUBANG</v>
      </c>
      <c r="N12" cm="1">
        <f t="array" ref="N12">IF($M12="PER-M2",
  IFERROR(
     _xlfn.IFS(
        $G12="Hollow",
            INDEX('Referensi Harga'!$C:$C,
                  MATCH($F12&amp;$C12,'Referensi Harga'!$A:$A&amp;'Referensi Harga'!$B:$B,0)),
        $G12="Hollow Stainless",
            INDEX('Referensi Harga'!$D:$D,
                  MATCH($F12&amp;$C12,'Referensi Harga'!$A:$A&amp;'Referensi Harga'!$B:$B,0)),
        $G12="Pipa Stainless",
            INDEX('Referensi Harga'!$E:$E,
                  MATCH($F12&amp;$C12,'Referensi Harga'!$A:$A&amp;'Referensi Harga'!$B:$B,0))
     ),0)
  + IFERROR(VLOOKUP($H12,'Profile Size'!$A:$B,2,FALSE),0)
  + IFERROR(VLOOKUP($I12,'Ketebalan Material'!$A:$B,2,FALSE),0),
0)</f>
        <v>0</v>
      </c>
      <c r="O12">
        <f>IF($M12="PER-M",
  IFERROR(
    IF($G12="Hollow",
       INDEX('Referensi Harga'!$C:$C, MATCH($F12 &amp; "|" &amp; $C12, 'Referensi Harga'!$F:$F, 0)),
    IF($G12="Hollow Stainless",
       INDEX('Referensi Harga'!$D:$D, MATCH($F12 &amp; "|" &amp; $C12, 'Referensi Harga'!$F:$F, 0)),
       INDEX('Referensi Harga'!$E:$E, MATCH($F12 &amp; "|" &amp; $C12, 'Referensi Harga'!$F:$F, 0))
    ))
    + IFERROR(VLOOKUP($H12, 'Profile Size'!$A:$B, 2, FALSE), 0)
    + IFERROR(VLOOKUP($I12, 'Ketebalan Material'!$A:$B, 2, FALSE), 0), 0),
0)</f>
        <v>0</v>
      </c>
      <c r="P12" cm="1">
        <f t="array" ref="P12">IF($M12="PER-LUBANG",
  IFERROR(
     _xlfn.IFS(
        $G12="Hollow",
            INDEX('Referensi Harga'!$C:$C,
                  MATCH($F12&amp;$C12,'Referensi Harga'!$A:$A&amp;'Referensi Harga'!$B:$B,0)),
        $G12="Hollow Stainless",
            INDEX('Referensi Harga'!$D:$D,
                  MATCH($F12&amp;$C12,'Referensi Harga'!$A:$A&amp;'Referensi Harga'!$B:$B,0)),
        $G12="Pipa Stainless",
            INDEX('Referensi Harga'!$E:$E,
                  MATCH($F12&amp;$C12,'Referensi Harga'!$A:$A&amp;'Referensi Harga'!$B:$B,0))
     ),0)
  + IFERROR(VLOOKUP($H12,'Profile Size'!$A:$B,2,FALSE),0)
  + IFERROR(VLOOKUP($I12,'Ketebalan Material'!$A:$B,2,FALSE),0),
0)</f>
        <v>750000</v>
      </c>
      <c r="Q12">
        <f>IF($M12="PER-M2",
    IFERROR(
        SUMIFS('Upah Tenaga Ahli'!$C:$C,
               'Upah Tenaga Ahli'!$A:$A,"PER-M2",
               'Upah Tenaga Ahli'!$B:$B,$G12
        ) * $J12 * $K12,
    0),
IF($M12="PER-LUBANG",
    IFERROR(
        SUMIFS('Upah Tenaga Ahli'!$D:$D,
               'Upah Tenaga Ahli'!$A:$A,"PER-LUBANG",
               'Upah Tenaga Ahli'!$B:$B,$G12
        ) * $L12 * $K12,
    0),
IF($M12="PER-M",
    IFERROR(
        SUMIFS('Upah Tenaga Ahli'!$E:$E,
               'Upah Tenaga Ahli'!$A:$A,"PER-M",
               'Upah Tenaga Ahli'!$B:$B,$G12
        ) * $J12 * $K12,
    0),
0)))</f>
        <v>3150000</v>
      </c>
      <c r="R12" t="s">
        <v>617</v>
      </c>
      <c r="S12" t="s">
        <v>25</v>
      </c>
      <c r="T12">
        <f>IF($M12="PER-M2",
   ($N12 * $J12 * $K12)
   + IFERROR(VLOOKUP($R12,Finishing!A:B,2,FALSE),0)
   + IFERROR(VLOOKUP($S12,Kerumitan!A:B,2,FALSE),0),
IF($M12="PER-LUBANG",
   ($P12 * $L12 * $K12)
   + IFERROR(VLOOKUP($R12,Finishing!A:B,2,FALSE),0)
   + IFERROR(VLOOKUP($S12,Kerumitan!A:B,2,FALSE),0),
IF($M12="PER-M",
   ($O12 * $J12 * $K12)
   + IFERROR(VLOOKUP($R12,Finishing!A:B,2,FALSE),0)
   + IFERROR(VLOOKUP($S12,Kerumitan!A:B,2,FALSE),0),
0)))</f>
        <v>15900000</v>
      </c>
    </row>
    <row r="13" spans="1:20" x14ac:dyDescent="0.45">
      <c r="A13" t="s">
        <v>52</v>
      </c>
      <c r="B13" s="5">
        <v>45307</v>
      </c>
      <c r="C13">
        <f t="shared" si="0"/>
        <v>2024</v>
      </c>
      <c r="D13" t="s">
        <v>53</v>
      </c>
      <c r="E13" t="s">
        <v>54</v>
      </c>
      <c r="F13" t="s">
        <v>7</v>
      </c>
      <c r="G13" t="s">
        <v>15</v>
      </c>
      <c r="H13" t="s">
        <v>35</v>
      </c>
      <c r="I13">
        <v>1</v>
      </c>
      <c r="J13">
        <v>13.79</v>
      </c>
      <c r="K13">
        <v>1</v>
      </c>
      <c r="L13">
        <v>0</v>
      </c>
      <c r="M13" t="str" cm="1">
        <f t="array" ref="M13">_xlfn.IFS(
   OR($F13="Pagar", $F13="Pintu Gerbang", $F13="Pintu Handerson", $F13="Kanopi"), "PER-M2",
   $F13="Teralis", "PER-LUBANG",
   OR($F13="Railing", $F13="Railing/Balkon"), "PER-M",
   TRUE, ""
)</f>
        <v>PER-M2</v>
      </c>
      <c r="N13" cm="1">
        <f t="array" ref="N13">IF($M13="PER-M2",
  IFERROR(
     _xlfn.IFS(
        $G13="Hollow",
            INDEX('Referensi Harga'!$C:$C,
                  MATCH($F13&amp;$C13,'Referensi Harga'!$A:$A&amp;'Referensi Harga'!$B:$B,0)),
        $G13="Hollow Stainless",
            INDEX('Referensi Harga'!$D:$D,
                  MATCH($F13&amp;$C13,'Referensi Harga'!$A:$A&amp;'Referensi Harga'!$B:$B,0)),
        $G13="Pipa Stainless",
            INDEX('Referensi Harga'!$E:$E,
                  MATCH($F13&amp;$C13,'Referensi Harga'!$A:$A&amp;'Referensi Harga'!$B:$B,0))
     ),0)
  + IFERROR(VLOOKUP($H13,'Profile Size'!$A:$B,2,FALSE),0)
  + IFERROR(VLOOKUP($I13,'Ketebalan Material'!$A:$B,2,FALSE),0),
0)</f>
        <v>1570000</v>
      </c>
      <c r="O13">
        <f>IF($M13="PER-M",
  IFERROR(
    IF($G13="Hollow",
       INDEX('Referensi Harga'!$C:$C, MATCH($F13 &amp; "|" &amp; $C13, 'Referensi Harga'!$F:$F, 0)),
    IF($G13="Hollow Stainless",
       INDEX('Referensi Harga'!$D:$D, MATCH($F13 &amp; "|" &amp; $C13, 'Referensi Harga'!$F:$F, 0)),
       INDEX('Referensi Harga'!$E:$E, MATCH($F13 &amp; "|" &amp; $C13, 'Referensi Harga'!$F:$F, 0))
    ))
    + IFERROR(VLOOKUP($H13, 'Profile Size'!$A:$B, 2, FALSE), 0)
    + IFERROR(VLOOKUP($I13, 'Ketebalan Material'!$A:$B, 2, FALSE), 0), 0),
0)</f>
        <v>0</v>
      </c>
      <c r="P13" cm="1">
        <f t="array" ref="P13">IF($M13="PER-LUBANG",
  IFERROR(
     _xlfn.IFS(
        $G13="Hollow",
            INDEX('Referensi Harga'!$C:$C,
                  MATCH($F13&amp;$C13,'Referensi Harga'!$A:$A&amp;'Referensi Harga'!$B:$B,0)),
        $G13="Hollow Stainless",
            INDEX('Referensi Harga'!$D:$D,
                  MATCH($F13&amp;$C13,'Referensi Harga'!$A:$A&amp;'Referensi Harga'!$B:$B,0)),
        $G13="Pipa Stainless",
            INDEX('Referensi Harga'!$E:$E,
                  MATCH($F13&amp;$C13,'Referensi Harga'!$A:$A&amp;'Referensi Harga'!$B:$B,0))
     ),0)
  + IFERROR(VLOOKUP($H13,'Profile Size'!$A:$B,2,FALSE),0)
  + IFERROR(VLOOKUP($I13,'Ketebalan Material'!$A:$B,2,FALSE),0),
0)</f>
        <v>0</v>
      </c>
      <c r="Q13">
        <f>IF($M13="PER-M2",
    IFERROR(
        SUMIFS('Upah Tenaga Ahli'!$C:$C,
               'Upah Tenaga Ahli'!$A:$A,"PER-M2",
               'Upah Tenaga Ahli'!$B:$B,$G13
        ) * $J13 * $K13,
    0),
IF($M13="PER-LUBANG",
    IFERROR(
        SUMIFS('Upah Tenaga Ahli'!$D:$D,
               'Upah Tenaga Ahli'!$A:$A,"PER-LUBANG",
               'Upah Tenaga Ahli'!$B:$B,$G13
        ) * $L13 * $K13,
    0),
IF($M13="PER-M",
    IFERROR(
        SUMIFS('Upah Tenaga Ahli'!$E:$E,
               'Upah Tenaga Ahli'!$A:$A,"PER-M",
               'Upah Tenaga Ahli'!$B:$B,$G13
        ) * $J13 * $K13,
    0),
0)))</f>
        <v>2068499.9999999998</v>
      </c>
      <c r="R13" t="s">
        <v>617</v>
      </c>
      <c r="S13" t="s">
        <v>23</v>
      </c>
      <c r="T13">
        <f>IF($M13="PER-M2",
   ($N13 * $J13 * $K13)
   + IFERROR(VLOOKUP($R13,Finishing!A:B,2,FALSE),0)
   + IFERROR(VLOOKUP($S13,Kerumitan!A:B,2,FALSE),0),
IF($M13="PER-LUBANG",
   ($P13 * $L13 * $K13)
   + IFERROR(VLOOKUP($R13,Finishing!A:B,2,FALSE),0)
   + IFERROR(VLOOKUP($S13,Kerumitan!A:B,2,FALSE),0),
IF($M13="PER-M",
   ($O13 * $J13 * $K13)
   + IFERROR(VLOOKUP($R13,Finishing!A:B,2,FALSE),0)
   + IFERROR(VLOOKUP($S13,Kerumitan!A:B,2,FALSE),0),
0)))</f>
        <v>21650300</v>
      </c>
    </row>
    <row r="14" spans="1:20" x14ac:dyDescent="0.45">
      <c r="A14" t="s">
        <v>55</v>
      </c>
      <c r="B14" s="5">
        <v>44774</v>
      </c>
      <c r="C14">
        <f t="shared" si="0"/>
        <v>2022</v>
      </c>
      <c r="D14" t="s">
        <v>56</v>
      </c>
      <c r="E14" t="s">
        <v>57</v>
      </c>
      <c r="F14" t="s">
        <v>6</v>
      </c>
      <c r="G14" t="s">
        <v>14</v>
      </c>
      <c r="H14" t="s">
        <v>614</v>
      </c>
      <c r="I14">
        <v>1</v>
      </c>
      <c r="J14">
        <v>15.75</v>
      </c>
      <c r="K14">
        <v>2</v>
      </c>
      <c r="L14">
        <v>0</v>
      </c>
      <c r="M14" t="str" cm="1">
        <f t="array" ref="M14">_xlfn.IFS(
   OR($F14="Pagar", $F14="Pintu Gerbang", $F14="Pintu Handerson", $F14="Kanopi"), "PER-M2",
   $F14="Teralis", "PER-LUBANG",
   OR($F14="Railing", $F14="Railing/Balkon"), "PER-M",
   TRUE, ""
)</f>
        <v>PER-M2</v>
      </c>
      <c r="N14" cm="1">
        <f t="array" ref="N14">IF($M14="PER-M2",
  IFERROR(
     _xlfn.IFS(
        $G14="Hollow",
            INDEX('Referensi Harga'!$C:$C,
                  MATCH($F14&amp;$C14,'Referensi Harga'!$A:$A&amp;'Referensi Harga'!$B:$B,0)),
        $G14="Hollow Stainless",
            INDEX('Referensi Harga'!$D:$D,
                  MATCH($F14&amp;$C14,'Referensi Harga'!$A:$A&amp;'Referensi Harga'!$B:$B,0)),
        $G14="Pipa Stainless",
            INDEX('Referensi Harga'!$E:$E,
                  MATCH($F14&amp;$C14,'Referensi Harga'!$A:$A&amp;'Referensi Harga'!$B:$B,0))
     ),0)
  + IFERROR(VLOOKUP($H14,'Profile Size'!$A:$B,2,FALSE),0)
  + IFERROR(VLOOKUP($I14,'Ketebalan Material'!$A:$B,2,FALSE),0),
0)</f>
        <v>730000</v>
      </c>
      <c r="O14">
        <f>IF($M14="PER-M",
  IFERROR(
    IF($G14="Hollow",
       INDEX('Referensi Harga'!$C:$C, MATCH($F14 &amp; "|" &amp; $C14, 'Referensi Harga'!$F:$F, 0)),
    IF($G14="Hollow Stainless",
       INDEX('Referensi Harga'!$D:$D, MATCH($F14 &amp; "|" &amp; $C14, 'Referensi Harga'!$F:$F, 0)),
       INDEX('Referensi Harga'!$E:$E, MATCH($F14 &amp; "|" &amp; $C14, 'Referensi Harga'!$F:$F, 0))
    ))
    + IFERROR(VLOOKUP($H14, 'Profile Size'!$A:$B, 2, FALSE), 0)
    + IFERROR(VLOOKUP($I14, 'Ketebalan Material'!$A:$B, 2, FALSE), 0), 0),
0)</f>
        <v>0</v>
      </c>
      <c r="P14" cm="1">
        <f t="array" ref="P14">IF($M14="PER-LUBANG",
  IFERROR(
     _xlfn.IFS(
        $G14="Hollow",
            INDEX('Referensi Harga'!$C:$C,
                  MATCH($F14&amp;$C14,'Referensi Harga'!$A:$A&amp;'Referensi Harga'!$B:$B,0)),
        $G14="Hollow Stainless",
            INDEX('Referensi Harga'!$D:$D,
                  MATCH($F14&amp;$C14,'Referensi Harga'!$A:$A&amp;'Referensi Harga'!$B:$B,0)),
        $G14="Pipa Stainless",
            INDEX('Referensi Harga'!$E:$E,
                  MATCH($F14&amp;$C14,'Referensi Harga'!$A:$A&amp;'Referensi Harga'!$B:$B,0))
     ),0)
  + IFERROR(VLOOKUP($H14,'Profile Size'!$A:$B,2,FALSE),0)
  + IFERROR(VLOOKUP($I14,'Ketebalan Material'!$A:$B,2,FALSE),0),
0)</f>
        <v>0</v>
      </c>
      <c r="Q14">
        <f>IF($M14="PER-M2",
    IFERROR(
        SUMIFS('Upah Tenaga Ahli'!$C:$C,
               'Upah Tenaga Ahli'!$A:$A,"PER-M2",
               'Upah Tenaga Ahli'!$B:$B,$G14
        ) * $J14 * $K14,
    0),
IF($M14="PER-LUBANG",
    IFERROR(
        SUMIFS('Upah Tenaga Ahli'!$D:$D,
               'Upah Tenaga Ahli'!$A:$A,"PER-LUBANG",
               'Upah Tenaga Ahli'!$B:$B,$G14
        ) * $L14 * $K14,
    0),
IF($M14="PER-M",
    IFERROR(
        SUMIFS('Upah Tenaga Ahli'!$E:$E,
               'Upah Tenaga Ahli'!$A:$A,"PER-M",
               'Upah Tenaga Ahli'!$B:$B,$G14
        ) * $J14 * $K14,
    0),
0)))</f>
        <v>6300000</v>
      </c>
      <c r="R14" t="s">
        <v>617</v>
      </c>
      <c r="S14" t="s">
        <v>23</v>
      </c>
      <c r="T14">
        <f>IF($M14="PER-M2",
   ($N14 * $J14 * $K14)
   + IFERROR(VLOOKUP($R14,Finishing!A:B,2,FALSE),0)
   + IFERROR(VLOOKUP($S14,Kerumitan!A:B,2,FALSE),0),
IF($M14="PER-LUBANG",
   ($P14 * $L14 * $K14)
   + IFERROR(VLOOKUP($R14,Finishing!A:B,2,FALSE),0)
   + IFERROR(VLOOKUP($S14,Kerumitan!A:B,2,FALSE),0),
IF($M14="PER-M",
   ($O14 * $J14 * $K14)
   + IFERROR(VLOOKUP($R14,Finishing!A:B,2,FALSE),0)
   + IFERROR(VLOOKUP($S14,Kerumitan!A:B,2,FALSE),0),
0)))</f>
        <v>22995000</v>
      </c>
    </row>
    <row r="15" spans="1:20" x14ac:dyDescent="0.45">
      <c r="A15" t="s">
        <v>58</v>
      </c>
      <c r="B15" s="5">
        <v>44066</v>
      </c>
      <c r="C15">
        <f t="shared" si="0"/>
        <v>2020</v>
      </c>
      <c r="D15" t="s">
        <v>59</v>
      </c>
      <c r="E15" t="s">
        <v>38</v>
      </c>
      <c r="F15" t="s">
        <v>8</v>
      </c>
      <c r="G15" t="s">
        <v>13</v>
      </c>
      <c r="H15" t="s">
        <v>612</v>
      </c>
      <c r="I15">
        <v>1</v>
      </c>
      <c r="J15">
        <v>0</v>
      </c>
      <c r="K15">
        <v>1</v>
      </c>
      <c r="L15">
        <v>11</v>
      </c>
      <c r="M15" t="str" cm="1">
        <f t="array" ref="M15">_xlfn.IFS(
   OR($F15="Pagar", $F15="Pintu Gerbang", $F15="Pintu Handerson", $F15="Kanopi"), "PER-M2",
   $F15="Teralis", "PER-LUBANG",
   OR($F15="Railing", $F15="Railing/Balkon"), "PER-M",
   TRUE, ""
)</f>
        <v>PER-LUBANG</v>
      </c>
      <c r="N15" cm="1">
        <f t="array" ref="N15">IF($M15="PER-M2",
  IFERROR(
     _xlfn.IFS(
        $G15="Hollow",
            INDEX('Referensi Harga'!$C:$C,
                  MATCH($F15&amp;$C15,'Referensi Harga'!$A:$A&amp;'Referensi Harga'!$B:$B,0)),
        $G15="Hollow Stainless",
            INDEX('Referensi Harga'!$D:$D,
                  MATCH($F15&amp;$C15,'Referensi Harga'!$A:$A&amp;'Referensi Harga'!$B:$B,0)),
        $G15="Pipa Stainless",
            INDEX('Referensi Harga'!$E:$E,
                  MATCH($F15&amp;$C15,'Referensi Harga'!$A:$A&amp;'Referensi Harga'!$B:$B,0))
     ),0)
  + IFERROR(VLOOKUP($H15,'Profile Size'!$A:$B,2,FALSE),0)
  + IFERROR(VLOOKUP($I15,'Ketebalan Material'!$A:$B,2,FALSE),0),
0)</f>
        <v>0</v>
      </c>
      <c r="O15">
        <f>IF($M15="PER-M",
  IFERROR(
    IF($G15="Hollow",
       INDEX('Referensi Harga'!$C:$C, MATCH($F15 &amp; "|" &amp; $C15, 'Referensi Harga'!$F:$F, 0)),
    IF($G15="Hollow Stainless",
       INDEX('Referensi Harga'!$D:$D, MATCH($F15 &amp; "|" &amp; $C15, 'Referensi Harga'!$F:$F, 0)),
       INDEX('Referensi Harga'!$E:$E, MATCH($F15 &amp; "|" &amp; $C15, 'Referensi Harga'!$F:$F, 0))
    ))
    + IFERROR(VLOOKUP($H15, 'Profile Size'!$A:$B, 2, FALSE), 0)
    + IFERROR(VLOOKUP($I15, 'Ketebalan Material'!$A:$B, 2, FALSE), 0), 0),
0)</f>
        <v>0</v>
      </c>
      <c r="P15" cm="1">
        <f t="array" ref="P15">IF($M15="PER-LUBANG",
  IFERROR(
     _xlfn.IFS(
        $G15="Hollow",
            INDEX('Referensi Harga'!$C:$C,
                  MATCH($F15&amp;$C15,'Referensi Harga'!$A:$A&amp;'Referensi Harga'!$B:$B,0)),
        $G15="Hollow Stainless",
            INDEX('Referensi Harga'!$D:$D,
                  MATCH($F15&amp;$C15,'Referensi Harga'!$A:$A&amp;'Referensi Harga'!$B:$B,0)),
        $G15="Pipa Stainless",
            INDEX('Referensi Harga'!$E:$E,
                  MATCH($F15&amp;$C15,'Referensi Harga'!$A:$A&amp;'Referensi Harga'!$B:$B,0))
     ),0)
  + IFERROR(VLOOKUP($H15,'Profile Size'!$A:$B,2,FALSE),0)
  + IFERROR(VLOOKUP($I15,'Ketebalan Material'!$A:$B,2,FALSE),0),
0)</f>
        <v>350000</v>
      </c>
      <c r="Q15">
        <f>IF($M15="PER-M2",
    IFERROR(
        SUMIFS('Upah Tenaga Ahli'!$C:$C,
               'Upah Tenaga Ahli'!$A:$A,"PER-M2",
               'Upah Tenaga Ahli'!$B:$B,$G15
        ) * $J15 * $K15,
    0),
IF($M15="PER-LUBANG",
    IFERROR(
        SUMIFS('Upah Tenaga Ahli'!$D:$D,
               'Upah Tenaga Ahli'!$A:$A,"PER-LUBANG",
               'Upah Tenaga Ahli'!$B:$B,$G15
        ) * $L15 * $K15,
    0),
IF($M15="PER-M",
    IFERROR(
        SUMIFS('Upah Tenaga Ahli'!$E:$E,
               'Upah Tenaga Ahli'!$A:$A,"PER-M",
               'Upah Tenaga Ahli'!$B:$B,$G15
        ) * $J15 * $K15,
    0),
0)))</f>
        <v>825000</v>
      </c>
      <c r="R15" t="s">
        <v>18</v>
      </c>
      <c r="S15" t="s">
        <v>24</v>
      </c>
      <c r="T15">
        <f>IF($M15="PER-M2",
   ($N15 * $J15 * $K15)
   + IFERROR(VLOOKUP($R15,Finishing!A:B,2,FALSE),0)
   + IFERROR(VLOOKUP($S15,Kerumitan!A:B,2,FALSE),0),
IF($M15="PER-LUBANG",
   ($P15 * $L15 * $K15)
   + IFERROR(VLOOKUP($R15,Finishing!A:B,2,FALSE),0)
   + IFERROR(VLOOKUP($S15,Kerumitan!A:B,2,FALSE),0),
IF($M15="PER-M",
   ($O15 * $J15 * $K15)
   + IFERROR(VLOOKUP($R15,Finishing!A:B,2,FALSE),0)
   + IFERROR(VLOOKUP($S15,Kerumitan!A:B,2,FALSE),0),
0)))</f>
        <v>3950000</v>
      </c>
    </row>
    <row r="16" spans="1:20" x14ac:dyDescent="0.45">
      <c r="A16" t="s">
        <v>60</v>
      </c>
      <c r="B16" s="5">
        <v>44613</v>
      </c>
      <c r="C16">
        <f t="shared" si="0"/>
        <v>2022</v>
      </c>
      <c r="D16" t="s">
        <v>37</v>
      </c>
      <c r="E16" t="s">
        <v>61</v>
      </c>
      <c r="F16" t="s">
        <v>6</v>
      </c>
      <c r="G16" t="s">
        <v>15</v>
      </c>
      <c r="H16" t="s">
        <v>46</v>
      </c>
      <c r="I16">
        <v>0.8</v>
      </c>
      <c r="J16">
        <v>10.65</v>
      </c>
      <c r="K16">
        <v>1</v>
      </c>
      <c r="L16">
        <v>0</v>
      </c>
      <c r="M16" t="str" cm="1">
        <f t="array" ref="M16">_xlfn.IFS(
   OR($F16="Pagar", $F16="Pintu Gerbang", $F16="Pintu Handerson", $F16="Kanopi"), "PER-M2",
   $F16="Teralis", "PER-LUBANG",
   OR($F16="Railing", $F16="Railing/Balkon"), "PER-M",
   TRUE, ""
)</f>
        <v>PER-M2</v>
      </c>
      <c r="N16" cm="1">
        <f t="array" ref="N16">IF($M16="PER-M2",
  IFERROR(
     _xlfn.IFS(
        $G16="Hollow",
            INDEX('Referensi Harga'!$C:$C,
                  MATCH($F16&amp;$C16,'Referensi Harga'!$A:$A&amp;'Referensi Harga'!$B:$B,0)),
        $G16="Hollow Stainless",
            INDEX('Referensi Harga'!$D:$D,
                  MATCH($F16&amp;$C16,'Referensi Harga'!$A:$A&amp;'Referensi Harga'!$B:$B,0)),
        $G16="Pipa Stainless",
            INDEX('Referensi Harga'!$E:$E,
                  MATCH($F16&amp;$C16,'Referensi Harga'!$A:$A&amp;'Referensi Harga'!$B:$B,0))
     ),0)
  + IFERROR(VLOOKUP($H16,'Profile Size'!$A:$B,2,FALSE),0)
  + IFERROR(VLOOKUP($I16,'Ketebalan Material'!$A:$B,2,FALSE),0),
0)</f>
        <v>830000</v>
      </c>
      <c r="O16">
        <f>IF($M16="PER-M",
  IFERROR(
    IF($G16="Hollow",
       INDEX('Referensi Harga'!$C:$C, MATCH($F16 &amp; "|" &amp; $C16, 'Referensi Harga'!$F:$F, 0)),
    IF($G16="Hollow Stainless",
       INDEX('Referensi Harga'!$D:$D, MATCH($F16 &amp; "|" &amp; $C16, 'Referensi Harga'!$F:$F, 0)),
       INDEX('Referensi Harga'!$E:$E, MATCH($F16 &amp; "|" &amp; $C16, 'Referensi Harga'!$F:$F, 0))
    ))
    + IFERROR(VLOOKUP($H16, 'Profile Size'!$A:$B, 2, FALSE), 0)
    + IFERROR(VLOOKUP($I16, 'Ketebalan Material'!$A:$B, 2, FALSE), 0), 0),
0)</f>
        <v>0</v>
      </c>
      <c r="P16" cm="1">
        <f t="array" ref="P16">IF($M16="PER-LUBANG",
  IFERROR(
     _xlfn.IFS(
        $G16="Hollow",
            INDEX('Referensi Harga'!$C:$C,
                  MATCH($F16&amp;$C16,'Referensi Harga'!$A:$A&amp;'Referensi Harga'!$B:$B,0)),
        $G16="Hollow Stainless",
            INDEX('Referensi Harga'!$D:$D,
                  MATCH($F16&amp;$C16,'Referensi Harga'!$A:$A&amp;'Referensi Harga'!$B:$B,0)),
        $G16="Pipa Stainless",
            INDEX('Referensi Harga'!$E:$E,
                  MATCH($F16&amp;$C16,'Referensi Harga'!$A:$A&amp;'Referensi Harga'!$B:$B,0))
     ),0)
  + IFERROR(VLOOKUP($H16,'Profile Size'!$A:$B,2,FALSE),0)
  + IFERROR(VLOOKUP($I16,'Ketebalan Material'!$A:$B,2,FALSE),0),
0)</f>
        <v>0</v>
      </c>
      <c r="Q16">
        <f>IF($M16="PER-M2",
    IFERROR(
        SUMIFS('Upah Tenaga Ahli'!$C:$C,
               'Upah Tenaga Ahli'!$A:$A,"PER-M2",
               'Upah Tenaga Ahli'!$B:$B,$G16
        ) * $J16 * $K16,
    0),
IF($M16="PER-LUBANG",
    IFERROR(
        SUMIFS('Upah Tenaga Ahli'!$D:$D,
               'Upah Tenaga Ahli'!$A:$A,"PER-LUBANG",
               'Upah Tenaga Ahli'!$B:$B,$G16
        ) * $L16 * $K16,
    0),
IF($M16="PER-M",
    IFERROR(
        SUMIFS('Upah Tenaga Ahli'!$E:$E,
               'Upah Tenaga Ahli'!$A:$A,"PER-M",
               'Upah Tenaga Ahli'!$B:$B,$G16
        ) * $J16 * $K16,
    0),
0)))</f>
        <v>1597500</v>
      </c>
      <c r="R16" t="s">
        <v>617</v>
      </c>
      <c r="S16" t="s">
        <v>23</v>
      </c>
      <c r="T16">
        <f>IF($M16="PER-M2",
   ($N16 * $J16 * $K16)
   + IFERROR(VLOOKUP($R16,Finishing!A:B,2,FALSE),0)
   + IFERROR(VLOOKUP($S16,Kerumitan!A:B,2,FALSE),0),
IF($M16="PER-LUBANG",
   ($P16 * $L16 * $K16)
   + IFERROR(VLOOKUP($R16,Finishing!A:B,2,FALSE),0)
   + IFERROR(VLOOKUP($S16,Kerumitan!A:B,2,FALSE),0),
IF($M16="PER-M",
   ($O16 * $J16 * $K16)
   + IFERROR(VLOOKUP($R16,Finishing!A:B,2,FALSE),0)
   + IFERROR(VLOOKUP($S16,Kerumitan!A:B,2,FALSE),0),
0)))</f>
        <v>8839500</v>
      </c>
    </row>
    <row r="17" spans="1:20" x14ac:dyDescent="0.45">
      <c r="A17" t="s">
        <v>62</v>
      </c>
      <c r="B17" s="5">
        <v>44080</v>
      </c>
      <c r="C17">
        <f t="shared" si="0"/>
        <v>2020</v>
      </c>
      <c r="D17" t="s">
        <v>63</v>
      </c>
      <c r="E17" t="s">
        <v>61</v>
      </c>
      <c r="F17" t="s">
        <v>625</v>
      </c>
      <c r="G17" t="s">
        <v>15</v>
      </c>
      <c r="H17" t="s">
        <v>46</v>
      </c>
      <c r="I17">
        <v>1.2</v>
      </c>
      <c r="J17">
        <v>4.12</v>
      </c>
      <c r="K17">
        <v>2</v>
      </c>
      <c r="L17">
        <v>0</v>
      </c>
      <c r="M17" t="str" cm="1">
        <f t="array" ref="M17">_xlfn.IFS(
   OR($F17="Pagar", $F17="Pintu Gerbang", $F17="Pintu Handerson", $F17="Kanopi"), "PER-M2",
   $F17="Teralis", "PER-LUBANG",
   OR($F17="Railing", $F17="Railing/Balkon"), "PER-M",
   TRUE, ""
)</f>
        <v>PER-M</v>
      </c>
      <c r="N17" cm="1">
        <f t="array" ref="N17">IF($M17="PER-M2",
  IFERROR(
     _xlfn.IFS(
        $G17="Hollow",
            INDEX('Referensi Harga'!$C:$C,
                  MATCH($F17&amp;$C17,'Referensi Harga'!$A:$A&amp;'Referensi Harga'!$B:$B,0)),
        $G17="Hollow Stainless",
            INDEX('Referensi Harga'!$D:$D,
                  MATCH($F17&amp;$C17,'Referensi Harga'!$A:$A&amp;'Referensi Harga'!$B:$B,0)),
        $G17="Pipa Stainless",
            INDEX('Referensi Harga'!$E:$E,
                  MATCH($F17&amp;$C17,'Referensi Harga'!$A:$A&amp;'Referensi Harga'!$B:$B,0))
     ),0)
  + IFERROR(VLOOKUP($H17,'Profile Size'!$A:$B,2,FALSE),0)
  + IFERROR(VLOOKUP($I17,'Ketebalan Material'!$A:$B,2,FALSE),0),
0)</f>
        <v>0</v>
      </c>
      <c r="O17">
        <f>IF($M17="PER-M",
  IFERROR(
    IF($G17="Hollow",
       INDEX('Referensi Harga'!$C:$C, MATCH($F17 &amp; "|" &amp; $C17, 'Referensi Harga'!$F:$F, 0)),
    IF($G17="Hollow Stainless",
       INDEX('Referensi Harga'!$D:$D, MATCH($F17 &amp; "|" &amp; $C17, 'Referensi Harga'!$F:$F, 0)),
       INDEX('Referensi Harga'!$E:$E, MATCH($F17 &amp; "|" &amp; $C17, 'Referensi Harga'!$F:$F, 0))
    ))
    + IFERROR(VLOOKUP($H17, 'Profile Size'!$A:$B, 2, FALSE), 0)
    + IFERROR(VLOOKUP($I17, 'Ketebalan Material'!$A:$B, 2, FALSE), 0), 0),
0)</f>
        <v>1200000</v>
      </c>
      <c r="P17" cm="1">
        <f t="array" ref="P17">IF($M17="PER-LUBANG",
  IFERROR(
     _xlfn.IFS(
        $G17="Hollow",
            INDEX('Referensi Harga'!$C:$C,
                  MATCH($F17&amp;$C17,'Referensi Harga'!$A:$A&amp;'Referensi Harga'!$B:$B,0)),
        $G17="Hollow Stainless",
            INDEX('Referensi Harga'!$D:$D,
                  MATCH($F17&amp;$C17,'Referensi Harga'!$A:$A&amp;'Referensi Harga'!$B:$B,0)),
        $G17="Pipa Stainless",
            INDEX('Referensi Harga'!$E:$E,
                  MATCH($F17&amp;$C17,'Referensi Harga'!$A:$A&amp;'Referensi Harga'!$B:$B,0))
     ),0)
  + IFERROR(VLOOKUP($H17,'Profile Size'!$A:$B,2,FALSE),0)
  + IFERROR(VLOOKUP($I17,'Ketebalan Material'!$A:$B,2,FALSE),0),
0)</f>
        <v>0</v>
      </c>
      <c r="Q17">
        <f>IF($M17="PER-M2",
    IFERROR(
        SUMIFS('Upah Tenaga Ahli'!$C:$C,
               'Upah Tenaga Ahli'!$A:$A,"PER-M2",
               'Upah Tenaga Ahli'!$B:$B,$G17
        ) * $J17 * $K17,
    0),
IF($M17="PER-LUBANG",
    IFERROR(
        SUMIFS('Upah Tenaga Ahli'!$D:$D,
               'Upah Tenaga Ahli'!$A:$A,"PER-LUBANG",
               'Upah Tenaga Ahli'!$B:$B,$G17
        ) * $L17 * $K17,
    0),
IF($M17="PER-M",
    IFERROR(
        SUMIFS('Upah Tenaga Ahli'!$E:$E,
               'Upah Tenaga Ahli'!$A:$A,"PER-M",
               'Upah Tenaga Ahli'!$B:$B,$G17
        ) * $J17 * $K17,
    0),
0)))</f>
        <v>1236000</v>
      </c>
      <c r="R17" t="s">
        <v>617</v>
      </c>
      <c r="S17" t="s">
        <v>23</v>
      </c>
      <c r="T17">
        <f>IF($M17="PER-M2",
   ($N17 * $J17 * $K17)
   + IFERROR(VLOOKUP($R17,Finishing!A:B,2,FALSE),0)
   + IFERROR(VLOOKUP($S17,Kerumitan!A:B,2,FALSE),0),
IF($M17="PER-LUBANG",
   ($P17 * $L17 * $K17)
   + IFERROR(VLOOKUP($R17,Finishing!A:B,2,FALSE),0)
   + IFERROR(VLOOKUP($S17,Kerumitan!A:B,2,FALSE),0),
IF($M17="PER-M",
   ($O17 * $J17 * $K17)
   + IFERROR(VLOOKUP($R17,Finishing!A:B,2,FALSE),0)
   + IFERROR(VLOOKUP($S17,Kerumitan!A:B,2,FALSE),0),
0)))</f>
        <v>9888000</v>
      </c>
    </row>
    <row r="18" spans="1:20" x14ac:dyDescent="0.45">
      <c r="A18" t="s">
        <v>64</v>
      </c>
      <c r="B18" s="5">
        <v>44307</v>
      </c>
      <c r="C18">
        <f t="shared" si="0"/>
        <v>2021</v>
      </c>
      <c r="D18" t="s">
        <v>65</v>
      </c>
      <c r="E18" t="s">
        <v>44</v>
      </c>
      <c r="F18" t="s">
        <v>8</v>
      </c>
      <c r="G18" t="s">
        <v>13</v>
      </c>
      <c r="H18" t="s">
        <v>611</v>
      </c>
      <c r="I18">
        <v>0.8</v>
      </c>
      <c r="J18">
        <v>0</v>
      </c>
      <c r="K18">
        <v>1</v>
      </c>
      <c r="L18">
        <v>6</v>
      </c>
      <c r="M18" t="str" cm="1">
        <f t="array" ref="M18">_xlfn.IFS(
   OR($F18="Pagar", $F18="Pintu Gerbang", $F18="Pintu Handerson", $F18="Kanopi"), "PER-M2",
   $F18="Teralis", "PER-LUBANG",
   OR($F18="Railing", $F18="Railing/Balkon"), "PER-M",
   TRUE, ""
)</f>
        <v>PER-LUBANG</v>
      </c>
      <c r="N18" cm="1">
        <f t="array" ref="N18">IF($M18="PER-M2",
  IFERROR(
     _xlfn.IFS(
        $G18="Hollow",
            INDEX('Referensi Harga'!$C:$C,
                  MATCH($F18&amp;$C18,'Referensi Harga'!$A:$A&amp;'Referensi Harga'!$B:$B,0)),
        $G18="Hollow Stainless",
            INDEX('Referensi Harga'!$D:$D,
                  MATCH($F18&amp;$C18,'Referensi Harga'!$A:$A&amp;'Referensi Harga'!$B:$B,0)),
        $G18="Pipa Stainless",
            INDEX('Referensi Harga'!$E:$E,
                  MATCH($F18&amp;$C18,'Referensi Harga'!$A:$A&amp;'Referensi Harga'!$B:$B,0))
     ),0)
  + IFERROR(VLOOKUP($H18,'Profile Size'!$A:$B,2,FALSE),0)
  + IFERROR(VLOOKUP($I18,'Ketebalan Material'!$A:$B,2,FALSE),0),
0)</f>
        <v>0</v>
      </c>
      <c r="O18">
        <f>IF($M18="PER-M",
  IFERROR(
    IF($G18="Hollow",
       INDEX('Referensi Harga'!$C:$C, MATCH($F18 &amp; "|" &amp; $C18, 'Referensi Harga'!$F:$F, 0)),
    IF($G18="Hollow Stainless",
       INDEX('Referensi Harga'!$D:$D, MATCH($F18 &amp; "|" &amp; $C18, 'Referensi Harga'!$F:$F, 0)),
       INDEX('Referensi Harga'!$E:$E, MATCH($F18 &amp; "|" &amp; $C18, 'Referensi Harga'!$F:$F, 0))
    ))
    + IFERROR(VLOOKUP($H18, 'Profile Size'!$A:$B, 2, FALSE), 0)
    + IFERROR(VLOOKUP($I18, 'Ketebalan Material'!$A:$B, 2, FALSE), 0), 0),
0)</f>
        <v>0</v>
      </c>
      <c r="P18" cm="1">
        <f t="array" ref="P18">IF($M18="PER-LUBANG",
  IFERROR(
     _xlfn.IFS(
        $G18="Hollow",
            INDEX('Referensi Harga'!$C:$C,
                  MATCH($F18&amp;$C18,'Referensi Harga'!$A:$A&amp;'Referensi Harga'!$B:$B,0)),
        $G18="Hollow Stainless",
            INDEX('Referensi Harga'!$D:$D,
                  MATCH($F18&amp;$C18,'Referensi Harga'!$A:$A&amp;'Referensi Harga'!$B:$B,0)),
        $G18="Pipa Stainless",
            INDEX('Referensi Harga'!$E:$E,
                  MATCH($F18&amp;$C18,'Referensi Harga'!$A:$A&amp;'Referensi Harga'!$B:$B,0))
     ),0)
  + IFERROR(VLOOKUP($H18,'Profile Size'!$A:$B,2,FALSE),0)
  + IFERROR(VLOOKUP($I18,'Ketebalan Material'!$A:$B,2,FALSE),0),
0)</f>
        <v>300000</v>
      </c>
      <c r="Q18">
        <f>IF($M18="PER-M2",
    IFERROR(
        SUMIFS('Upah Tenaga Ahli'!$C:$C,
               'Upah Tenaga Ahli'!$A:$A,"PER-M2",
               'Upah Tenaga Ahli'!$B:$B,$G18
        ) * $J18 * $K18,
    0),
IF($M18="PER-LUBANG",
    IFERROR(
        SUMIFS('Upah Tenaga Ahli'!$D:$D,
               'Upah Tenaga Ahli'!$A:$A,"PER-LUBANG",
               'Upah Tenaga Ahli'!$B:$B,$G18
        ) * $L18 * $K18,
    0),
IF($M18="PER-M",
    IFERROR(
        SUMIFS('Upah Tenaga Ahli'!$E:$E,
               'Upah Tenaga Ahli'!$A:$A,"PER-M",
               'Upah Tenaga Ahli'!$B:$B,$G18
        ) * $J18 * $K18,
    0),
0)))</f>
        <v>450000</v>
      </c>
      <c r="R18" t="s">
        <v>19</v>
      </c>
      <c r="S18" t="s">
        <v>23</v>
      </c>
      <c r="T18">
        <f>IF($M18="PER-M2",
   ($N18 * $J18 * $K18)
   + IFERROR(VLOOKUP($R18,Finishing!A:B,2,FALSE),0)
   + IFERROR(VLOOKUP($S18,Kerumitan!A:B,2,FALSE),0),
IF($M18="PER-LUBANG",
   ($P18 * $L18 * $K18)
   + IFERROR(VLOOKUP($R18,Finishing!A:B,2,FALSE),0)
   + IFERROR(VLOOKUP($S18,Kerumitan!A:B,2,FALSE),0),
IF($M18="PER-M",
   ($O18 * $J18 * $K18)
   + IFERROR(VLOOKUP($R18,Finishing!A:B,2,FALSE),0)
   + IFERROR(VLOOKUP($S18,Kerumitan!A:B,2,FALSE),0),
0)))</f>
        <v>1850000</v>
      </c>
    </row>
    <row r="19" spans="1:20" x14ac:dyDescent="0.45">
      <c r="A19" t="s">
        <v>66</v>
      </c>
      <c r="B19" s="5">
        <v>44833</v>
      </c>
      <c r="C19">
        <f t="shared" si="0"/>
        <v>2022</v>
      </c>
      <c r="D19" t="s">
        <v>27</v>
      </c>
      <c r="E19" t="s">
        <v>57</v>
      </c>
      <c r="F19" t="s">
        <v>8</v>
      </c>
      <c r="G19" t="s">
        <v>14</v>
      </c>
      <c r="H19" t="s">
        <v>612</v>
      </c>
      <c r="I19">
        <v>1.2</v>
      </c>
      <c r="J19">
        <v>0</v>
      </c>
      <c r="K19">
        <v>1</v>
      </c>
      <c r="L19">
        <v>20</v>
      </c>
      <c r="M19" t="str" cm="1">
        <f t="array" ref="M19">_xlfn.IFS(
   OR($F19="Pagar", $F19="Pintu Gerbang", $F19="Pintu Handerson", $F19="Kanopi"), "PER-M2",
   $F19="Teralis", "PER-LUBANG",
   OR($F19="Railing", $F19="Railing/Balkon"), "PER-M",
   TRUE, ""
)</f>
        <v>PER-LUBANG</v>
      </c>
      <c r="N19" cm="1">
        <f t="array" ref="N19">IF($M19="PER-M2",
  IFERROR(
     _xlfn.IFS(
        $G19="Hollow",
            INDEX('Referensi Harga'!$C:$C,
                  MATCH($F19&amp;$C19,'Referensi Harga'!$A:$A&amp;'Referensi Harga'!$B:$B,0)),
        $G19="Hollow Stainless",
            INDEX('Referensi Harga'!$D:$D,
                  MATCH($F19&amp;$C19,'Referensi Harga'!$A:$A&amp;'Referensi Harga'!$B:$B,0)),
        $G19="Pipa Stainless",
            INDEX('Referensi Harga'!$E:$E,
                  MATCH($F19&amp;$C19,'Referensi Harga'!$A:$A&amp;'Referensi Harga'!$B:$B,0))
     ),0)
  + IFERROR(VLOOKUP($H19,'Profile Size'!$A:$B,2,FALSE),0)
  + IFERROR(VLOOKUP($I19,'Ketebalan Material'!$A:$B,2,FALSE),0),
0)</f>
        <v>0</v>
      </c>
      <c r="O19">
        <f>IF($M19="PER-M",
  IFERROR(
    IF($G19="Hollow",
       INDEX('Referensi Harga'!$C:$C, MATCH($F19 &amp; "|" &amp; $C19, 'Referensi Harga'!$F:$F, 0)),
    IF($G19="Hollow Stainless",
       INDEX('Referensi Harga'!$D:$D, MATCH($F19 &amp; "|" &amp; $C19, 'Referensi Harga'!$F:$F, 0)),
       INDEX('Referensi Harga'!$E:$E, MATCH($F19 &amp; "|" &amp; $C19, 'Referensi Harga'!$F:$F, 0))
    ))
    + IFERROR(VLOOKUP($H19, 'Profile Size'!$A:$B, 2, FALSE), 0)
    + IFERROR(VLOOKUP($I19, 'Ketebalan Material'!$A:$B, 2, FALSE), 0), 0),
0)</f>
        <v>0</v>
      </c>
      <c r="P19" cm="1">
        <f t="array" ref="P19">IF($M19="PER-LUBANG",
  IFERROR(
     _xlfn.IFS(
        $G19="Hollow",
            INDEX('Referensi Harga'!$C:$C,
                  MATCH($F19&amp;$C19,'Referensi Harga'!$A:$A&amp;'Referensi Harga'!$B:$B,0)),
        $G19="Hollow Stainless",
            INDEX('Referensi Harga'!$D:$D,
                  MATCH($F19&amp;$C19,'Referensi Harga'!$A:$A&amp;'Referensi Harga'!$B:$B,0)),
        $G19="Pipa Stainless",
            INDEX('Referensi Harga'!$E:$E,
                  MATCH($F19&amp;$C19,'Referensi Harga'!$A:$A&amp;'Referensi Harga'!$B:$B,0))
     ),0)
  + IFERROR(VLOOKUP($H19,'Profile Size'!$A:$B,2,FALSE),0)
  + IFERROR(VLOOKUP($I19,'Ketebalan Material'!$A:$B,2,FALSE),0),
0)</f>
        <v>760000</v>
      </c>
      <c r="Q19">
        <f>IF($M19="PER-M2",
    IFERROR(
        SUMIFS('Upah Tenaga Ahli'!$C:$C,
               'Upah Tenaga Ahli'!$A:$A,"PER-M2",
               'Upah Tenaga Ahli'!$B:$B,$G19
        ) * $J19 * $K19,
    0),
IF($M19="PER-LUBANG",
    IFERROR(
        SUMIFS('Upah Tenaga Ahli'!$D:$D,
               'Upah Tenaga Ahli'!$A:$A,"PER-LUBANG",
               'Upah Tenaga Ahli'!$B:$B,$G19
        ) * $L19 * $K19,
    0),
IF($M19="PER-M",
    IFERROR(
        SUMIFS('Upah Tenaga Ahli'!$E:$E,
               'Upah Tenaga Ahli'!$A:$A,"PER-M",
               'Upah Tenaga Ahli'!$B:$B,$G19
        ) * $J19 * $K19,
    0),
0)))</f>
        <v>3000000</v>
      </c>
      <c r="R19" t="s">
        <v>617</v>
      </c>
      <c r="S19" t="s">
        <v>25</v>
      </c>
      <c r="T19">
        <f>IF($M19="PER-M2",
   ($N19 * $J19 * $K19)
   + IFERROR(VLOOKUP($R19,Finishing!A:B,2,FALSE),0)
   + IFERROR(VLOOKUP($S19,Kerumitan!A:B,2,FALSE),0),
IF($M19="PER-LUBANG",
   ($P19 * $L19 * $K19)
   + IFERROR(VLOOKUP($R19,Finishing!A:B,2,FALSE),0)
   + IFERROR(VLOOKUP($S19,Kerumitan!A:B,2,FALSE),0),
IF($M19="PER-M",
   ($O19 * $J19 * $K19)
   + IFERROR(VLOOKUP($R19,Finishing!A:B,2,FALSE),0)
   + IFERROR(VLOOKUP($S19,Kerumitan!A:B,2,FALSE),0),
0)))</f>
        <v>15350000</v>
      </c>
    </row>
    <row r="20" spans="1:20" x14ac:dyDescent="0.45">
      <c r="A20" t="s">
        <v>67</v>
      </c>
      <c r="B20" s="5">
        <v>45003</v>
      </c>
      <c r="C20">
        <f t="shared" si="0"/>
        <v>2023</v>
      </c>
      <c r="D20" t="s">
        <v>68</v>
      </c>
      <c r="E20" t="s">
        <v>69</v>
      </c>
      <c r="F20" t="s">
        <v>8</v>
      </c>
      <c r="G20" t="s">
        <v>13</v>
      </c>
      <c r="H20" t="s">
        <v>613</v>
      </c>
      <c r="I20">
        <v>1.2</v>
      </c>
      <c r="J20">
        <v>0</v>
      </c>
      <c r="K20">
        <v>1</v>
      </c>
      <c r="L20">
        <v>12</v>
      </c>
      <c r="M20" t="str" cm="1">
        <f t="array" ref="M20">_xlfn.IFS(
   OR($F20="Pagar", $F20="Pintu Gerbang", $F20="Pintu Handerson", $F20="Kanopi"), "PER-M2",
   $F20="Teralis", "PER-LUBANG",
   OR($F20="Railing", $F20="Railing/Balkon"), "PER-M",
   TRUE, ""
)</f>
        <v>PER-LUBANG</v>
      </c>
      <c r="N20" cm="1">
        <f t="array" ref="N20">IF($M20="PER-M2",
  IFERROR(
     _xlfn.IFS(
        $G20="Hollow",
            INDEX('Referensi Harga'!$C:$C,
                  MATCH($F20&amp;$C20,'Referensi Harga'!$A:$A&amp;'Referensi Harga'!$B:$B,0)),
        $G20="Hollow Stainless",
            INDEX('Referensi Harga'!$D:$D,
                  MATCH($F20&amp;$C20,'Referensi Harga'!$A:$A&amp;'Referensi Harga'!$B:$B,0)),
        $G20="Pipa Stainless",
            INDEX('Referensi Harga'!$E:$E,
                  MATCH($F20&amp;$C20,'Referensi Harga'!$A:$A&amp;'Referensi Harga'!$B:$B,0))
     ),0)
  + IFERROR(VLOOKUP($H20,'Profile Size'!$A:$B,2,FALSE),0)
  + IFERROR(VLOOKUP($I20,'Ketebalan Material'!$A:$B,2,FALSE),0),
0)</f>
        <v>0</v>
      </c>
      <c r="O20">
        <f>IF($M20="PER-M",
  IFERROR(
    IF($G20="Hollow",
       INDEX('Referensi Harga'!$C:$C, MATCH($F20 &amp; "|" &amp; $C20, 'Referensi Harga'!$F:$F, 0)),
    IF($G20="Hollow Stainless",
       INDEX('Referensi Harga'!$D:$D, MATCH($F20 &amp; "|" &amp; $C20, 'Referensi Harga'!$F:$F, 0)),
       INDEX('Referensi Harga'!$E:$E, MATCH($F20 &amp; "|" &amp; $C20, 'Referensi Harga'!$F:$F, 0))
    ))
    + IFERROR(VLOOKUP($H20, 'Profile Size'!$A:$B, 2, FALSE), 0)
    + IFERROR(VLOOKUP($I20, 'Ketebalan Material'!$A:$B, 2, FALSE), 0), 0),
0)</f>
        <v>0</v>
      </c>
      <c r="P20" cm="1">
        <f t="array" ref="P20">IF($M20="PER-LUBANG",
  IFERROR(
     _xlfn.IFS(
        $G20="Hollow",
            INDEX('Referensi Harga'!$C:$C,
                  MATCH($F20&amp;$C20,'Referensi Harga'!$A:$A&amp;'Referensi Harga'!$B:$B,0)),
        $G20="Hollow Stainless",
            INDEX('Referensi Harga'!$D:$D,
                  MATCH($F20&amp;$C20,'Referensi Harga'!$A:$A&amp;'Referensi Harga'!$B:$B,0)),
        $G20="Pipa Stainless",
            INDEX('Referensi Harga'!$E:$E,
                  MATCH($F20&amp;$C20,'Referensi Harga'!$A:$A&amp;'Referensi Harga'!$B:$B,0))
     ),0)
  + IFERROR(VLOOKUP($H20,'Profile Size'!$A:$B,2,FALSE),0)
  + IFERROR(VLOOKUP($I20,'Ketebalan Material'!$A:$B,2,FALSE),0),
0)</f>
        <v>450000</v>
      </c>
      <c r="Q20">
        <f>IF($M20="PER-M2",
    IFERROR(
        SUMIFS('Upah Tenaga Ahli'!$C:$C,
               'Upah Tenaga Ahli'!$A:$A,"PER-M2",
               'Upah Tenaga Ahli'!$B:$B,$G20
        ) * $J20 * $K20,
    0),
IF($M20="PER-LUBANG",
    IFERROR(
        SUMIFS('Upah Tenaga Ahli'!$D:$D,
               'Upah Tenaga Ahli'!$A:$A,"PER-LUBANG",
               'Upah Tenaga Ahli'!$B:$B,$G20
        ) * $L20 * $K20,
    0),
IF($M20="PER-M",
    IFERROR(
        SUMIFS('Upah Tenaga Ahli'!$E:$E,
               'Upah Tenaga Ahli'!$A:$A,"PER-M",
               'Upah Tenaga Ahli'!$B:$B,$G20
        ) * $J20 * $K20,
    0),
0)))</f>
        <v>900000</v>
      </c>
      <c r="R20" t="s">
        <v>19</v>
      </c>
      <c r="S20" t="s">
        <v>24</v>
      </c>
      <c r="T20">
        <f>IF($M20="PER-M2",
   ($N20 * $J20 * $K20)
   + IFERROR(VLOOKUP($R20,Finishing!A:B,2,FALSE),0)
   + IFERROR(VLOOKUP($S20,Kerumitan!A:B,2,FALSE),0),
IF($M20="PER-LUBANG",
   ($P20 * $L20 * $K20)
   + IFERROR(VLOOKUP($R20,Finishing!A:B,2,FALSE),0)
   + IFERROR(VLOOKUP($S20,Kerumitan!A:B,2,FALSE),0),
IF($M20="PER-M",
   ($O20 * $J20 * $K20)
   + IFERROR(VLOOKUP($R20,Finishing!A:B,2,FALSE),0)
   + IFERROR(VLOOKUP($S20,Kerumitan!A:B,2,FALSE),0),
0)))</f>
        <v>5550000</v>
      </c>
    </row>
    <row r="21" spans="1:20" x14ac:dyDescent="0.45">
      <c r="A21" t="s">
        <v>70</v>
      </c>
      <c r="B21" s="5">
        <v>45725</v>
      </c>
      <c r="C21">
        <f t="shared" si="0"/>
        <v>2025</v>
      </c>
      <c r="D21" t="s">
        <v>71</v>
      </c>
      <c r="E21" t="s">
        <v>57</v>
      </c>
      <c r="F21" t="s">
        <v>6</v>
      </c>
      <c r="G21" t="s">
        <v>14</v>
      </c>
      <c r="H21" t="s">
        <v>614</v>
      </c>
      <c r="I21">
        <v>1.2</v>
      </c>
      <c r="J21">
        <v>10.06</v>
      </c>
      <c r="K21">
        <v>2</v>
      </c>
      <c r="L21">
        <v>0</v>
      </c>
      <c r="M21" t="str" cm="1">
        <f t="array" ref="M21">_xlfn.IFS(
   OR($F21="Pagar", $F21="Pintu Gerbang", $F21="Pintu Handerson", $F21="Kanopi"), "PER-M2",
   $F21="Teralis", "PER-LUBANG",
   OR($F21="Railing", $F21="Railing/Balkon"), "PER-M",
   TRUE, ""
)</f>
        <v>PER-M2</v>
      </c>
      <c r="N21" cm="1">
        <f t="array" ref="N21">IF($M21="PER-M2",
  IFERROR(
     _xlfn.IFS(
        $G21="Hollow",
            INDEX('Referensi Harga'!$C:$C,
                  MATCH($F21&amp;$C21,'Referensi Harga'!$A:$A&amp;'Referensi Harga'!$B:$B,0)),
        $G21="Hollow Stainless",
            INDEX('Referensi Harga'!$D:$D,
                  MATCH($F21&amp;$C21,'Referensi Harga'!$A:$A&amp;'Referensi Harga'!$B:$B,0)),
        $G21="Pipa Stainless",
            INDEX('Referensi Harga'!$E:$E,
                  MATCH($F21&amp;$C21,'Referensi Harga'!$A:$A&amp;'Referensi Harga'!$B:$B,0))
     ),0)
  + IFERROR(VLOOKUP($H21,'Profile Size'!$A:$B,2,FALSE),0)
  + IFERROR(VLOOKUP($I21,'Ketebalan Material'!$A:$B,2,FALSE),0),
0)</f>
        <v>800000</v>
      </c>
      <c r="O21">
        <f>IF($M21="PER-M",
  IFERROR(
    IF($G21="Hollow",
       INDEX('Referensi Harga'!$C:$C, MATCH($F21 &amp; "|" &amp; $C21, 'Referensi Harga'!$F:$F, 0)),
    IF($G21="Hollow Stainless",
       INDEX('Referensi Harga'!$D:$D, MATCH($F21 &amp; "|" &amp; $C21, 'Referensi Harga'!$F:$F, 0)),
       INDEX('Referensi Harga'!$E:$E, MATCH($F21 &amp; "|" &amp; $C21, 'Referensi Harga'!$F:$F, 0))
    ))
    + IFERROR(VLOOKUP($H21, 'Profile Size'!$A:$B, 2, FALSE), 0)
    + IFERROR(VLOOKUP($I21, 'Ketebalan Material'!$A:$B, 2, FALSE), 0), 0),
0)</f>
        <v>0</v>
      </c>
      <c r="P21" cm="1">
        <f t="array" ref="P21">IF($M21="PER-LUBANG",
  IFERROR(
     _xlfn.IFS(
        $G21="Hollow",
            INDEX('Referensi Harga'!$C:$C,
                  MATCH($F21&amp;$C21,'Referensi Harga'!$A:$A&amp;'Referensi Harga'!$B:$B,0)),
        $G21="Hollow Stainless",
            INDEX('Referensi Harga'!$D:$D,
                  MATCH($F21&amp;$C21,'Referensi Harga'!$A:$A&amp;'Referensi Harga'!$B:$B,0)),
        $G21="Pipa Stainless",
            INDEX('Referensi Harga'!$E:$E,
                  MATCH($F21&amp;$C21,'Referensi Harga'!$A:$A&amp;'Referensi Harga'!$B:$B,0))
     ),0)
  + IFERROR(VLOOKUP($H21,'Profile Size'!$A:$B,2,FALSE),0)
  + IFERROR(VLOOKUP($I21,'Ketebalan Material'!$A:$B,2,FALSE),0),
0)</f>
        <v>0</v>
      </c>
      <c r="Q21">
        <f>IF($M21="PER-M2",
    IFERROR(
        SUMIFS('Upah Tenaga Ahli'!$C:$C,
               'Upah Tenaga Ahli'!$A:$A,"PER-M2",
               'Upah Tenaga Ahli'!$B:$B,$G21
        ) * $J21 * $K21,
    0),
IF($M21="PER-LUBANG",
    IFERROR(
        SUMIFS('Upah Tenaga Ahli'!$D:$D,
               'Upah Tenaga Ahli'!$A:$A,"PER-LUBANG",
               'Upah Tenaga Ahli'!$B:$B,$G21
        ) * $L21 * $K21,
    0),
IF($M21="PER-M",
    IFERROR(
        SUMIFS('Upah Tenaga Ahli'!$E:$E,
               'Upah Tenaga Ahli'!$A:$A,"PER-M",
               'Upah Tenaga Ahli'!$B:$B,$G21
        ) * $J21 * $K21,
    0),
0)))</f>
        <v>4024000</v>
      </c>
      <c r="R21" t="s">
        <v>617</v>
      </c>
      <c r="S21" t="s">
        <v>23</v>
      </c>
      <c r="T21">
        <f>IF($M21="PER-M2",
   ($N21 * $J21 * $K21)
   + IFERROR(VLOOKUP($R21,Finishing!A:B,2,FALSE),0)
   + IFERROR(VLOOKUP($S21,Kerumitan!A:B,2,FALSE),0),
IF($M21="PER-LUBANG",
   ($P21 * $L21 * $K21)
   + IFERROR(VLOOKUP($R21,Finishing!A:B,2,FALSE),0)
   + IFERROR(VLOOKUP($S21,Kerumitan!A:B,2,FALSE),0),
IF($M21="PER-M",
   ($O21 * $J21 * $K21)
   + IFERROR(VLOOKUP($R21,Finishing!A:B,2,FALSE),0)
   + IFERROR(VLOOKUP($S21,Kerumitan!A:B,2,FALSE),0),
0)))</f>
        <v>16096000</v>
      </c>
    </row>
    <row r="22" spans="1:20" x14ac:dyDescent="0.45">
      <c r="A22" t="s">
        <v>72</v>
      </c>
      <c r="B22" s="5">
        <v>44778</v>
      </c>
      <c r="C22">
        <f t="shared" si="0"/>
        <v>2022</v>
      </c>
      <c r="D22" t="s">
        <v>73</v>
      </c>
      <c r="E22" t="s">
        <v>69</v>
      </c>
      <c r="F22" t="s">
        <v>7</v>
      </c>
      <c r="G22" t="s">
        <v>15</v>
      </c>
      <c r="H22" t="s">
        <v>46</v>
      </c>
      <c r="I22">
        <v>1</v>
      </c>
      <c r="J22">
        <v>12.16</v>
      </c>
      <c r="K22">
        <v>1</v>
      </c>
      <c r="L22">
        <v>0</v>
      </c>
      <c r="M22" t="str" cm="1">
        <f t="array" ref="M22">_xlfn.IFS(
   OR($F22="Pagar", $F22="Pintu Gerbang", $F22="Pintu Handerson", $F22="Kanopi"), "PER-M2",
   $F22="Teralis", "PER-LUBANG",
   OR($F22="Railing", $F22="Railing/Balkon"), "PER-M",
   TRUE, ""
)</f>
        <v>PER-M2</v>
      </c>
      <c r="N22" cm="1">
        <f t="array" ref="N22">IF($M22="PER-M2",
  IFERROR(
     _xlfn.IFS(
        $G22="Hollow",
            INDEX('Referensi Harga'!$C:$C,
                  MATCH($F22&amp;$C22,'Referensi Harga'!$A:$A&amp;'Referensi Harga'!$B:$B,0)),
        $G22="Hollow Stainless",
            INDEX('Referensi Harga'!$D:$D,
                  MATCH($F22&amp;$C22,'Referensi Harga'!$A:$A&amp;'Referensi Harga'!$B:$B,0)),
        $G22="Pipa Stainless",
            INDEX('Referensi Harga'!$E:$E,
                  MATCH($F22&amp;$C22,'Referensi Harga'!$A:$A&amp;'Referensi Harga'!$B:$B,0))
     ),0)
  + IFERROR(VLOOKUP($H22,'Profile Size'!$A:$B,2,FALSE),0)
  + IFERROR(VLOOKUP($I22,'Ketebalan Material'!$A:$B,2,FALSE),0),
0)</f>
        <v>1350000</v>
      </c>
      <c r="O22">
        <f>IF($M22="PER-M",
  IFERROR(
    IF($G22="Hollow",
       INDEX('Referensi Harga'!$C:$C, MATCH($F22 &amp; "|" &amp; $C22, 'Referensi Harga'!$F:$F, 0)),
    IF($G22="Hollow Stainless",
       INDEX('Referensi Harga'!$D:$D, MATCH($F22 &amp; "|" &amp; $C22, 'Referensi Harga'!$F:$F, 0)),
       INDEX('Referensi Harga'!$E:$E, MATCH($F22 &amp; "|" &amp; $C22, 'Referensi Harga'!$F:$F, 0))
    ))
    + IFERROR(VLOOKUP($H22, 'Profile Size'!$A:$B, 2, FALSE), 0)
    + IFERROR(VLOOKUP($I22, 'Ketebalan Material'!$A:$B, 2, FALSE), 0), 0),
0)</f>
        <v>0</v>
      </c>
      <c r="P22" cm="1">
        <f t="array" ref="P22">IF($M22="PER-LUBANG",
  IFERROR(
     _xlfn.IFS(
        $G22="Hollow",
            INDEX('Referensi Harga'!$C:$C,
                  MATCH($F22&amp;$C22,'Referensi Harga'!$A:$A&amp;'Referensi Harga'!$B:$B,0)),
        $G22="Hollow Stainless",
            INDEX('Referensi Harga'!$D:$D,
                  MATCH($F22&amp;$C22,'Referensi Harga'!$A:$A&amp;'Referensi Harga'!$B:$B,0)),
        $G22="Pipa Stainless",
            INDEX('Referensi Harga'!$E:$E,
                  MATCH($F22&amp;$C22,'Referensi Harga'!$A:$A&amp;'Referensi Harga'!$B:$B,0))
     ),0)
  + IFERROR(VLOOKUP($H22,'Profile Size'!$A:$B,2,FALSE),0)
  + IFERROR(VLOOKUP($I22,'Ketebalan Material'!$A:$B,2,FALSE),0),
0)</f>
        <v>0</v>
      </c>
      <c r="Q22">
        <f>IF($M22="PER-M2",
    IFERROR(
        SUMIFS('Upah Tenaga Ahli'!$C:$C,
               'Upah Tenaga Ahli'!$A:$A,"PER-M2",
               'Upah Tenaga Ahli'!$B:$B,$G22
        ) * $J22 * $K22,
    0),
IF($M22="PER-LUBANG",
    IFERROR(
        SUMIFS('Upah Tenaga Ahli'!$D:$D,
               'Upah Tenaga Ahli'!$A:$A,"PER-LUBANG",
               'Upah Tenaga Ahli'!$B:$B,$G22
        ) * $L22 * $K22,
    0),
IF($M22="PER-M",
    IFERROR(
        SUMIFS('Upah Tenaga Ahli'!$E:$E,
               'Upah Tenaga Ahli'!$A:$A,"PER-M",
               'Upah Tenaga Ahli'!$B:$B,$G22
        ) * $J22 * $K22,
    0),
0)))</f>
        <v>1824000</v>
      </c>
      <c r="R22" t="s">
        <v>617</v>
      </c>
      <c r="S22" t="s">
        <v>23</v>
      </c>
      <c r="T22">
        <f>IF($M22="PER-M2",
   ($N22 * $J22 * $K22)
   + IFERROR(VLOOKUP($R22,Finishing!A:B,2,FALSE),0)
   + IFERROR(VLOOKUP($S22,Kerumitan!A:B,2,FALSE),0),
IF($M22="PER-LUBANG",
   ($P22 * $L22 * $K22)
   + IFERROR(VLOOKUP($R22,Finishing!A:B,2,FALSE),0)
   + IFERROR(VLOOKUP($S22,Kerumitan!A:B,2,FALSE),0),
IF($M22="PER-M",
   ($O22 * $J22 * $K22)
   + IFERROR(VLOOKUP($R22,Finishing!A:B,2,FALSE),0)
   + IFERROR(VLOOKUP($S22,Kerumitan!A:B,2,FALSE),0),
0)))</f>
        <v>16416000</v>
      </c>
    </row>
    <row r="23" spans="1:20" x14ac:dyDescent="0.45">
      <c r="A23" t="s">
        <v>74</v>
      </c>
      <c r="B23" s="5">
        <v>45547</v>
      </c>
      <c r="C23">
        <f t="shared" si="0"/>
        <v>2024</v>
      </c>
      <c r="D23" t="s">
        <v>31</v>
      </c>
      <c r="E23" t="s">
        <v>75</v>
      </c>
      <c r="F23" t="s">
        <v>625</v>
      </c>
      <c r="G23" t="s">
        <v>14</v>
      </c>
      <c r="H23" t="s">
        <v>615</v>
      </c>
      <c r="I23">
        <v>1.2</v>
      </c>
      <c r="J23">
        <v>3</v>
      </c>
      <c r="K23">
        <v>2</v>
      </c>
      <c r="L23">
        <v>0</v>
      </c>
      <c r="M23" t="str" cm="1">
        <f t="array" ref="M23">_xlfn.IFS(
   OR($F23="Pagar", $F23="Pintu Gerbang", $F23="Pintu Handerson", $F23="Kanopi"), "PER-M2",
   $F23="Teralis", "PER-LUBANG",
   OR($F23="Railing", $F23="Railing/Balkon"), "PER-M",
   TRUE, ""
)</f>
        <v>PER-M</v>
      </c>
      <c r="N23" cm="1">
        <f t="array" ref="N23">IF($M23="PER-M2",
  IFERROR(
     _xlfn.IFS(
        $G23="Hollow",
            INDEX('Referensi Harga'!$C:$C,
                  MATCH($F23&amp;$C23,'Referensi Harga'!$A:$A&amp;'Referensi Harga'!$B:$B,0)),
        $G23="Hollow Stainless",
            INDEX('Referensi Harga'!$D:$D,
                  MATCH($F23&amp;$C23,'Referensi Harga'!$A:$A&amp;'Referensi Harga'!$B:$B,0)),
        $G23="Pipa Stainless",
            INDEX('Referensi Harga'!$E:$E,
                  MATCH($F23&amp;$C23,'Referensi Harga'!$A:$A&amp;'Referensi Harga'!$B:$B,0))
     ),0)
  + IFERROR(VLOOKUP($H23,'Profile Size'!$A:$B,2,FALSE),0)
  + IFERROR(VLOOKUP($I23,'Ketebalan Material'!$A:$B,2,FALSE),0),
0)</f>
        <v>0</v>
      </c>
      <c r="O23">
        <f>IF($M23="PER-M",
  IFERROR(
    IF($G23="Hollow",
       INDEX('Referensi Harga'!$C:$C, MATCH($F23 &amp; "|" &amp; $C23, 'Referensi Harga'!$F:$F, 0)),
    IF($G23="Hollow Stainless",
       INDEX('Referensi Harga'!$D:$D, MATCH($F23 &amp; "|" &amp; $C23, 'Referensi Harga'!$F:$F, 0)),
       INDEX('Referensi Harga'!$E:$E, MATCH($F23 &amp; "|" &amp; $C23, 'Referensi Harga'!$F:$F, 0))
    ))
    + IFERROR(VLOOKUP($H23, 'Profile Size'!$A:$B, 2, FALSE), 0)
    + IFERROR(VLOOKUP($I23, 'Ketebalan Material'!$A:$B, 2, FALSE), 0), 0),
0)</f>
        <v>1200000</v>
      </c>
      <c r="P23" cm="1">
        <f t="array" ref="P23">IF($M23="PER-LUBANG",
  IFERROR(
     _xlfn.IFS(
        $G23="Hollow",
            INDEX('Referensi Harga'!$C:$C,
                  MATCH($F23&amp;$C23,'Referensi Harga'!$A:$A&amp;'Referensi Harga'!$B:$B,0)),
        $G23="Hollow Stainless",
            INDEX('Referensi Harga'!$D:$D,
                  MATCH($F23&amp;$C23,'Referensi Harga'!$A:$A&amp;'Referensi Harga'!$B:$B,0)),
        $G23="Pipa Stainless",
            INDEX('Referensi Harga'!$E:$E,
                  MATCH($F23&amp;$C23,'Referensi Harga'!$A:$A&amp;'Referensi Harga'!$B:$B,0))
     ),0)
  + IFERROR(VLOOKUP($H23,'Profile Size'!$A:$B,2,FALSE),0)
  + IFERROR(VLOOKUP($I23,'Ketebalan Material'!$A:$B,2,FALSE),0),
0)</f>
        <v>0</v>
      </c>
      <c r="Q23">
        <f>IF($M23="PER-M2",
    IFERROR(
        SUMIFS('Upah Tenaga Ahli'!$C:$C,
               'Upah Tenaga Ahli'!$A:$A,"PER-M2",
               'Upah Tenaga Ahli'!$B:$B,$G23
        ) * $J23 * $K23,
    0),
IF($M23="PER-LUBANG",
    IFERROR(
        SUMIFS('Upah Tenaga Ahli'!$D:$D,
               'Upah Tenaga Ahli'!$A:$A,"PER-LUBANG",
               'Upah Tenaga Ahli'!$B:$B,$G23
        ) * $L23 * $K23,
    0),
IF($M23="PER-M",
    IFERROR(
        SUMIFS('Upah Tenaga Ahli'!$E:$E,
               'Upah Tenaga Ahli'!$A:$A,"PER-M",
               'Upah Tenaga Ahli'!$B:$B,$G23
        ) * $J23 * $K23,
    0),
0)))</f>
        <v>1200000</v>
      </c>
      <c r="R23" t="s">
        <v>617</v>
      </c>
      <c r="S23" t="s">
        <v>23</v>
      </c>
      <c r="T23">
        <f>IF($M23="PER-M2",
   ($N23 * $J23 * $K23)
   + IFERROR(VLOOKUP($R23,Finishing!A:B,2,FALSE),0)
   + IFERROR(VLOOKUP($S23,Kerumitan!A:B,2,FALSE),0),
IF($M23="PER-LUBANG",
   ($P23 * $L23 * $K23)
   + IFERROR(VLOOKUP($R23,Finishing!A:B,2,FALSE),0)
   + IFERROR(VLOOKUP($S23,Kerumitan!A:B,2,FALSE),0),
IF($M23="PER-M",
   ($O23 * $J23 * $K23)
   + IFERROR(VLOOKUP($R23,Finishing!A:B,2,FALSE),0)
   + IFERROR(VLOOKUP($S23,Kerumitan!A:B,2,FALSE),0),
0)))</f>
        <v>7200000</v>
      </c>
    </row>
    <row r="24" spans="1:20" x14ac:dyDescent="0.45">
      <c r="A24" t="s">
        <v>76</v>
      </c>
      <c r="B24" s="5">
        <v>45015</v>
      </c>
      <c r="C24">
        <f t="shared" si="0"/>
        <v>2023</v>
      </c>
      <c r="D24" t="s">
        <v>77</v>
      </c>
      <c r="E24" t="s">
        <v>75</v>
      </c>
      <c r="F24" t="s">
        <v>6</v>
      </c>
      <c r="G24" t="s">
        <v>13</v>
      </c>
      <c r="H24" t="s">
        <v>33</v>
      </c>
      <c r="I24">
        <v>1.2</v>
      </c>
      <c r="J24">
        <v>23.62</v>
      </c>
      <c r="K24">
        <v>2</v>
      </c>
      <c r="L24">
        <v>0</v>
      </c>
      <c r="M24" t="str" cm="1">
        <f t="array" ref="M24">_xlfn.IFS(
   OR($F24="Pagar", $F24="Pintu Gerbang", $F24="Pintu Handerson", $F24="Kanopi"), "PER-M2",
   $F24="Teralis", "PER-LUBANG",
   OR($F24="Railing", $F24="Railing/Balkon"), "PER-M",
   TRUE, ""
)</f>
        <v>PER-M2</v>
      </c>
      <c r="N24" cm="1">
        <f t="array" ref="N24">IF($M24="PER-M2",
  IFERROR(
     _xlfn.IFS(
        $G24="Hollow",
            INDEX('Referensi Harga'!$C:$C,
                  MATCH($F24&amp;$C24,'Referensi Harga'!$A:$A&amp;'Referensi Harga'!$B:$B,0)),
        $G24="Hollow Stainless",
            INDEX('Referensi Harga'!$D:$D,
                  MATCH($F24&amp;$C24,'Referensi Harga'!$A:$A&amp;'Referensi Harga'!$B:$B,0)),
        $G24="Pipa Stainless",
            INDEX('Referensi Harga'!$E:$E,
                  MATCH($F24&amp;$C24,'Referensi Harga'!$A:$A&amp;'Referensi Harga'!$B:$B,0))
     ),0)
  + IFERROR(VLOOKUP($H24,'Profile Size'!$A:$B,2,FALSE),0)
  + IFERROR(VLOOKUP($I24,'Ketebalan Material'!$A:$B,2,FALSE),0),
0)</f>
        <v>520000</v>
      </c>
      <c r="O24">
        <f>IF($M24="PER-M",
  IFERROR(
    IF($G24="Hollow",
       INDEX('Referensi Harga'!$C:$C, MATCH($F24 &amp; "|" &amp; $C24, 'Referensi Harga'!$F:$F, 0)),
    IF($G24="Hollow Stainless",
       INDEX('Referensi Harga'!$D:$D, MATCH($F24 &amp; "|" &amp; $C24, 'Referensi Harga'!$F:$F, 0)),
       INDEX('Referensi Harga'!$E:$E, MATCH($F24 &amp; "|" &amp; $C24, 'Referensi Harga'!$F:$F, 0))
    ))
    + IFERROR(VLOOKUP($H24, 'Profile Size'!$A:$B, 2, FALSE), 0)
    + IFERROR(VLOOKUP($I24, 'Ketebalan Material'!$A:$B, 2, FALSE), 0), 0),
0)</f>
        <v>0</v>
      </c>
      <c r="P24" cm="1">
        <f t="array" ref="P24">IF($M24="PER-LUBANG",
  IFERROR(
     _xlfn.IFS(
        $G24="Hollow",
            INDEX('Referensi Harga'!$C:$C,
                  MATCH($F24&amp;$C24,'Referensi Harga'!$A:$A&amp;'Referensi Harga'!$B:$B,0)),
        $G24="Hollow Stainless",
            INDEX('Referensi Harga'!$D:$D,
                  MATCH($F24&amp;$C24,'Referensi Harga'!$A:$A&amp;'Referensi Harga'!$B:$B,0)),
        $G24="Pipa Stainless",
            INDEX('Referensi Harga'!$E:$E,
                  MATCH($F24&amp;$C24,'Referensi Harga'!$A:$A&amp;'Referensi Harga'!$B:$B,0))
     ),0)
  + IFERROR(VLOOKUP($H24,'Profile Size'!$A:$B,2,FALSE),0)
  + IFERROR(VLOOKUP($I24,'Ketebalan Material'!$A:$B,2,FALSE),0),
0)</f>
        <v>0</v>
      </c>
      <c r="Q24">
        <f>IF($M24="PER-M2",
    IFERROR(
        SUMIFS('Upah Tenaga Ahli'!$C:$C,
               'Upah Tenaga Ahli'!$A:$A,"PER-M2",
               'Upah Tenaga Ahli'!$B:$B,$G24
        ) * $J24 * $K24,
    0),
IF($M24="PER-LUBANG",
    IFERROR(
        SUMIFS('Upah Tenaga Ahli'!$D:$D,
               'Upah Tenaga Ahli'!$A:$A,"PER-LUBANG",
               'Upah Tenaga Ahli'!$B:$B,$G24
        ) * $L24 * $K24,
    0),
IF($M24="PER-M",
    IFERROR(
        SUMIFS('Upah Tenaga Ahli'!$E:$E,
               'Upah Tenaga Ahli'!$A:$A,"PER-M",
               'Upah Tenaga Ahli'!$B:$B,$G24
        ) * $J24 * $K24,
    0),
0)))</f>
        <v>4724000</v>
      </c>
      <c r="R24" t="s">
        <v>19</v>
      </c>
      <c r="S24" t="s">
        <v>24</v>
      </c>
      <c r="T24">
        <f>IF($M24="PER-M2",
   ($N24 * $J24 * $K24)
   + IFERROR(VLOOKUP($R24,Finishing!A:B,2,FALSE),0)
   + IFERROR(VLOOKUP($S24,Kerumitan!A:B,2,FALSE),0),
IF($M24="PER-LUBANG",
   ($P24 * $L24 * $K24)
   + IFERROR(VLOOKUP($R24,Finishing!A:B,2,FALSE),0)
   + IFERROR(VLOOKUP($S24,Kerumitan!A:B,2,FALSE),0),
IF($M24="PER-M",
   ($O24 * $J24 * $K24)
   + IFERROR(VLOOKUP($R24,Finishing!A:B,2,FALSE),0)
   + IFERROR(VLOOKUP($S24,Kerumitan!A:B,2,FALSE),0),
0)))</f>
        <v>24714800</v>
      </c>
    </row>
    <row r="25" spans="1:20" x14ac:dyDescent="0.45">
      <c r="A25" t="s">
        <v>78</v>
      </c>
      <c r="B25" s="5">
        <v>44710</v>
      </c>
      <c r="C25">
        <f t="shared" si="0"/>
        <v>2022</v>
      </c>
      <c r="D25" t="s">
        <v>40</v>
      </c>
      <c r="E25" t="s">
        <v>57</v>
      </c>
      <c r="F25" t="s">
        <v>10</v>
      </c>
      <c r="G25" t="s">
        <v>13</v>
      </c>
      <c r="H25" t="s">
        <v>33</v>
      </c>
      <c r="I25">
        <v>1.2</v>
      </c>
      <c r="J25">
        <v>2.93</v>
      </c>
      <c r="K25">
        <v>1</v>
      </c>
      <c r="L25">
        <v>0</v>
      </c>
      <c r="M25" t="str" cm="1">
        <f t="array" ref="M25">_xlfn.IFS(
   OR($F25="Pagar", $F25="Pintu Gerbang", $F25="Pintu Handerson", $F25="Kanopi"), "PER-M2",
   $F25="Teralis", "PER-LUBANG",
   OR($F25="Railing", $F25="Railing/Balkon"), "PER-M",
   TRUE, ""
)</f>
        <v>PER-M2</v>
      </c>
      <c r="N25" cm="1">
        <f t="array" ref="N25">IF($M25="PER-M2",
  IFERROR(
     _xlfn.IFS(
        $G25="Hollow",
            INDEX('Referensi Harga'!$C:$C,
                  MATCH($F25&amp;$C25,'Referensi Harga'!$A:$A&amp;'Referensi Harga'!$B:$B,0)),
        $G25="Hollow Stainless",
            INDEX('Referensi Harga'!$D:$D,
                  MATCH($F25&amp;$C25,'Referensi Harga'!$A:$A&amp;'Referensi Harga'!$B:$B,0)),
        $G25="Pipa Stainless",
            INDEX('Referensi Harga'!$E:$E,
                  MATCH($F25&amp;$C25,'Referensi Harga'!$A:$A&amp;'Referensi Harga'!$B:$B,0))
     ),0)
  + IFERROR(VLOOKUP($H25,'Profile Size'!$A:$B,2,FALSE),0)
  + IFERROR(VLOOKUP($I25,'Ketebalan Material'!$A:$B,2,FALSE),0),
0)</f>
        <v>900000</v>
      </c>
      <c r="O25">
        <f>IF($M25="PER-M",
  IFERROR(
    IF($G25="Hollow",
       INDEX('Referensi Harga'!$C:$C, MATCH($F25 &amp; "|" &amp; $C25, 'Referensi Harga'!$F:$F, 0)),
    IF($G25="Hollow Stainless",
       INDEX('Referensi Harga'!$D:$D, MATCH($F25 &amp; "|" &amp; $C25, 'Referensi Harga'!$F:$F, 0)),
       INDEX('Referensi Harga'!$E:$E, MATCH($F25 &amp; "|" &amp; $C25, 'Referensi Harga'!$F:$F, 0))
    ))
    + IFERROR(VLOOKUP($H25, 'Profile Size'!$A:$B, 2, FALSE), 0)
    + IFERROR(VLOOKUP($I25, 'Ketebalan Material'!$A:$B, 2, FALSE), 0), 0),
0)</f>
        <v>0</v>
      </c>
      <c r="P25" cm="1">
        <f t="array" ref="P25">IF($M25="PER-LUBANG",
  IFERROR(
     _xlfn.IFS(
        $G25="Hollow",
            INDEX('Referensi Harga'!$C:$C,
                  MATCH($F25&amp;$C25,'Referensi Harga'!$A:$A&amp;'Referensi Harga'!$B:$B,0)),
        $G25="Hollow Stainless",
            INDEX('Referensi Harga'!$D:$D,
                  MATCH($F25&amp;$C25,'Referensi Harga'!$A:$A&amp;'Referensi Harga'!$B:$B,0)),
        $G25="Pipa Stainless",
            INDEX('Referensi Harga'!$E:$E,
                  MATCH($F25&amp;$C25,'Referensi Harga'!$A:$A&amp;'Referensi Harga'!$B:$B,0))
     ),0)
  + IFERROR(VLOOKUP($H25,'Profile Size'!$A:$B,2,FALSE),0)
  + IFERROR(VLOOKUP($I25,'Ketebalan Material'!$A:$B,2,FALSE),0),
0)</f>
        <v>0</v>
      </c>
      <c r="Q25">
        <f>IF($M25="PER-M2",
    IFERROR(
        SUMIFS('Upah Tenaga Ahli'!$C:$C,
               'Upah Tenaga Ahli'!$A:$A,"PER-M2",
               'Upah Tenaga Ahli'!$B:$B,$G25
        ) * $J25 * $K25,
    0),
IF($M25="PER-LUBANG",
    IFERROR(
        SUMIFS('Upah Tenaga Ahli'!$D:$D,
               'Upah Tenaga Ahli'!$A:$A,"PER-LUBANG",
               'Upah Tenaga Ahli'!$B:$B,$G25
        ) * $L25 * $K25,
    0),
IF($M25="PER-M",
    IFERROR(
        SUMIFS('Upah Tenaga Ahli'!$E:$E,
               'Upah Tenaga Ahli'!$A:$A,"PER-M",
               'Upah Tenaga Ahli'!$B:$B,$G25
        ) * $J25 * $K25,
    0),
0)))</f>
        <v>293000</v>
      </c>
      <c r="R25" t="s">
        <v>19</v>
      </c>
      <c r="S25" t="s">
        <v>24</v>
      </c>
      <c r="T25">
        <f>IF($M25="PER-M2",
   ($N25 * $J25 * $K25)
   + IFERROR(VLOOKUP($R25,Finishing!A:B,2,FALSE),0)
   + IFERROR(VLOOKUP($S25,Kerumitan!A:B,2,FALSE),0),
IF($M25="PER-LUBANG",
   ($P25 * $L25 * $K25)
   + IFERROR(VLOOKUP($R25,Finishing!A:B,2,FALSE),0)
   + IFERROR(VLOOKUP($S25,Kerumitan!A:B,2,FALSE),0),
IF($M25="PER-M",
   ($O25 * $J25 * $K25)
   + IFERROR(VLOOKUP($R25,Finishing!A:B,2,FALSE),0)
   + IFERROR(VLOOKUP($S25,Kerumitan!A:B,2,FALSE),0),
0)))</f>
        <v>2787000</v>
      </c>
    </row>
    <row r="26" spans="1:20" x14ac:dyDescent="0.45">
      <c r="A26" t="s">
        <v>79</v>
      </c>
      <c r="B26" s="5">
        <v>45762</v>
      </c>
      <c r="C26">
        <f t="shared" si="0"/>
        <v>2025</v>
      </c>
      <c r="D26" t="s">
        <v>40</v>
      </c>
      <c r="E26" t="s">
        <v>54</v>
      </c>
      <c r="F26" t="s">
        <v>8</v>
      </c>
      <c r="G26" t="s">
        <v>14</v>
      </c>
      <c r="H26" t="s">
        <v>612</v>
      </c>
      <c r="I26">
        <v>1</v>
      </c>
      <c r="J26">
        <v>0</v>
      </c>
      <c r="K26">
        <v>1</v>
      </c>
      <c r="L26">
        <v>18</v>
      </c>
      <c r="M26" t="str" cm="1">
        <f t="array" ref="M26">_xlfn.IFS(
   OR($F26="Pagar", $F26="Pintu Gerbang", $F26="Pintu Handerson", $F26="Kanopi"), "PER-M2",
   $F26="Teralis", "PER-LUBANG",
   OR($F26="Railing", $F26="Railing/Balkon"), "PER-M",
   TRUE, ""
)</f>
        <v>PER-LUBANG</v>
      </c>
      <c r="N26" cm="1">
        <f t="array" ref="N26">IF($M26="PER-M2",
  IFERROR(
     _xlfn.IFS(
        $G26="Hollow",
            INDEX('Referensi Harga'!$C:$C,
                  MATCH($F26&amp;$C26,'Referensi Harga'!$A:$A&amp;'Referensi Harga'!$B:$B,0)),
        $G26="Hollow Stainless",
            INDEX('Referensi Harga'!$D:$D,
                  MATCH($F26&amp;$C26,'Referensi Harga'!$A:$A&amp;'Referensi Harga'!$B:$B,0)),
        $G26="Pipa Stainless",
            INDEX('Referensi Harga'!$E:$E,
                  MATCH($F26&amp;$C26,'Referensi Harga'!$A:$A&amp;'Referensi Harga'!$B:$B,0))
     ),0)
  + IFERROR(VLOOKUP($H26,'Profile Size'!$A:$B,2,FALSE),0)
  + IFERROR(VLOOKUP($I26,'Ketebalan Material'!$A:$B,2,FALSE),0),
0)</f>
        <v>0</v>
      </c>
      <c r="O26">
        <f>IF($M26="PER-M",
  IFERROR(
    IF($G26="Hollow",
       INDEX('Referensi Harga'!$C:$C, MATCH($F26 &amp; "|" &amp; $C26, 'Referensi Harga'!$F:$F, 0)),
    IF($G26="Hollow Stainless",
       INDEX('Referensi Harga'!$D:$D, MATCH($F26 &amp; "|" &amp; $C26, 'Referensi Harga'!$F:$F, 0)),
       INDEX('Referensi Harga'!$E:$E, MATCH($F26 &amp; "|" &amp; $C26, 'Referensi Harga'!$F:$F, 0))
    ))
    + IFERROR(VLOOKUP($H26, 'Profile Size'!$A:$B, 2, FALSE), 0)
    + IFERROR(VLOOKUP($I26, 'Ketebalan Material'!$A:$B, 2, FALSE), 0), 0),
0)</f>
        <v>0</v>
      </c>
      <c r="P26" cm="1">
        <f t="array" ref="P26">IF($M26="PER-LUBANG",
  IFERROR(
     _xlfn.IFS(
        $G26="Hollow",
            INDEX('Referensi Harga'!$C:$C,
                  MATCH($F26&amp;$C26,'Referensi Harga'!$A:$A&amp;'Referensi Harga'!$B:$B,0)),
        $G26="Hollow Stainless",
            INDEX('Referensi Harga'!$D:$D,
                  MATCH($F26&amp;$C26,'Referensi Harga'!$A:$A&amp;'Referensi Harga'!$B:$B,0)),
        $G26="Pipa Stainless",
            INDEX('Referensi Harga'!$E:$E,
                  MATCH($F26&amp;$C26,'Referensi Harga'!$A:$A&amp;'Referensi Harga'!$B:$B,0))
     ),0)
  + IFERROR(VLOOKUP($H26,'Profile Size'!$A:$B,2,FALSE),0)
  + IFERROR(VLOOKUP($I26,'Ketebalan Material'!$A:$B,2,FALSE),0),
0)</f>
        <v>750000</v>
      </c>
      <c r="Q26">
        <f>IF($M26="PER-M2",
    IFERROR(
        SUMIFS('Upah Tenaga Ahli'!$C:$C,
               'Upah Tenaga Ahli'!$A:$A,"PER-M2",
               'Upah Tenaga Ahli'!$B:$B,$G26
        ) * $J26 * $K26,
    0),
IF($M26="PER-LUBANG",
    IFERROR(
        SUMIFS('Upah Tenaga Ahli'!$D:$D,
               'Upah Tenaga Ahli'!$A:$A,"PER-LUBANG",
               'Upah Tenaga Ahli'!$B:$B,$G26
        ) * $L26 * $K26,
    0),
IF($M26="PER-M",
    IFERROR(
        SUMIFS('Upah Tenaga Ahli'!$E:$E,
               'Upah Tenaga Ahli'!$A:$A,"PER-M",
               'Upah Tenaga Ahli'!$B:$B,$G26
        ) * $J26 * $K26,
    0),
0)))</f>
        <v>2700000</v>
      </c>
      <c r="R26" t="s">
        <v>617</v>
      </c>
      <c r="S26" t="s">
        <v>24</v>
      </c>
      <c r="T26">
        <f>IF($M26="PER-M2",
   ($N26 * $J26 * $K26)
   + IFERROR(VLOOKUP($R26,Finishing!A:B,2,FALSE),0)
   + IFERROR(VLOOKUP($S26,Kerumitan!A:B,2,FALSE),0),
IF($M26="PER-LUBANG",
   ($P26 * $L26 * $K26)
   + IFERROR(VLOOKUP($R26,Finishing!A:B,2,FALSE),0)
   + IFERROR(VLOOKUP($S26,Kerumitan!A:B,2,FALSE),0),
IF($M26="PER-M",
   ($O26 * $J26 * $K26)
   + IFERROR(VLOOKUP($R26,Finishing!A:B,2,FALSE),0)
   + IFERROR(VLOOKUP($S26,Kerumitan!A:B,2,FALSE),0),
0)))</f>
        <v>13600000</v>
      </c>
    </row>
    <row r="27" spans="1:20" x14ac:dyDescent="0.45">
      <c r="A27" t="s">
        <v>80</v>
      </c>
      <c r="B27" s="5">
        <v>44183</v>
      </c>
      <c r="C27">
        <f t="shared" si="0"/>
        <v>2020</v>
      </c>
      <c r="D27" t="s">
        <v>81</v>
      </c>
      <c r="E27" t="s">
        <v>54</v>
      </c>
      <c r="F27" t="s">
        <v>625</v>
      </c>
      <c r="G27" t="s">
        <v>15</v>
      </c>
      <c r="H27" t="s">
        <v>33</v>
      </c>
      <c r="I27">
        <v>1.2</v>
      </c>
      <c r="J27">
        <v>7.4</v>
      </c>
      <c r="K27">
        <v>1</v>
      </c>
      <c r="L27">
        <v>0</v>
      </c>
      <c r="M27" t="str" cm="1">
        <f t="array" ref="M27">_xlfn.IFS(
   OR($F27="Pagar", $F27="Pintu Gerbang", $F27="Pintu Handerson", $F27="Kanopi"), "PER-M2",
   $F27="Teralis", "PER-LUBANG",
   OR($F27="Railing", $F27="Railing/Balkon"), "PER-M",
   TRUE, ""
)</f>
        <v>PER-M</v>
      </c>
      <c r="N27" cm="1">
        <f t="array" ref="N27">IF($M27="PER-M2",
  IFERROR(
     _xlfn.IFS(
        $G27="Hollow",
            INDEX('Referensi Harga'!$C:$C,
                  MATCH($F27&amp;$C27,'Referensi Harga'!$A:$A&amp;'Referensi Harga'!$B:$B,0)),
        $G27="Hollow Stainless",
            INDEX('Referensi Harga'!$D:$D,
                  MATCH($F27&amp;$C27,'Referensi Harga'!$A:$A&amp;'Referensi Harga'!$B:$B,0)),
        $G27="Pipa Stainless",
            INDEX('Referensi Harga'!$E:$E,
                  MATCH($F27&amp;$C27,'Referensi Harga'!$A:$A&amp;'Referensi Harga'!$B:$B,0))
     ),0)
  + IFERROR(VLOOKUP($H27,'Profile Size'!$A:$B,2,FALSE),0)
  + IFERROR(VLOOKUP($I27,'Ketebalan Material'!$A:$B,2,FALSE),0),
0)</f>
        <v>0</v>
      </c>
      <c r="O27">
        <f>IF($M27="PER-M",
  IFERROR(
    IF($G27="Hollow",
       INDEX('Referensi Harga'!$C:$C, MATCH($F27 &amp; "|" &amp; $C27, 'Referensi Harga'!$F:$F, 0)),
    IF($G27="Hollow Stainless",
       INDEX('Referensi Harga'!$D:$D, MATCH($F27 &amp; "|" &amp; $C27, 'Referensi Harga'!$F:$F, 0)),
       INDEX('Referensi Harga'!$E:$E, MATCH($F27 &amp; "|" &amp; $C27, 'Referensi Harga'!$F:$F, 0))
    ))
    + IFERROR(VLOOKUP($H27, 'Profile Size'!$A:$B, 2, FALSE), 0)
    + IFERROR(VLOOKUP($I27, 'Ketebalan Material'!$A:$B, 2, FALSE), 0), 0),
0)</f>
        <v>1150000</v>
      </c>
      <c r="P27" cm="1">
        <f t="array" ref="P27">IF($M27="PER-LUBANG",
  IFERROR(
     _xlfn.IFS(
        $G27="Hollow",
            INDEX('Referensi Harga'!$C:$C,
                  MATCH($F27&amp;$C27,'Referensi Harga'!$A:$A&amp;'Referensi Harga'!$B:$B,0)),
        $G27="Hollow Stainless",
            INDEX('Referensi Harga'!$D:$D,
                  MATCH($F27&amp;$C27,'Referensi Harga'!$A:$A&amp;'Referensi Harga'!$B:$B,0)),
        $G27="Pipa Stainless",
            INDEX('Referensi Harga'!$E:$E,
                  MATCH($F27&amp;$C27,'Referensi Harga'!$A:$A&amp;'Referensi Harga'!$B:$B,0))
     ),0)
  + IFERROR(VLOOKUP($H27,'Profile Size'!$A:$B,2,FALSE),0)
  + IFERROR(VLOOKUP($I27,'Ketebalan Material'!$A:$B,2,FALSE),0),
0)</f>
        <v>0</v>
      </c>
      <c r="Q27">
        <f>IF($M27="PER-M2",
    IFERROR(
        SUMIFS('Upah Tenaga Ahli'!$C:$C,
               'Upah Tenaga Ahli'!$A:$A,"PER-M2",
               'Upah Tenaga Ahli'!$B:$B,$G27
        ) * $J27 * $K27,
    0),
IF($M27="PER-LUBANG",
    IFERROR(
        SUMIFS('Upah Tenaga Ahli'!$D:$D,
               'Upah Tenaga Ahli'!$A:$A,"PER-LUBANG",
               'Upah Tenaga Ahli'!$B:$B,$G27
        ) * $L27 * $K27,
    0),
IF($M27="PER-M",
    IFERROR(
        SUMIFS('Upah Tenaga Ahli'!$E:$E,
               'Upah Tenaga Ahli'!$A:$A,"PER-M",
               'Upah Tenaga Ahli'!$B:$B,$G27
        ) * $J27 * $K27,
    0),
0)))</f>
        <v>1110000</v>
      </c>
      <c r="R27" t="s">
        <v>617</v>
      </c>
      <c r="S27" t="s">
        <v>23</v>
      </c>
      <c r="T27">
        <f>IF($M27="PER-M2",
   ($N27 * $J27 * $K27)
   + IFERROR(VLOOKUP($R27,Finishing!A:B,2,FALSE),0)
   + IFERROR(VLOOKUP($S27,Kerumitan!A:B,2,FALSE),0),
IF($M27="PER-LUBANG",
   ($P27 * $L27 * $K27)
   + IFERROR(VLOOKUP($R27,Finishing!A:B,2,FALSE),0)
   + IFERROR(VLOOKUP($S27,Kerumitan!A:B,2,FALSE),0),
IF($M27="PER-M",
   ($O27 * $J27 * $K27)
   + IFERROR(VLOOKUP($R27,Finishing!A:B,2,FALSE),0)
   + IFERROR(VLOOKUP($S27,Kerumitan!A:B,2,FALSE),0),
0)))</f>
        <v>8510000</v>
      </c>
    </row>
    <row r="28" spans="1:20" x14ac:dyDescent="0.45">
      <c r="A28" t="s">
        <v>82</v>
      </c>
      <c r="B28" s="5">
        <v>44204</v>
      </c>
      <c r="C28">
        <f t="shared" si="0"/>
        <v>2021</v>
      </c>
      <c r="D28" t="s">
        <v>83</v>
      </c>
      <c r="E28" t="s">
        <v>69</v>
      </c>
      <c r="F28" t="s">
        <v>6</v>
      </c>
      <c r="G28" t="s">
        <v>14</v>
      </c>
      <c r="H28" t="s">
        <v>614</v>
      </c>
      <c r="I28">
        <v>1</v>
      </c>
      <c r="J28">
        <v>15.85</v>
      </c>
      <c r="K28">
        <v>1</v>
      </c>
      <c r="L28">
        <v>0</v>
      </c>
      <c r="M28" t="str" cm="1">
        <f t="array" ref="M28">_xlfn.IFS(
   OR($F28="Pagar", $F28="Pintu Gerbang", $F28="Pintu Handerson", $F28="Kanopi"), "PER-M2",
   $F28="Teralis", "PER-LUBANG",
   OR($F28="Railing", $F28="Railing/Balkon"), "PER-M",
   TRUE, ""
)</f>
        <v>PER-M2</v>
      </c>
      <c r="N28" cm="1">
        <f t="array" ref="N28">IF($M28="PER-M2",
  IFERROR(
     _xlfn.IFS(
        $G28="Hollow",
            INDEX('Referensi Harga'!$C:$C,
                  MATCH($F28&amp;$C28,'Referensi Harga'!$A:$A&amp;'Referensi Harga'!$B:$B,0)),
        $G28="Hollow Stainless",
            INDEX('Referensi Harga'!$D:$D,
                  MATCH($F28&amp;$C28,'Referensi Harga'!$A:$A&amp;'Referensi Harga'!$B:$B,0)),
        $G28="Pipa Stainless",
            INDEX('Referensi Harga'!$E:$E,
                  MATCH($F28&amp;$C28,'Referensi Harga'!$A:$A&amp;'Referensi Harga'!$B:$B,0))
     ),0)
  + IFERROR(VLOOKUP($H28,'Profile Size'!$A:$B,2,FALSE),0)
  + IFERROR(VLOOKUP($I28,'Ketebalan Material'!$A:$B,2,FALSE),0),
0)</f>
        <v>710000</v>
      </c>
      <c r="O28">
        <f>IF($M28="PER-M",
  IFERROR(
    IF($G28="Hollow",
       INDEX('Referensi Harga'!$C:$C, MATCH($F28 &amp; "|" &amp; $C28, 'Referensi Harga'!$F:$F, 0)),
    IF($G28="Hollow Stainless",
       INDEX('Referensi Harga'!$D:$D, MATCH($F28 &amp; "|" &amp; $C28, 'Referensi Harga'!$F:$F, 0)),
       INDEX('Referensi Harga'!$E:$E, MATCH($F28 &amp; "|" &amp; $C28, 'Referensi Harga'!$F:$F, 0))
    ))
    + IFERROR(VLOOKUP($H28, 'Profile Size'!$A:$B, 2, FALSE), 0)
    + IFERROR(VLOOKUP($I28, 'Ketebalan Material'!$A:$B, 2, FALSE), 0), 0),
0)</f>
        <v>0</v>
      </c>
      <c r="P28" cm="1">
        <f t="array" ref="P28">IF($M28="PER-LUBANG",
  IFERROR(
     _xlfn.IFS(
        $G28="Hollow",
            INDEX('Referensi Harga'!$C:$C,
                  MATCH($F28&amp;$C28,'Referensi Harga'!$A:$A&amp;'Referensi Harga'!$B:$B,0)),
        $G28="Hollow Stainless",
            INDEX('Referensi Harga'!$D:$D,
                  MATCH($F28&amp;$C28,'Referensi Harga'!$A:$A&amp;'Referensi Harga'!$B:$B,0)),
        $G28="Pipa Stainless",
            INDEX('Referensi Harga'!$E:$E,
                  MATCH($F28&amp;$C28,'Referensi Harga'!$A:$A&amp;'Referensi Harga'!$B:$B,0))
     ),0)
  + IFERROR(VLOOKUP($H28,'Profile Size'!$A:$B,2,FALSE),0)
  + IFERROR(VLOOKUP($I28,'Ketebalan Material'!$A:$B,2,FALSE),0),
0)</f>
        <v>0</v>
      </c>
      <c r="Q28">
        <f>IF($M28="PER-M2",
    IFERROR(
        SUMIFS('Upah Tenaga Ahli'!$C:$C,
               'Upah Tenaga Ahli'!$A:$A,"PER-M2",
               'Upah Tenaga Ahli'!$B:$B,$G28
        ) * $J28 * $K28,
    0),
IF($M28="PER-LUBANG",
    IFERROR(
        SUMIFS('Upah Tenaga Ahli'!$D:$D,
               'Upah Tenaga Ahli'!$A:$A,"PER-LUBANG",
               'Upah Tenaga Ahli'!$B:$B,$G28
        ) * $L28 * $K28,
    0),
IF($M28="PER-M",
    IFERROR(
        SUMIFS('Upah Tenaga Ahli'!$E:$E,
               'Upah Tenaga Ahli'!$A:$A,"PER-M",
               'Upah Tenaga Ahli'!$B:$B,$G28
        ) * $J28 * $K28,
    0),
0)))</f>
        <v>3170000</v>
      </c>
      <c r="R28" t="s">
        <v>617</v>
      </c>
      <c r="S28" t="s">
        <v>24</v>
      </c>
      <c r="T28">
        <f>IF($M28="PER-M2",
   ($N28 * $J28 * $K28)
   + IFERROR(VLOOKUP($R28,Finishing!A:B,2,FALSE),0)
   + IFERROR(VLOOKUP($S28,Kerumitan!A:B,2,FALSE),0),
IF($M28="PER-LUBANG",
   ($P28 * $L28 * $K28)
   + IFERROR(VLOOKUP($R28,Finishing!A:B,2,FALSE),0)
   + IFERROR(VLOOKUP($S28,Kerumitan!A:B,2,FALSE),0),
IF($M28="PER-M",
   ($O28 * $J28 * $K28)
   + IFERROR(VLOOKUP($R28,Finishing!A:B,2,FALSE),0)
   + IFERROR(VLOOKUP($S28,Kerumitan!A:B,2,FALSE),0),
0)))</f>
        <v>11353500</v>
      </c>
    </row>
    <row r="29" spans="1:20" x14ac:dyDescent="0.45">
      <c r="A29" t="s">
        <v>84</v>
      </c>
      <c r="B29" s="5">
        <v>45095</v>
      </c>
      <c r="C29">
        <f t="shared" si="0"/>
        <v>2023</v>
      </c>
      <c r="D29" t="s">
        <v>68</v>
      </c>
      <c r="E29" t="s">
        <v>44</v>
      </c>
      <c r="F29" t="s">
        <v>6</v>
      </c>
      <c r="G29" t="s">
        <v>14</v>
      </c>
      <c r="H29" t="s">
        <v>614</v>
      </c>
      <c r="I29">
        <v>1</v>
      </c>
      <c r="J29">
        <v>10.4</v>
      </c>
      <c r="K29">
        <v>1</v>
      </c>
      <c r="L29">
        <v>0</v>
      </c>
      <c r="M29" t="str" cm="1">
        <f t="array" ref="M29">_xlfn.IFS(
   OR($F29="Pagar", $F29="Pintu Gerbang", $F29="Pintu Handerson", $F29="Kanopi"), "PER-M2",
   $F29="Teralis", "PER-LUBANG",
   OR($F29="Railing", $F29="Railing/Balkon"), "PER-M",
   TRUE, ""
)</f>
        <v>PER-M2</v>
      </c>
      <c r="N29" cm="1">
        <f t="array" ref="N29">IF($M29="PER-M2",
  IFERROR(
     _xlfn.IFS(
        $G29="Hollow",
            INDEX('Referensi Harga'!$C:$C,
                  MATCH($F29&amp;$C29,'Referensi Harga'!$A:$A&amp;'Referensi Harga'!$B:$B,0)),
        $G29="Hollow Stainless",
            INDEX('Referensi Harga'!$D:$D,
                  MATCH($F29&amp;$C29,'Referensi Harga'!$A:$A&amp;'Referensi Harga'!$B:$B,0)),
        $G29="Pipa Stainless",
            INDEX('Referensi Harga'!$E:$E,
                  MATCH($F29&amp;$C29,'Referensi Harga'!$A:$A&amp;'Referensi Harga'!$B:$B,0))
     ),0)
  + IFERROR(VLOOKUP($H29,'Profile Size'!$A:$B,2,FALSE),0)
  + IFERROR(VLOOKUP($I29,'Ketebalan Material'!$A:$B,2,FALSE),0),
0)</f>
        <v>750000</v>
      </c>
      <c r="O29">
        <f>IF($M29="PER-M",
  IFERROR(
    IF($G29="Hollow",
       INDEX('Referensi Harga'!$C:$C, MATCH($F29 &amp; "|" &amp; $C29, 'Referensi Harga'!$F:$F, 0)),
    IF($G29="Hollow Stainless",
       INDEX('Referensi Harga'!$D:$D, MATCH($F29 &amp; "|" &amp; $C29, 'Referensi Harga'!$F:$F, 0)),
       INDEX('Referensi Harga'!$E:$E, MATCH($F29 &amp; "|" &amp; $C29, 'Referensi Harga'!$F:$F, 0))
    ))
    + IFERROR(VLOOKUP($H29, 'Profile Size'!$A:$B, 2, FALSE), 0)
    + IFERROR(VLOOKUP($I29, 'Ketebalan Material'!$A:$B, 2, FALSE), 0), 0),
0)</f>
        <v>0</v>
      </c>
      <c r="P29" cm="1">
        <f t="array" ref="P29">IF($M29="PER-LUBANG",
  IFERROR(
     _xlfn.IFS(
        $G29="Hollow",
            INDEX('Referensi Harga'!$C:$C,
                  MATCH($F29&amp;$C29,'Referensi Harga'!$A:$A&amp;'Referensi Harga'!$B:$B,0)),
        $G29="Hollow Stainless",
            INDEX('Referensi Harga'!$D:$D,
                  MATCH($F29&amp;$C29,'Referensi Harga'!$A:$A&amp;'Referensi Harga'!$B:$B,0)),
        $G29="Pipa Stainless",
            INDEX('Referensi Harga'!$E:$E,
                  MATCH($F29&amp;$C29,'Referensi Harga'!$A:$A&amp;'Referensi Harga'!$B:$B,0))
     ),0)
  + IFERROR(VLOOKUP($H29,'Profile Size'!$A:$B,2,FALSE),0)
  + IFERROR(VLOOKUP($I29,'Ketebalan Material'!$A:$B,2,FALSE),0),
0)</f>
        <v>0</v>
      </c>
      <c r="Q29">
        <f>IF($M29="PER-M2",
    IFERROR(
        SUMIFS('Upah Tenaga Ahli'!$C:$C,
               'Upah Tenaga Ahli'!$A:$A,"PER-M2",
               'Upah Tenaga Ahli'!$B:$B,$G29
        ) * $J29 * $K29,
    0),
IF($M29="PER-LUBANG",
    IFERROR(
        SUMIFS('Upah Tenaga Ahli'!$D:$D,
               'Upah Tenaga Ahli'!$A:$A,"PER-LUBANG",
               'Upah Tenaga Ahli'!$B:$B,$G29
        ) * $L29 * $K29,
    0),
IF($M29="PER-M",
    IFERROR(
        SUMIFS('Upah Tenaga Ahli'!$E:$E,
               'Upah Tenaga Ahli'!$A:$A,"PER-M",
               'Upah Tenaga Ahli'!$B:$B,$G29
        ) * $J29 * $K29,
    0),
0)))</f>
        <v>2080000</v>
      </c>
      <c r="R29" t="s">
        <v>617</v>
      </c>
      <c r="S29" t="s">
        <v>23</v>
      </c>
      <c r="T29">
        <f>IF($M29="PER-M2",
   ($N29 * $J29 * $K29)
   + IFERROR(VLOOKUP($R29,Finishing!A:B,2,FALSE),0)
   + IFERROR(VLOOKUP($S29,Kerumitan!A:B,2,FALSE),0),
IF($M29="PER-LUBANG",
   ($P29 * $L29 * $K29)
   + IFERROR(VLOOKUP($R29,Finishing!A:B,2,FALSE),0)
   + IFERROR(VLOOKUP($S29,Kerumitan!A:B,2,FALSE),0),
IF($M29="PER-M",
   ($O29 * $J29 * $K29)
   + IFERROR(VLOOKUP($R29,Finishing!A:B,2,FALSE),0)
   + IFERROR(VLOOKUP($S29,Kerumitan!A:B,2,FALSE),0),
0)))</f>
        <v>7800000</v>
      </c>
    </row>
    <row r="30" spans="1:20" x14ac:dyDescent="0.45">
      <c r="A30" t="s">
        <v>85</v>
      </c>
      <c r="B30" s="5">
        <v>43835</v>
      </c>
      <c r="C30">
        <f t="shared" si="0"/>
        <v>2020</v>
      </c>
      <c r="D30" t="s">
        <v>86</v>
      </c>
      <c r="E30" t="s">
        <v>87</v>
      </c>
      <c r="F30" t="s">
        <v>6</v>
      </c>
      <c r="G30" t="s">
        <v>13</v>
      </c>
      <c r="H30" t="s">
        <v>46</v>
      </c>
      <c r="I30">
        <v>0.8</v>
      </c>
      <c r="J30">
        <v>9.15</v>
      </c>
      <c r="K30">
        <v>1</v>
      </c>
      <c r="L30">
        <v>0</v>
      </c>
      <c r="M30" t="str" cm="1">
        <f t="array" ref="M30">_xlfn.IFS(
   OR($F30="Pagar", $F30="Pintu Gerbang", $F30="Pintu Handerson", $F30="Kanopi"), "PER-M2",
   $F30="Teralis", "PER-LUBANG",
   OR($F30="Railing", $F30="Railing/Balkon"), "PER-M",
   TRUE, ""
)</f>
        <v>PER-M2</v>
      </c>
      <c r="N30" cm="1">
        <f t="array" ref="N30">IF($M30="PER-M2",
  IFERROR(
     _xlfn.IFS(
        $G30="Hollow",
            INDEX('Referensi Harga'!$C:$C,
                  MATCH($F30&amp;$C30,'Referensi Harga'!$A:$A&amp;'Referensi Harga'!$B:$B,0)),
        $G30="Hollow Stainless",
            INDEX('Referensi Harga'!$D:$D,
                  MATCH($F30&amp;$C30,'Referensi Harga'!$A:$A&amp;'Referensi Harga'!$B:$B,0)),
        $G30="Pipa Stainless",
            INDEX('Referensi Harga'!$E:$E,
                  MATCH($F30&amp;$C30,'Referensi Harga'!$A:$A&amp;'Referensi Harga'!$B:$B,0))
     ),0)
  + IFERROR(VLOOKUP($H30,'Profile Size'!$A:$B,2,FALSE),0)
  + IFERROR(VLOOKUP($I30,'Ketebalan Material'!$A:$B,2,FALSE),0),
0)</f>
        <v>400000</v>
      </c>
      <c r="O30">
        <f>IF($M30="PER-M",
  IFERROR(
    IF($G30="Hollow",
       INDEX('Referensi Harga'!$C:$C, MATCH($F30 &amp; "|" &amp; $C30, 'Referensi Harga'!$F:$F, 0)),
    IF($G30="Hollow Stainless",
       INDEX('Referensi Harga'!$D:$D, MATCH($F30 &amp; "|" &amp; $C30, 'Referensi Harga'!$F:$F, 0)),
       INDEX('Referensi Harga'!$E:$E, MATCH($F30 &amp; "|" &amp; $C30, 'Referensi Harga'!$F:$F, 0))
    ))
    + IFERROR(VLOOKUP($H30, 'Profile Size'!$A:$B, 2, FALSE), 0)
    + IFERROR(VLOOKUP($I30, 'Ketebalan Material'!$A:$B, 2, FALSE), 0), 0),
0)</f>
        <v>0</v>
      </c>
      <c r="P30" cm="1">
        <f t="array" ref="P30">IF($M30="PER-LUBANG",
  IFERROR(
     _xlfn.IFS(
        $G30="Hollow",
            INDEX('Referensi Harga'!$C:$C,
                  MATCH($F30&amp;$C30,'Referensi Harga'!$A:$A&amp;'Referensi Harga'!$B:$B,0)),
        $G30="Hollow Stainless",
            INDEX('Referensi Harga'!$D:$D,
                  MATCH($F30&amp;$C30,'Referensi Harga'!$A:$A&amp;'Referensi Harga'!$B:$B,0)),
        $G30="Pipa Stainless",
            INDEX('Referensi Harga'!$E:$E,
                  MATCH($F30&amp;$C30,'Referensi Harga'!$A:$A&amp;'Referensi Harga'!$B:$B,0))
     ),0)
  + IFERROR(VLOOKUP($H30,'Profile Size'!$A:$B,2,FALSE),0)
  + IFERROR(VLOOKUP($I30,'Ketebalan Material'!$A:$B,2,FALSE),0),
0)</f>
        <v>0</v>
      </c>
      <c r="Q30">
        <f>IF($M30="PER-M2",
    IFERROR(
        SUMIFS('Upah Tenaga Ahli'!$C:$C,
               'Upah Tenaga Ahli'!$A:$A,"PER-M2",
               'Upah Tenaga Ahli'!$B:$B,$G30
        ) * $J30 * $K30,
    0),
IF($M30="PER-LUBANG",
    IFERROR(
        SUMIFS('Upah Tenaga Ahli'!$D:$D,
               'Upah Tenaga Ahli'!$A:$A,"PER-LUBANG",
               'Upah Tenaga Ahli'!$B:$B,$G30
        ) * $L30 * $K30,
    0),
IF($M30="PER-M",
    IFERROR(
        SUMIFS('Upah Tenaga Ahli'!$E:$E,
               'Upah Tenaga Ahli'!$A:$A,"PER-M",
               'Upah Tenaga Ahli'!$B:$B,$G30
        ) * $J30 * $K30,
    0),
0)))</f>
        <v>915000</v>
      </c>
      <c r="R30" t="s">
        <v>20</v>
      </c>
      <c r="S30" t="s">
        <v>23</v>
      </c>
      <c r="T30">
        <f>IF($M30="PER-M2",
   ($N30 * $J30 * $K30)
   + IFERROR(VLOOKUP($R30,Finishing!A:B,2,FALSE),0)
   + IFERROR(VLOOKUP($S30,Kerumitan!A:B,2,FALSE),0),
IF($M30="PER-LUBANG",
   ($P30 * $L30 * $K30)
   + IFERROR(VLOOKUP($R30,Finishing!A:B,2,FALSE),0)
   + IFERROR(VLOOKUP($S30,Kerumitan!A:B,2,FALSE),0),
IF($M30="PER-M",
   ($O30 * $J30 * $K30)
   + IFERROR(VLOOKUP($R30,Finishing!A:B,2,FALSE),0)
   + IFERROR(VLOOKUP($S30,Kerumitan!A:B,2,FALSE),0),
0)))</f>
        <v>3810000</v>
      </c>
    </row>
    <row r="31" spans="1:20" x14ac:dyDescent="0.45">
      <c r="A31" t="s">
        <v>88</v>
      </c>
      <c r="B31" s="5">
        <v>45260</v>
      </c>
      <c r="C31">
        <f t="shared" si="0"/>
        <v>2023</v>
      </c>
      <c r="D31" t="s">
        <v>53</v>
      </c>
      <c r="E31" t="s">
        <v>69</v>
      </c>
      <c r="F31" t="s">
        <v>4</v>
      </c>
      <c r="G31" t="s">
        <v>14</v>
      </c>
      <c r="H31" t="s">
        <v>615</v>
      </c>
      <c r="I31">
        <v>1</v>
      </c>
      <c r="J31">
        <v>18.95</v>
      </c>
      <c r="K31">
        <v>1</v>
      </c>
      <c r="L31">
        <v>0</v>
      </c>
      <c r="M31" t="str" cm="1">
        <f t="array" ref="M31">_xlfn.IFS(
   OR($F31="Pagar", $F31="Pintu Gerbang", $F31="Pintu Handerson", $F31="Kanopi"), "PER-M2",
   $F31="Teralis", "PER-LUBANG",
   OR($F31="Railing", $F31="Railing/Balkon"), "PER-M",
   TRUE, ""
)</f>
        <v>PER-M2</v>
      </c>
      <c r="N31" cm="1">
        <f t="array" ref="N31">IF($M31="PER-M2",
  IFERROR(
     _xlfn.IFS(
        $G31="Hollow",
            INDEX('Referensi Harga'!$C:$C,
                  MATCH($F31&amp;$C31,'Referensi Harga'!$A:$A&amp;'Referensi Harga'!$B:$B,0)),
        $G31="Hollow Stainless",
            INDEX('Referensi Harga'!$D:$D,
                  MATCH($F31&amp;$C31,'Referensi Harga'!$A:$A&amp;'Referensi Harga'!$B:$B,0)),
        $G31="Pipa Stainless",
            INDEX('Referensi Harga'!$E:$E,
                  MATCH($F31&amp;$C31,'Referensi Harga'!$A:$A&amp;'Referensi Harga'!$B:$B,0))
     ),0)
  + IFERROR(VLOOKUP($H31,'Profile Size'!$A:$B,2,FALSE),0)
  + IFERROR(VLOOKUP($I31,'Ketebalan Material'!$A:$B,2,FALSE),0),
0)</f>
        <v>1090000</v>
      </c>
      <c r="O31">
        <f>IF($M31="PER-M",
  IFERROR(
    IF($G31="Hollow",
       INDEX('Referensi Harga'!$C:$C, MATCH($F31 &amp; "|" &amp; $C31, 'Referensi Harga'!$F:$F, 0)),
    IF($G31="Hollow Stainless",
       INDEX('Referensi Harga'!$D:$D, MATCH($F31 &amp; "|" &amp; $C31, 'Referensi Harga'!$F:$F, 0)),
       INDEX('Referensi Harga'!$E:$E, MATCH($F31 &amp; "|" &amp; $C31, 'Referensi Harga'!$F:$F, 0))
    ))
    + IFERROR(VLOOKUP($H31, 'Profile Size'!$A:$B, 2, FALSE), 0)
    + IFERROR(VLOOKUP($I31, 'Ketebalan Material'!$A:$B, 2, FALSE), 0), 0),
0)</f>
        <v>0</v>
      </c>
      <c r="P31" cm="1">
        <f t="array" ref="P31">IF($M31="PER-LUBANG",
  IFERROR(
     _xlfn.IFS(
        $G31="Hollow",
            INDEX('Referensi Harga'!$C:$C,
                  MATCH($F31&amp;$C31,'Referensi Harga'!$A:$A&amp;'Referensi Harga'!$B:$B,0)),
        $G31="Hollow Stainless",
            INDEX('Referensi Harga'!$D:$D,
                  MATCH($F31&amp;$C31,'Referensi Harga'!$A:$A&amp;'Referensi Harga'!$B:$B,0)),
        $G31="Pipa Stainless",
            INDEX('Referensi Harga'!$E:$E,
                  MATCH($F31&amp;$C31,'Referensi Harga'!$A:$A&amp;'Referensi Harga'!$B:$B,0))
     ),0)
  + IFERROR(VLOOKUP($H31,'Profile Size'!$A:$B,2,FALSE),0)
  + IFERROR(VLOOKUP($I31,'Ketebalan Material'!$A:$B,2,FALSE),0),
0)</f>
        <v>0</v>
      </c>
      <c r="Q31">
        <f>IF($M31="PER-M2",
    IFERROR(
        SUMIFS('Upah Tenaga Ahli'!$C:$C,
               'Upah Tenaga Ahli'!$A:$A,"PER-M2",
               'Upah Tenaga Ahli'!$B:$B,$G31
        ) * $J31 * $K31,
    0),
IF($M31="PER-LUBANG",
    IFERROR(
        SUMIFS('Upah Tenaga Ahli'!$D:$D,
               'Upah Tenaga Ahli'!$A:$A,"PER-LUBANG",
               'Upah Tenaga Ahli'!$B:$B,$G31
        ) * $L31 * $K31,
    0),
IF($M31="PER-M",
    IFERROR(
        SUMIFS('Upah Tenaga Ahli'!$E:$E,
               'Upah Tenaga Ahli'!$A:$A,"PER-M",
               'Upah Tenaga Ahli'!$B:$B,$G31
        ) * $J31 * $K31,
    0),
0)))</f>
        <v>3790000</v>
      </c>
      <c r="R31" t="s">
        <v>617</v>
      </c>
      <c r="S31" t="s">
        <v>23</v>
      </c>
      <c r="T31">
        <f>IF($M31="PER-M2",
   ($N31 * $J31 * $K31)
   + IFERROR(VLOOKUP($R31,Finishing!A:B,2,FALSE),0)
   + IFERROR(VLOOKUP($S31,Kerumitan!A:B,2,FALSE),0),
IF($M31="PER-LUBANG",
   ($P31 * $L31 * $K31)
   + IFERROR(VLOOKUP($R31,Finishing!A:B,2,FALSE),0)
   + IFERROR(VLOOKUP($S31,Kerumitan!A:B,2,FALSE),0),
IF($M31="PER-M",
   ($O31 * $J31 * $K31)
   + IFERROR(VLOOKUP($R31,Finishing!A:B,2,FALSE),0)
   + IFERROR(VLOOKUP($S31,Kerumitan!A:B,2,FALSE),0),
0)))</f>
        <v>20655500</v>
      </c>
    </row>
    <row r="32" spans="1:20" x14ac:dyDescent="0.45">
      <c r="A32" t="s">
        <v>89</v>
      </c>
      <c r="B32" s="5">
        <v>43479</v>
      </c>
      <c r="C32">
        <f t="shared" si="0"/>
        <v>2019</v>
      </c>
      <c r="D32" t="s">
        <v>90</v>
      </c>
      <c r="E32" t="s">
        <v>91</v>
      </c>
      <c r="F32" t="s">
        <v>8</v>
      </c>
      <c r="G32" t="s">
        <v>13</v>
      </c>
      <c r="H32" t="s">
        <v>612</v>
      </c>
      <c r="I32">
        <v>1</v>
      </c>
      <c r="J32">
        <v>0</v>
      </c>
      <c r="K32">
        <v>1</v>
      </c>
      <c r="L32">
        <v>17</v>
      </c>
      <c r="M32" t="str" cm="1">
        <f t="array" ref="M32">_xlfn.IFS(
   OR($F32="Pagar", $F32="Pintu Gerbang", $F32="Pintu Handerson", $F32="Kanopi"), "PER-M2",
   $F32="Teralis", "PER-LUBANG",
   OR($F32="Railing", $F32="Railing/Balkon"), "PER-M",
   TRUE, ""
)</f>
        <v>PER-LUBANG</v>
      </c>
      <c r="N32" cm="1">
        <f t="array" ref="N32">IF($M32="PER-M2",
  IFERROR(
     _xlfn.IFS(
        $G32="Hollow",
            INDEX('Referensi Harga'!$C:$C,
                  MATCH($F32&amp;$C32,'Referensi Harga'!$A:$A&amp;'Referensi Harga'!$B:$B,0)),
        $G32="Hollow Stainless",
            INDEX('Referensi Harga'!$D:$D,
                  MATCH($F32&amp;$C32,'Referensi Harga'!$A:$A&amp;'Referensi Harga'!$B:$B,0)),
        $G32="Pipa Stainless",
            INDEX('Referensi Harga'!$E:$E,
                  MATCH($F32&amp;$C32,'Referensi Harga'!$A:$A&amp;'Referensi Harga'!$B:$B,0))
     ),0)
  + IFERROR(VLOOKUP($H32,'Profile Size'!$A:$B,2,FALSE),0)
  + IFERROR(VLOOKUP($I32,'Ketebalan Material'!$A:$B,2,FALSE),0),
0)</f>
        <v>0</v>
      </c>
      <c r="O32">
        <f>IF($M32="PER-M",
  IFERROR(
    IF($G32="Hollow",
       INDEX('Referensi Harga'!$C:$C, MATCH($F32 &amp; "|" &amp; $C32, 'Referensi Harga'!$F:$F, 0)),
    IF($G32="Hollow Stainless",
       INDEX('Referensi Harga'!$D:$D, MATCH($F32 &amp; "|" &amp; $C32, 'Referensi Harga'!$F:$F, 0)),
       INDEX('Referensi Harga'!$E:$E, MATCH($F32 &amp; "|" &amp; $C32, 'Referensi Harga'!$F:$F, 0))
    ))
    + IFERROR(VLOOKUP($H32, 'Profile Size'!$A:$B, 2, FALSE), 0)
    + IFERROR(VLOOKUP($I32, 'Ketebalan Material'!$A:$B, 2, FALSE), 0), 0),
0)</f>
        <v>0</v>
      </c>
      <c r="P32" cm="1">
        <f t="array" ref="P32">IF($M32="PER-LUBANG",
  IFERROR(
     _xlfn.IFS(
        $G32="Hollow",
            INDEX('Referensi Harga'!$C:$C,
                  MATCH($F32&amp;$C32,'Referensi Harga'!$A:$A&amp;'Referensi Harga'!$B:$B,0)),
        $G32="Hollow Stainless",
            INDEX('Referensi Harga'!$D:$D,
                  MATCH($F32&amp;$C32,'Referensi Harga'!$A:$A&amp;'Referensi Harga'!$B:$B,0)),
        $G32="Pipa Stainless",
            INDEX('Referensi Harga'!$E:$E,
                  MATCH($F32&amp;$C32,'Referensi Harga'!$A:$A&amp;'Referensi Harga'!$B:$B,0))
     ),0)
  + IFERROR(VLOOKUP($H32,'Profile Size'!$A:$B,2,FALSE),0)
  + IFERROR(VLOOKUP($I32,'Ketebalan Material'!$A:$B,2,FALSE),0),
0)</f>
        <v>350000</v>
      </c>
      <c r="Q32">
        <f>IF($M32="PER-M2",
    IFERROR(
        SUMIFS('Upah Tenaga Ahli'!$C:$C,
               'Upah Tenaga Ahli'!$A:$A,"PER-M2",
               'Upah Tenaga Ahli'!$B:$B,$G32
        ) * $J32 * $K32,
    0),
IF($M32="PER-LUBANG",
    IFERROR(
        SUMIFS('Upah Tenaga Ahli'!$D:$D,
               'Upah Tenaga Ahli'!$A:$A,"PER-LUBANG",
               'Upah Tenaga Ahli'!$B:$B,$G32
        ) * $L32 * $K32,
    0),
IF($M32="PER-M",
    IFERROR(
        SUMIFS('Upah Tenaga Ahli'!$E:$E,
               'Upah Tenaga Ahli'!$A:$A,"PER-M",
               'Upah Tenaga Ahli'!$B:$B,$G32
        ) * $J32 * $K32,
    0),
0)))</f>
        <v>1275000</v>
      </c>
      <c r="R32" t="s">
        <v>20</v>
      </c>
      <c r="S32" t="s">
        <v>24</v>
      </c>
      <c r="T32">
        <f>IF($M32="PER-M2",
   ($N32 * $J32 * $K32)
   + IFERROR(VLOOKUP($R32,Finishing!A:B,2,FALSE),0)
   + IFERROR(VLOOKUP($S32,Kerumitan!A:B,2,FALSE),0),
IF($M32="PER-LUBANG",
   ($P32 * $L32 * $K32)
   + IFERROR(VLOOKUP($R32,Finishing!A:B,2,FALSE),0)
   + IFERROR(VLOOKUP($S32,Kerumitan!A:B,2,FALSE),0),
IF($M32="PER-M",
   ($O32 * $J32 * $K32)
   + IFERROR(VLOOKUP($R32,Finishing!A:B,2,FALSE),0)
   + IFERROR(VLOOKUP($S32,Kerumitan!A:B,2,FALSE),0),
0)))</f>
        <v>6200000</v>
      </c>
    </row>
    <row r="33" spans="1:20" x14ac:dyDescent="0.45">
      <c r="A33" t="s">
        <v>92</v>
      </c>
      <c r="B33" s="5">
        <v>43854</v>
      </c>
      <c r="C33">
        <f t="shared" si="0"/>
        <v>2020</v>
      </c>
      <c r="D33" t="s">
        <v>93</v>
      </c>
      <c r="E33" t="s">
        <v>38</v>
      </c>
      <c r="F33" t="s">
        <v>625</v>
      </c>
      <c r="G33" t="s">
        <v>13</v>
      </c>
      <c r="H33" t="s">
        <v>33</v>
      </c>
      <c r="I33">
        <v>1.2</v>
      </c>
      <c r="J33">
        <v>9.58</v>
      </c>
      <c r="K33">
        <v>3</v>
      </c>
      <c r="L33">
        <v>0</v>
      </c>
      <c r="M33" t="str" cm="1">
        <f t="array" ref="M33">_xlfn.IFS(
   OR($F33="Pagar", $F33="Pintu Gerbang", $F33="Pintu Handerson", $F33="Kanopi"), "PER-M2",
   $F33="Teralis", "PER-LUBANG",
   OR($F33="Railing", $F33="Railing/Balkon"), "PER-M",
   TRUE, ""
)</f>
        <v>PER-M</v>
      </c>
      <c r="N33" cm="1">
        <f t="array" ref="N33">IF($M33="PER-M2",
  IFERROR(
     _xlfn.IFS(
        $G33="Hollow",
            INDEX('Referensi Harga'!$C:$C,
                  MATCH($F33&amp;$C33,'Referensi Harga'!$A:$A&amp;'Referensi Harga'!$B:$B,0)),
        $G33="Hollow Stainless",
            INDEX('Referensi Harga'!$D:$D,
                  MATCH($F33&amp;$C33,'Referensi Harga'!$A:$A&amp;'Referensi Harga'!$B:$B,0)),
        $G33="Pipa Stainless",
            INDEX('Referensi Harga'!$E:$E,
                  MATCH($F33&amp;$C33,'Referensi Harga'!$A:$A&amp;'Referensi Harga'!$B:$B,0))
     ),0)
  + IFERROR(VLOOKUP($H33,'Profile Size'!$A:$B,2,FALSE),0)
  + IFERROR(VLOOKUP($I33,'Ketebalan Material'!$A:$B,2,FALSE),0),
0)</f>
        <v>0</v>
      </c>
      <c r="O33">
        <f>IF($M33="PER-M",
  IFERROR(
    IF($G33="Hollow",
       INDEX('Referensi Harga'!$C:$C, MATCH($F33 &amp; "|" &amp; $C33, 'Referensi Harga'!$F:$F, 0)),
    IF($G33="Hollow Stainless",
       INDEX('Referensi Harga'!$D:$D, MATCH($F33 &amp; "|" &amp; $C33, 'Referensi Harga'!$F:$F, 0)),
       INDEX('Referensi Harga'!$E:$E, MATCH($F33 &amp; "|" &amp; $C33, 'Referensi Harga'!$F:$F, 0))
    ))
    + IFERROR(VLOOKUP($H33, 'Profile Size'!$A:$B, 2, FALSE), 0)
    + IFERROR(VLOOKUP($I33, 'Ketebalan Material'!$A:$B, 2, FALSE), 0), 0),
0)</f>
        <v>500000</v>
      </c>
      <c r="P33" cm="1">
        <f t="array" ref="P33">IF($M33="PER-LUBANG",
  IFERROR(
     _xlfn.IFS(
        $G33="Hollow",
            INDEX('Referensi Harga'!$C:$C,
                  MATCH($F33&amp;$C33,'Referensi Harga'!$A:$A&amp;'Referensi Harga'!$B:$B,0)),
        $G33="Hollow Stainless",
            INDEX('Referensi Harga'!$D:$D,
                  MATCH($F33&amp;$C33,'Referensi Harga'!$A:$A&amp;'Referensi Harga'!$B:$B,0)),
        $G33="Pipa Stainless",
            INDEX('Referensi Harga'!$E:$E,
                  MATCH($F33&amp;$C33,'Referensi Harga'!$A:$A&amp;'Referensi Harga'!$B:$B,0))
     ),0)
  + IFERROR(VLOOKUP($H33,'Profile Size'!$A:$B,2,FALSE),0)
  + IFERROR(VLOOKUP($I33,'Ketebalan Material'!$A:$B,2,FALSE),0),
0)</f>
        <v>0</v>
      </c>
      <c r="Q33">
        <f>IF($M33="PER-M2",
    IFERROR(
        SUMIFS('Upah Tenaga Ahli'!$C:$C,
               'Upah Tenaga Ahli'!$A:$A,"PER-M2",
               'Upah Tenaga Ahli'!$B:$B,$G33
        ) * $J33 * $K33,
    0),
IF($M33="PER-LUBANG",
    IFERROR(
        SUMIFS('Upah Tenaga Ahli'!$D:$D,
               'Upah Tenaga Ahli'!$A:$A,"PER-LUBANG",
               'Upah Tenaga Ahli'!$B:$B,$G33
        ) * $L33 * $K33,
    0),
IF($M33="PER-M",
    IFERROR(
        SUMIFS('Upah Tenaga Ahli'!$E:$E,
               'Upah Tenaga Ahli'!$A:$A,"PER-M",
               'Upah Tenaga Ahli'!$B:$B,$G33
        ) * $J33 * $K33,
    0),
0)))</f>
        <v>2874000</v>
      </c>
      <c r="R33" t="s">
        <v>19</v>
      </c>
      <c r="S33" t="s">
        <v>25</v>
      </c>
      <c r="T33">
        <f>IF($M33="PER-M2",
   ($N33 * $J33 * $K33)
   + IFERROR(VLOOKUP($R33,Finishing!A:B,2,FALSE),0)
   + IFERROR(VLOOKUP($S33,Kerumitan!A:B,2,FALSE),0),
IF($M33="PER-LUBANG",
   ($P33 * $L33 * $K33)
   + IFERROR(VLOOKUP($R33,Finishing!A:B,2,FALSE),0)
   + IFERROR(VLOOKUP($S33,Kerumitan!A:B,2,FALSE),0),
IF($M33="PER-M",
   ($O33 * $J33 * $K33)
   + IFERROR(VLOOKUP($R33,Finishing!A:B,2,FALSE),0)
   + IFERROR(VLOOKUP($S33,Kerumitan!A:B,2,FALSE),0),
0)))</f>
        <v>14570000</v>
      </c>
    </row>
    <row r="34" spans="1:20" x14ac:dyDescent="0.45">
      <c r="A34" t="s">
        <v>94</v>
      </c>
      <c r="B34" s="5">
        <v>44939</v>
      </c>
      <c r="C34">
        <f t="shared" si="0"/>
        <v>2023</v>
      </c>
      <c r="D34" t="s">
        <v>90</v>
      </c>
      <c r="E34" t="s">
        <v>38</v>
      </c>
      <c r="F34" t="s">
        <v>8</v>
      </c>
      <c r="G34" t="s">
        <v>14</v>
      </c>
      <c r="H34" t="s">
        <v>612</v>
      </c>
      <c r="I34">
        <v>0.8</v>
      </c>
      <c r="J34">
        <v>0</v>
      </c>
      <c r="K34">
        <v>1</v>
      </c>
      <c r="L34">
        <v>11</v>
      </c>
      <c r="M34" t="str" cm="1">
        <f t="array" ref="M34">_xlfn.IFS(
   OR($F34="Pagar", $F34="Pintu Gerbang", $F34="Pintu Handerson", $F34="Kanopi"), "PER-M2",
   $F34="Teralis", "PER-LUBANG",
   OR($F34="Railing", $F34="Railing/Balkon"), "PER-M",
   TRUE, ""
)</f>
        <v>PER-LUBANG</v>
      </c>
      <c r="N34" cm="1">
        <f t="array" ref="N34">IF($M34="PER-M2",
  IFERROR(
     _xlfn.IFS(
        $G34="Hollow",
            INDEX('Referensi Harga'!$C:$C,
                  MATCH($F34&amp;$C34,'Referensi Harga'!$A:$A&amp;'Referensi Harga'!$B:$B,0)),
        $G34="Hollow Stainless",
            INDEX('Referensi Harga'!$D:$D,
                  MATCH($F34&amp;$C34,'Referensi Harga'!$A:$A&amp;'Referensi Harga'!$B:$B,0)),
        $G34="Pipa Stainless",
            INDEX('Referensi Harga'!$E:$E,
                  MATCH($F34&amp;$C34,'Referensi Harga'!$A:$A&amp;'Referensi Harga'!$B:$B,0))
     ),0)
  + IFERROR(VLOOKUP($H34,'Profile Size'!$A:$B,2,FALSE),0)
  + IFERROR(VLOOKUP($I34,'Ketebalan Material'!$A:$B,2,FALSE),0),
0)</f>
        <v>0</v>
      </c>
      <c r="O34">
        <f>IF($M34="PER-M",
  IFERROR(
    IF($G34="Hollow",
       INDEX('Referensi Harga'!$C:$C, MATCH($F34 &amp; "|" &amp; $C34, 'Referensi Harga'!$F:$F, 0)),
    IF($G34="Hollow Stainless",
       INDEX('Referensi Harga'!$D:$D, MATCH($F34 &amp; "|" &amp; $C34, 'Referensi Harga'!$F:$F, 0)),
       INDEX('Referensi Harga'!$E:$E, MATCH($F34 &amp; "|" &amp; $C34, 'Referensi Harga'!$F:$F, 0))
    ))
    + IFERROR(VLOOKUP($H34, 'Profile Size'!$A:$B, 2, FALSE), 0)
    + IFERROR(VLOOKUP($I34, 'Ketebalan Material'!$A:$B, 2, FALSE), 0), 0),
0)</f>
        <v>0</v>
      </c>
      <c r="P34" cm="1">
        <f t="array" ref="P34">IF($M34="PER-LUBANG",
  IFERROR(
     _xlfn.IFS(
        $G34="Hollow",
            INDEX('Referensi Harga'!$C:$C,
                  MATCH($F34&amp;$C34,'Referensi Harga'!$A:$A&amp;'Referensi Harga'!$B:$B,0)),
        $G34="Hollow Stainless",
            INDEX('Referensi Harga'!$D:$D,
                  MATCH($F34&amp;$C34,'Referensi Harga'!$A:$A&amp;'Referensi Harga'!$B:$B,0)),
        $G34="Pipa Stainless",
            INDEX('Referensi Harga'!$E:$E,
                  MATCH($F34&amp;$C34,'Referensi Harga'!$A:$A&amp;'Referensi Harga'!$B:$B,0))
     ),0)
  + IFERROR(VLOOKUP($H34,'Profile Size'!$A:$B,2,FALSE),0)
  + IFERROR(VLOOKUP($I34,'Ketebalan Material'!$A:$B,2,FALSE),0),
0)</f>
        <v>680000</v>
      </c>
      <c r="Q34">
        <f>IF($M34="PER-M2",
    IFERROR(
        SUMIFS('Upah Tenaga Ahli'!$C:$C,
               'Upah Tenaga Ahli'!$A:$A,"PER-M2",
               'Upah Tenaga Ahli'!$B:$B,$G34
        ) * $J34 * $K34,
    0),
IF($M34="PER-LUBANG",
    IFERROR(
        SUMIFS('Upah Tenaga Ahli'!$D:$D,
               'Upah Tenaga Ahli'!$A:$A,"PER-LUBANG",
               'Upah Tenaga Ahli'!$B:$B,$G34
        ) * $L34 * $K34,
    0),
IF($M34="PER-M",
    IFERROR(
        SUMIFS('Upah Tenaga Ahli'!$E:$E,
               'Upah Tenaga Ahli'!$A:$A,"PER-M",
               'Upah Tenaga Ahli'!$B:$B,$G34
        ) * $J34 * $K34,
    0),
0)))</f>
        <v>1650000</v>
      </c>
      <c r="R34" t="s">
        <v>617</v>
      </c>
      <c r="S34" t="s">
        <v>24</v>
      </c>
      <c r="T34">
        <f>IF($M34="PER-M2",
   ($N34 * $J34 * $K34)
   + IFERROR(VLOOKUP($R34,Finishing!A:B,2,FALSE),0)
   + IFERROR(VLOOKUP($S34,Kerumitan!A:B,2,FALSE),0),
IF($M34="PER-LUBANG",
   ($P34 * $L34 * $K34)
   + IFERROR(VLOOKUP($R34,Finishing!A:B,2,FALSE),0)
   + IFERROR(VLOOKUP($S34,Kerumitan!A:B,2,FALSE),0),
IF($M34="PER-M",
   ($O34 * $J34 * $K34)
   + IFERROR(VLOOKUP($R34,Finishing!A:B,2,FALSE),0)
   + IFERROR(VLOOKUP($S34,Kerumitan!A:B,2,FALSE),0),
0)))</f>
        <v>7580000</v>
      </c>
    </row>
    <row r="35" spans="1:20" x14ac:dyDescent="0.45">
      <c r="A35" t="s">
        <v>95</v>
      </c>
      <c r="B35" s="5">
        <v>44943</v>
      </c>
      <c r="C35">
        <f t="shared" si="0"/>
        <v>2023</v>
      </c>
      <c r="D35" t="s">
        <v>96</v>
      </c>
      <c r="E35" t="s">
        <v>44</v>
      </c>
      <c r="F35" t="s">
        <v>7</v>
      </c>
      <c r="G35" t="s">
        <v>15</v>
      </c>
      <c r="H35" t="s">
        <v>46</v>
      </c>
      <c r="I35">
        <v>1</v>
      </c>
      <c r="J35">
        <v>6.03</v>
      </c>
      <c r="K35">
        <v>1</v>
      </c>
      <c r="L35">
        <v>0</v>
      </c>
      <c r="M35" t="str" cm="1">
        <f t="array" ref="M35">_xlfn.IFS(
   OR($F35="Pagar", $F35="Pintu Gerbang", $F35="Pintu Handerson", $F35="Kanopi"), "PER-M2",
   $F35="Teralis", "PER-LUBANG",
   OR($F35="Railing", $F35="Railing/Balkon"), "PER-M",
   TRUE, ""
)</f>
        <v>PER-M2</v>
      </c>
      <c r="N35" cm="1">
        <f t="array" ref="N35">IF($M35="PER-M2",
  IFERROR(
     _xlfn.IFS(
        $G35="Hollow",
            INDEX('Referensi Harga'!$C:$C,
                  MATCH($F35&amp;$C35,'Referensi Harga'!$A:$A&amp;'Referensi Harga'!$B:$B,0)),
        $G35="Hollow Stainless",
            INDEX('Referensi Harga'!$D:$D,
                  MATCH($F35&amp;$C35,'Referensi Harga'!$A:$A&amp;'Referensi Harga'!$B:$B,0)),
        $G35="Pipa Stainless",
            INDEX('Referensi Harga'!$E:$E,
                  MATCH($F35&amp;$C35,'Referensi Harga'!$A:$A&amp;'Referensi Harga'!$B:$B,0))
     ),0)
  + IFERROR(VLOOKUP($H35,'Profile Size'!$A:$B,2,FALSE),0)
  + IFERROR(VLOOKUP($I35,'Ketebalan Material'!$A:$B,2,FALSE),0),
0)</f>
        <v>1400000</v>
      </c>
      <c r="O35">
        <f>IF($M35="PER-M",
  IFERROR(
    IF($G35="Hollow",
       INDEX('Referensi Harga'!$C:$C, MATCH($F35 &amp; "|" &amp; $C35, 'Referensi Harga'!$F:$F, 0)),
    IF($G35="Hollow Stainless",
       INDEX('Referensi Harga'!$D:$D, MATCH($F35 &amp; "|" &amp; $C35, 'Referensi Harga'!$F:$F, 0)),
       INDEX('Referensi Harga'!$E:$E, MATCH($F35 &amp; "|" &amp; $C35, 'Referensi Harga'!$F:$F, 0))
    ))
    + IFERROR(VLOOKUP($H35, 'Profile Size'!$A:$B, 2, FALSE), 0)
    + IFERROR(VLOOKUP($I35, 'Ketebalan Material'!$A:$B, 2, FALSE), 0), 0),
0)</f>
        <v>0</v>
      </c>
      <c r="P35" cm="1">
        <f t="array" ref="P35">IF($M35="PER-LUBANG",
  IFERROR(
     _xlfn.IFS(
        $G35="Hollow",
            INDEX('Referensi Harga'!$C:$C,
                  MATCH($F35&amp;$C35,'Referensi Harga'!$A:$A&amp;'Referensi Harga'!$B:$B,0)),
        $G35="Hollow Stainless",
            INDEX('Referensi Harga'!$D:$D,
                  MATCH($F35&amp;$C35,'Referensi Harga'!$A:$A&amp;'Referensi Harga'!$B:$B,0)),
        $G35="Pipa Stainless",
            INDEX('Referensi Harga'!$E:$E,
                  MATCH($F35&amp;$C35,'Referensi Harga'!$A:$A&amp;'Referensi Harga'!$B:$B,0))
     ),0)
  + IFERROR(VLOOKUP($H35,'Profile Size'!$A:$B,2,FALSE),0)
  + IFERROR(VLOOKUP($I35,'Ketebalan Material'!$A:$B,2,FALSE),0),
0)</f>
        <v>0</v>
      </c>
      <c r="Q35">
        <f>IF($M35="PER-M2",
    IFERROR(
        SUMIFS('Upah Tenaga Ahli'!$C:$C,
               'Upah Tenaga Ahli'!$A:$A,"PER-M2",
               'Upah Tenaga Ahli'!$B:$B,$G35
        ) * $J35 * $K35,
    0),
IF($M35="PER-LUBANG",
    IFERROR(
        SUMIFS('Upah Tenaga Ahli'!$D:$D,
               'Upah Tenaga Ahli'!$A:$A,"PER-LUBANG",
               'Upah Tenaga Ahli'!$B:$B,$G35
        ) * $L35 * $K35,
    0),
IF($M35="PER-M",
    IFERROR(
        SUMIFS('Upah Tenaga Ahli'!$E:$E,
               'Upah Tenaga Ahli'!$A:$A,"PER-M",
               'Upah Tenaga Ahli'!$B:$B,$G35
        ) * $J35 * $K35,
    0),
0)))</f>
        <v>904500</v>
      </c>
      <c r="R35" t="s">
        <v>617</v>
      </c>
      <c r="S35" t="s">
        <v>24</v>
      </c>
      <c r="T35">
        <f>IF($M35="PER-M2",
   ($N35 * $J35 * $K35)
   + IFERROR(VLOOKUP($R35,Finishing!A:B,2,FALSE),0)
   + IFERROR(VLOOKUP($S35,Kerumitan!A:B,2,FALSE),0),
IF($M35="PER-LUBANG",
   ($P35 * $L35 * $K35)
   + IFERROR(VLOOKUP($R35,Finishing!A:B,2,FALSE),0)
   + IFERROR(VLOOKUP($S35,Kerumitan!A:B,2,FALSE),0),
IF($M35="PER-M",
   ($O35 * $J35 * $K35)
   + IFERROR(VLOOKUP($R35,Finishing!A:B,2,FALSE),0)
   + IFERROR(VLOOKUP($S35,Kerumitan!A:B,2,FALSE),0),
0)))</f>
        <v>8542000</v>
      </c>
    </row>
    <row r="36" spans="1:20" x14ac:dyDescent="0.45">
      <c r="A36" t="s">
        <v>97</v>
      </c>
      <c r="B36" s="5">
        <v>44117</v>
      </c>
      <c r="C36">
        <f t="shared" si="0"/>
        <v>2020</v>
      </c>
      <c r="D36" t="s">
        <v>83</v>
      </c>
      <c r="E36" t="s">
        <v>87</v>
      </c>
      <c r="F36" t="s">
        <v>8</v>
      </c>
      <c r="G36" t="s">
        <v>14</v>
      </c>
      <c r="H36" t="s">
        <v>611</v>
      </c>
      <c r="I36">
        <v>0.8</v>
      </c>
      <c r="J36">
        <v>0</v>
      </c>
      <c r="K36">
        <v>1</v>
      </c>
      <c r="L36">
        <v>14</v>
      </c>
      <c r="M36" t="str" cm="1">
        <f t="array" ref="M36">_xlfn.IFS(
   OR($F36="Pagar", $F36="Pintu Gerbang", $F36="Pintu Handerson", $F36="Kanopi"), "PER-M2",
   $F36="Teralis", "PER-LUBANG",
   OR($F36="Railing", $F36="Railing/Balkon"), "PER-M",
   TRUE, ""
)</f>
        <v>PER-LUBANG</v>
      </c>
      <c r="N36" cm="1">
        <f t="array" ref="N36">IF($M36="PER-M2",
  IFERROR(
     _xlfn.IFS(
        $G36="Hollow",
            INDEX('Referensi Harga'!$C:$C,
                  MATCH($F36&amp;$C36,'Referensi Harga'!$A:$A&amp;'Referensi Harga'!$B:$B,0)),
        $G36="Hollow Stainless",
            INDEX('Referensi Harga'!$D:$D,
                  MATCH($F36&amp;$C36,'Referensi Harga'!$A:$A&amp;'Referensi Harga'!$B:$B,0)),
        $G36="Pipa Stainless",
            INDEX('Referensi Harga'!$E:$E,
                  MATCH($F36&amp;$C36,'Referensi Harga'!$A:$A&amp;'Referensi Harga'!$B:$B,0))
     ),0)
  + IFERROR(VLOOKUP($H36,'Profile Size'!$A:$B,2,FALSE),0)
  + IFERROR(VLOOKUP($I36,'Ketebalan Material'!$A:$B,2,FALSE),0),
0)</f>
        <v>0</v>
      </c>
      <c r="O36">
        <f>IF($M36="PER-M",
  IFERROR(
    IF($G36="Hollow",
       INDEX('Referensi Harga'!$C:$C, MATCH($F36 &amp; "|" &amp; $C36, 'Referensi Harga'!$F:$F, 0)),
    IF($G36="Hollow Stainless",
       INDEX('Referensi Harga'!$D:$D, MATCH($F36 &amp; "|" &amp; $C36, 'Referensi Harga'!$F:$F, 0)),
       INDEX('Referensi Harga'!$E:$E, MATCH($F36 &amp; "|" &amp; $C36, 'Referensi Harga'!$F:$F, 0))
    ))
    + IFERROR(VLOOKUP($H36, 'Profile Size'!$A:$B, 2, FALSE), 0)
    + IFERROR(VLOOKUP($I36, 'Ketebalan Material'!$A:$B, 2, FALSE), 0), 0),
0)</f>
        <v>0</v>
      </c>
      <c r="P36" cm="1">
        <f t="array" ref="P36">IF($M36="PER-LUBANG",
  IFERROR(
     _xlfn.IFS(
        $G36="Hollow",
            INDEX('Referensi Harga'!$C:$C,
                  MATCH($F36&amp;$C36,'Referensi Harga'!$A:$A&amp;'Referensi Harga'!$B:$B,0)),
        $G36="Hollow Stainless",
            INDEX('Referensi Harga'!$D:$D,
                  MATCH($F36&amp;$C36,'Referensi Harga'!$A:$A&amp;'Referensi Harga'!$B:$B,0)),
        $G36="Pipa Stainless",
            INDEX('Referensi Harga'!$E:$E,
                  MATCH($F36&amp;$C36,'Referensi Harga'!$A:$A&amp;'Referensi Harga'!$B:$B,0))
     ),0)
  + IFERROR(VLOOKUP($H36,'Profile Size'!$A:$B,2,FALSE),0)
  + IFERROR(VLOOKUP($I36,'Ketebalan Material'!$A:$B,2,FALSE),0),
0)</f>
        <v>620000</v>
      </c>
      <c r="Q36">
        <f>IF($M36="PER-M2",
    IFERROR(
        SUMIFS('Upah Tenaga Ahli'!$C:$C,
               'Upah Tenaga Ahli'!$A:$A,"PER-M2",
               'Upah Tenaga Ahli'!$B:$B,$G36
        ) * $J36 * $K36,
    0),
IF($M36="PER-LUBANG",
    IFERROR(
        SUMIFS('Upah Tenaga Ahli'!$D:$D,
               'Upah Tenaga Ahli'!$A:$A,"PER-LUBANG",
               'Upah Tenaga Ahli'!$B:$B,$G36
        ) * $L36 * $K36,
    0),
IF($M36="PER-M",
    IFERROR(
        SUMIFS('Upah Tenaga Ahli'!$E:$E,
               'Upah Tenaga Ahli'!$A:$A,"PER-M",
               'Upah Tenaga Ahli'!$B:$B,$G36
        ) * $J36 * $K36,
    0),
0)))</f>
        <v>2100000</v>
      </c>
      <c r="R36" t="s">
        <v>617</v>
      </c>
      <c r="S36" t="s">
        <v>24</v>
      </c>
      <c r="T36">
        <f>IF($M36="PER-M2",
   ($N36 * $J36 * $K36)
   + IFERROR(VLOOKUP($R36,Finishing!A:B,2,FALSE),0)
   + IFERROR(VLOOKUP($S36,Kerumitan!A:B,2,FALSE),0),
IF($M36="PER-LUBANG",
   ($P36 * $L36 * $K36)
   + IFERROR(VLOOKUP($R36,Finishing!A:B,2,FALSE),0)
   + IFERROR(VLOOKUP($S36,Kerumitan!A:B,2,FALSE),0),
IF($M36="PER-M",
   ($O36 * $J36 * $K36)
   + IFERROR(VLOOKUP($R36,Finishing!A:B,2,FALSE),0)
   + IFERROR(VLOOKUP($S36,Kerumitan!A:B,2,FALSE),0),
0)))</f>
        <v>8780000</v>
      </c>
    </row>
    <row r="37" spans="1:20" x14ac:dyDescent="0.45">
      <c r="A37" t="s">
        <v>98</v>
      </c>
      <c r="B37" s="5">
        <v>45403</v>
      </c>
      <c r="C37">
        <f t="shared" si="0"/>
        <v>2024</v>
      </c>
      <c r="D37" t="s">
        <v>93</v>
      </c>
      <c r="E37" t="s">
        <v>38</v>
      </c>
      <c r="F37" t="s">
        <v>10</v>
      </c>
      <c r="G37" t="s">
        <v>15</v>
      </c>
      <c r="H37" t="s">
        <v>46</v>
      </c>
      <c r="I37">
        <v>1</v>
      </c>
      <c r="J37">
        <v>2.06</v>
      </c>
      <c r="K37">
        <v>1</v>
      </c>
      <c r="L37">
        <v>0</v>
      </c>
      <c r="M37" t="str" cm="1">
        <f t="array" ref="M37">_xlfn.IFS(
   OR($F37="Pagar", $F37="Pintu Gerbang", $F37="Pintu Handerson", $F37="Kanopi"), "PER-M2",
   $F37="Teralis", "PER-LUBANG",
   OR($F37="Railing", $F37="Railing/Balkon"), "PER-M",
   TRUE, ""
)</f>
        <v>PER-M2</v>
      </c>
      <c r="N37" cm="1">
        <f t="array" ref="N37">IF($M37="PER-M2",
  IFERROR(
     _xlfn.IFS(
        $G37="Hollow",
            INDEX('Referensi Harga'!$C:$C,
                  MATCH($F37&amp;$C37,'Referensi Harga'!$A:$A&amp;'Referensi Harga'!$B:$B,0)),
        $G37="Hollow Stainless",
            INDEX('Referensi Harga'!$D:$D,
                  MATCH($F37&amp;$C37,'Referensi Harga'!$A:$A&amp;'Referensi Harga'!$B:$B,0)),
        $G37="Pipa Stainless",
            INDEX('Referensi Harga'!$E:$E,
                  MATCH($F37&amp;$C37,'Referensi Harga'!$A:$A&amp;'Referensi Harga'!$B:$B,0))
     ),0)
  + IFERROR(VLOOKUP($H37,'Profile Size'!$A:$B,2,FALSE),0)
  + IFERROR(VLOOKUP($I37,'Ketebalan Material'!$A:$B,2,FALSE),0),
0)</f>
        <v>1700000</v>
      </c>
      <c r="O37">
        <f>IF($M37="PER-M",
  IFERROR(
    IF($G37="Hollow",
       INDEX('Referensi Harga'!$C:$C, MATCH($F37 &amp; "|" &amp; $C37, 'Referensi Harga'!$F:$F, 0)),
    IF($G37="Hollow Stainless",
       INDEX('Referensi Harga'!$D:$D, MATCH($F37 &amp; "|" &amp; $C37, 'Referensi Harga'!$F:$F, 0)),
       INDEX('Referensi Harga'!$E:$E, MATCH($F37 &amp; "|" &amp; $C37, 'Referensi Harga'!$F:$F, 0))
    ))
    + IFERROR(VLOOKUP($H37, 'Profile Size'!$A:$B, 2, FALSE), 0)
    + IFERROR(VLOOKUP($I37, 'Ketebalan Material'!$A:$B, 2, FALSE), 0), 0),
0)</f>
        <v>0</v>
      </c>
      <c r="P37" cm="1">
        <f t="array" ref="P37">IF($M37="PER-LUBANG",
  IFERROR(
     _xlfn.IFS(
        $G37="Hollow",
            INDEX('Referensi Harga'!$C:$C,
                  MATCH($F37&amp;$C37,'Referensi Harga'!$A:$A&amp;'Referensi Harga'!$B:$B,0)),
        $G37="Hollow Stainless",
            INDEX('Referensi Harga'!$D:$D,
                  MATCH($F37&amp;$C37,'Referensi Harga'!$A:$A&amp;'Referensi Harga'!$B:$B,0)),
        $G37="Pipa Stainless",
            INDEX('Referensi Harga'!$E:$E,
                  MATCH($F37&amp;$C37,'Referensi Harga'!$A:$A&amp;'Referensi Harga'!$B:$B,0))
     ),0)
  + IFERROR(VLOOKUP($H37,'Profile Size'!$A:$B,2,FALSE),0)
  + IFERROR(VLOOKUP($I37,'Ketebalan Material'!$A:$B,2,FALSE),0),
0)</f>
        <v>0</v>
      </c>
      <c r="Q37">
        <f>IF($M37="PER-M2",
    IFERROR(
        SUMIFS('Upah Tenaga Ahli'!$C:$C,
               'Upah Tenaga Ahli'!$A:$A,"PER-M2",
               'Upah Tenaga Ahli'!$B:$B,$G37
        ) * $J37 * $K37,
    0),
IF($M37="PER-LUBANG",
    IFERROR(
        SUMIFS('Upah Tenaga Ahli'!$D:$D,
               'Upah Tenaga Ahli'!$A:$A,"PER-LUBANG",
               'Upah Tenaga Ahli'!$B:$B,$G37
        ) * $L37 * $K37,
    0),
IF($M37="PER-M",
    IFERROR(
        SUMIFS('Upah Tenaga Ahli'!$E:$E,
               'Upah Tenaga Ahli'!$A:$A,"PER-M",
               'Upah Tenaga Ahli'!$B:$B,$G37
        ) * $J37 * $K37,
    0),
0)))</f>
        <v>309000</v>
      </c>
      <c r="R37" t="s">
        <v>617</v>
      </c>
      <c r="S37" t="s">
        <v>24</v>
      </c>
      <c r="T37">
        <f>IF($M37="PER-M2",
   ($N37 * $J37 * $K37)
   + IFERROR(VLOOKUP($R37,Finishing!A:B,2,FALSE),0)
   + IFERROR(VLOOKUP($S37,Kerumitan!A:B,2,FALSE),0),
IF($M37="PER-LUBANG",
   ($P37 * $L37 * $K37)
   + IFERROR(VLOOKUP($R37,Finishing!A:B,2,FALSE),0)
   + IFERROR(VLOOKUP($S37,Kerumitan!A:B,2,FALSE),0),
IF($M37="PER-M",
   ($O37 * $J37 * $K37)
   + IFERROR(VLOOKUP($R37,Finishing!A:B,2,FALSE),0)
   + IFERROR(VLOOKUP($S37,Kerumitan!A:B,2,FALSE),0),
0)))</f>
        <v>3602000</v>
      </c>
    </row>
    <row r="38" spans="1:20" x14ac:dyDescent="0.45">
      <c r="A38" t="s">
        <v>99</v>
      </c>
      <c r="B38" s="5">
        <v>43789</v>
      </c>
      <c r="C38">
        <f t="shared" si="0"/>
        <v>2019</v>
      </c>
      <c r="D38" t="s">
        <v>31</v>
      </c>
      <c r="E38" t="s">
        <v>57</v>
      </c>
      <c r="F38" t="s">
        <v>625</v>
      </c>
      <c r="G38" t="s">
        <v>13</v>
      </c>
      <c r="H38" t="s">
        <v>33</v>
      </c>
      <c r="I38">
        <v>0.8</v>
      </c>
      <c r="J38">
        <v>8.1199999999999992</v>
      </c>
      <c r="K38">
        <v>1</v>
      </c>
      <c r="L38">
        <v>0</v>
      </c>
      <c r="M38" t="str" cm="1">
        <f t="array" ref="M38">_xlfn.IFS(
   OR($F38="Pagar", $F38="Pintu Gerbang", $F38="Pintu Handerson", $F38="Kanopi"), "PER-M2",
   $F38="Teralis", "PER-LUBANG",
   OR($F38="Railing", $F38="Railing/Balkon"), "PER-M",
   TRUE, ""
)</f>
        <v>PER-M</v>
      </c>
      <c r="N38" cm="1">
        <f t="array" ref="N38">IF($M38="PER-M2",
  IFERROR(
     _xlfn.IFS(
        $G38="Hollow",
            INDEX('Referensi Harga'!$C:$C,
                  MATCH($F38&amp;$C38,'Referensi Harga'!$A:$A&amp;'Referensi Harga'!$B:$B,0)),
        $G38="Hollow Stainless",
            INDEX('Referensi Harga'!$D:$D,
                  MATCH($F38&amp;$C38,'Referensi Harga'!$A:$A&amp;'Referensi Harga'!$B:$B,0)),
        $G38="Pipa Stainless",
            INDEX('Referensi Harga'!$E:$E,
                  MATCH($F38&amp;$C38,'Referensi Harga'!$A:$A&amp;'Referensi Harga'!$B:$B,0))
     ),0)
  + IFERROR(VLOOKUP($H38,'Profile Size'!$A:$B,2,FALSE),0)
  + IFERROR(VLOOKUP($I38,'Ketebalan Material'!$A:$B,2,FALSE),0),
0)</f>
        <v>0</v>
      </c>
      <c r="O38">
        <f>IF($M38="PER-M",
  IFERROR(
    IF($G38="Hollow",
       INDEX('Referensi Harga'!$C:$C, MATCH($F38 &amp; "|" &amp; $C38, 'Referensi Harga'!$F:$F, 0)),
    IF($G38="Hollow Stainless",
       INDEX('Referensi Harga'!$D:$D, MATCH($F38 &amp; "|" &amp; $C38, 'Referensi Harga'!$F:$F, 0)),
       INDEX('Referensi Harga'!$E:$E, MATCH($F38 &amp; "|" &amp; $C38, 'Referensi Harga'!$F:$F, 0))
    ))
    + IFERROR(VLOOKUP($H38, 'Profile Size'!$A:$B, 2, FALSE), 0)
    + IFERROR(VLOOKUP($I38, 'Ketebalan Material'!$A:$B, 2, FALSE), 0), 0),
0)</f>
        <v>400000</v>
      </c>
      <c r="P38" cm="1">
        <f t="array" ref="P38">IF($M38="PER-LUBANG",
  IFERROR(
     _xlfn.IFS(
        $G38="Hollow",
            INDEX('Referensi Harga'!$C:$C,
                  MATCH($F38&amp;$C38,'Referensi Harga'!$A:$A&amp;'Referensi Harga'!$B:$B,0)),
        $G38="Hollow Stainless",
            INDEX('Referensi Harga'!$D:$D,
                  MATCH($F38&amp;$C38,'Referensi Harga'!$A:$A&amp;'Referensi Harga'!$B:$B,0)),
        $G38="Pipa Stainless",
            INDEX('Referensi Harga'!$E:$E,
                  MATCH($F38&amp;$C38,'Referensi Harga'!$A:$A&amp;'Referensi Harga'!$B:$B,0))
     ),0)
  + IFERROR(VLOOKUP($H38,'Profile Size'!$A:$B,2,FALSE),0)
  + IFERROR(VLOOKUP($I38,'Ketebalan Material'!$A:$B,2,FALSE),0),
0)</f>
        <v>0</v>
      </c>
      <c r="Q38">
        <f>IF($M38="PER-M2",
    IFERROR(
        SUMIFS('Upah Tenaga Ahli'!$C:$C,
               'Upah Tenaga Ahli'!$A:$A,"PER-M2",
               'Upah Tenaga Ahli'!$B:$B,$G38
        ) * $J38 * $K38,
    0),
IF($M38="PER-LUBANG",
    IFERROR(
        SUMIFS('Upah Tenaga Ahli'!$D:$D,
               'Upah Tenaga Ahli'!$A:$A,"PER-LUBANG",
               'Upah Tenaga Ahli'!$B:$B,$G38
        ) * $L38 * $K38,
    0),
IF($M38="PER-M",
    IFERROR(
        SUMIFS('Upah Tenaga Ahli'!$E:$E,
               'Upah Tenaga Ahli'!$A:$A,"PER-M",
               'Upah Tenaga Ahli'!$B:$B,$G38
        ) * $J38 * $K38,
    0),
0)))</f>
        <v>811999.99999999988</v>
      </c>
      <c r="R38" t="s">
        <v>19</v>
      </c>
      <c r="S38" t="s">
        <v>23</v>
      </c>
      <c r="T38">
        <f>IF($M38="PER-M2",
   ($N38 * $J38 * $K38)
   + IFERROR(VLOOKUP($R38,Finishing!A:B,2,FALSE),0)
   + IFERROR(VLOOKUP($S38,Kerumitan!A:B,2,FALSE),0),
IF($M38="PER-LUBANG",
   ($P38 * $L38 * $K38)
   + IFERROR(VLOOKUP($R38,Finishing!A:B,2,FALSE),0)
   + IFERROR(VLOOKUP($S38,Kerumitan!A:B,2,FALSE),0),
IF($M38="PER-M",
   ($O38 * $J38 * $K38)
   + IFERROR(VLOOKUP($R38,Finishing!A:B,2,FALSE),0)
   + IFERROR(VLOOKUP($S38,Kerumitan!A:B,2,FALSE),0),
0)))</f>
        <v>3297999.9999999995</v>
      </c>
    </row>
    <row r="39" spans="1:20" x14ac:dyDescent="0.45">
      <c r="A39" t="s">
        <v>100</v>
      </c>
      <c r="B39" s="5">
        <v>44693</v>
      </c>
      <c r="C39">
        <f t="shared" si="0"/>
        <v>2022</v>
      </c>
      <c r="D39" t="s">
        <v>101</v>
      </c>
      <c r="E39" t="s">
        <v>28</v>
      </c>
      <c r="F39" t="s">
        <v>4</v>
      </c>
      <c r="G39" t="s">
        <v>13</v>
      </c>
      <c r="H39" t="s">
        <v>46</v>
      </c>
      <c r="I39">
        <v>0.8</v>
      </c>
      <c r="J39">
        <v>24.02</v>
      </c>
      <c r="K39">
        <v>1</v>
      </c>
      <c r="L39">
        <v>0</v>
      </c>
      <c r="M39" t="str" cm="1">
        <f t="array" ref="M39">_xlfn.IFS(
   OR($F39="Pagar", $F39="Pintu Gerbang", $F39="Pintu Handerson", $F39="Kanopi"), "PER-M2",
   $F39="Teralis", "PER-LUBANG",
   OR($F39="Railing", $F39="Railing/Balkon"), "PER-M",
   TRUE, ""
)</f>
        <v>PER-M2</v>
      </c>
      <c r="N39" cm="1">
        <f t="array" ref="N39">IF($M39="PER-M2",
  IFERROR(
     _xlfn.IFS(
        $G39="Hollow",
            INDEX('Referensi Harga'!$C:$C,
                  MATCH($F39&amp;$C39,'Referensi Harga'!$A:$A&amp;'Referensi Harga'!$B:$B,0)),
        $G39="Hollow Stainless",
            INDEX('Referensi Harga'!$D:$D,
                  MATCH($F39&amp;$C39,'Referensi Harga'!$A:$A&amp;'Referensi Harga'!$B:$B,0)),
        $G39="Pipa Stainless",
            INDEX('Referensi Harga'!$E:$E,
                  MATCH($F39&amp;$C39,'Referensi Harga'!$A:$A&amp;'Referensi Harga'!$B:$B,0))
     ),0)
  + IFERROR(VLOOKUP($H39,'Profile Size'!$A:$B,2,FALSE),0)
  + IFERROR(VLOOKUP($I39,'Ketebalan Material'!$A:$B,2,FALSE),0),
0)</f>
        <v>580000</v>
      </c>
      <c r="O39">
        <f>IF($M39="PER-M",
  IFERROR(
    IF($G39="Hollow",
       INDEX('Referensi Harga'!$C:$C, MATCH($F39 &amp; "|" &amp; $C39, 'Referensi Harga'!$F:$F, 0)),
    IF($G39="Hollow Stainless",
       INDEX('Referensi Harga'!$D:$D, MATCH($F39 &amp; "|" &amp; $C39, 'Referensi Harga'!$F:$F, 0)),
       INDEX('Referensi Harga'!$E:$E, MATCH($F39 &amp; "|" &amp; $C39, 'Referensi Harga'!$F:$F, 0))
    ))
    + IFERROR(VLOOKUP($H39, 'Profile Size'!$A:$B, 2, FALSE), 0)
    + IFERROR(VLOOKUP($I39, 'Ketebalan Material'!$A:$B, 2, FALSE), 0), 0),
0)</f>
        <v>0</v>
      </c>
      <c r="P39" cm="1">
        <f t="array" ref="P39">IF($M39="PER-LUBANG",
  IFERROR(
     _xlfn.IFS(
        $G39="Hollow",
            INDEX('Referensi Harga'!$C:$C,
                  MATCH($F39&amp;$C39,'Referensi Harga'!$A:$A&amp;'Referensi Harga'!$B:$B,0)),
        $G39="Hollow Stainless",
            INDEX('Referensi Harga'!$D:$D,
                  MATCH($F39&amp;$C39,'Referensi Harga'!$A:$A&amp;'Referensi Harga'!$B:$B,0)),
        $G39="Pipa Stainless",
            INDEX('Referensi Harga'!$E:$E,
                  MATCH($F39&amp;$C39,'Referensi Harga'!$A:$A&amp;'Referensi Harga'!$B:$B,0))
     ),0)
  + IFERROR(VLOOKUP($H39,'Profile Size'!$A:$B,2,FALSE),0)
  + IFERROR(VLOOKUP($I39,'Ketebalan Material'!$A:$B,2,FALSE),0),
0)</f>
        <v>0</v>
      </c>
      <c r="Q39">
        <f>IF($M39="PER-M2",
    IFERROR(
        SUMIFS('Upah Tenaga Ahli'!$C:$C,
               'Upah Tenaga Ahli'!$A:$A,"PER-M2",
               'Upah Tenaga Ahli'!$B:$B,$G39
        ) * $J39 * $K39,
    0),
IF($M39="PER-LUBANG",
    IFERROR(
        SUMIFS('Upah Tenaga Ahli'!$D:$D,
               'Upah Tenaga Ahli'!$A:$A,"PER-LUBANG",
               'Upah Tenaga Ahli'!$B:$B,$G39
        ) * $L39 * $K39,
    0),
IF($M39="PER-M",
    IFERROR(
        SUMIFS('Upah Tenaga Ahli'!$E:$E,
               'Upah Tenaga Ahli'!$A:$A,"PER-M",
               'Upah Tenaga Ahli'!$B:$B,$G39
        ) * $J39 * $K39,
    0),
0)))</f>
        <v>2402000</v>
      </c>
      <c r="R39" t="s">
        <v>19</v>
      </c>
      <c r="S39" t="s">
        <v>24</v>
      </c>
      <c r="T39">
        <f>IF($M39="PER-M2",
   ($N39 * $J39 * $K39)
   + IFERROR(VLOOKUP($R39,Finishing!A:B,2,FALSE),0)
   + IFERROR(VLOOKUP($S39,Kerumitan!A:B,2,FALSE),0),
IF($M39="PER-LUBANG",
   ($P39 * $L39 * $K39)
   + IFERROR(VLOOKUP($R39,Finishing!A:B,2,FALSE),0)
   + IFERROR(VLOOKUP($S39,Kerumitan!A:B,2,FALSE),0),
IF($M39="PER-M",
   ($O39 * $J39 * $K39)
   + IFERROR(VLOOKUP($R39,Finishing!A:B,2,FALSE),0)
   + IFERROR(VLOOKUP($S39,Kerumitan!A:B,2,FALSE),0),
0)))</f>
        <v>14081600</v>
      </c>
    </row>
    <row r="40" spans="1:20" x14ac:dyDescent="0.45">
      <c r="A40" t="s">
        <v>102</v>
      </c>
      <c r="B40" s="5">
        <v>44144</v>
      </c>
      <c r="C40">
        <f t="shared" si="0"/>
        <v>2020</v>
      </c>
      <c r="D40" t="s">
        <v>103</v>
      </c>
      <c r="E40" t="s">
        <v>32</v>
      </c>
      <c r="F40" t="s">
        <v>6</v>
      </c>
      <c r="G40" t="s">
        <v>15</v>
      </c>
      <c r="H40" t="s">
        <v>46</v>
      </c>
      <c r="I40">
        <v>1.2</v>
      </c>
      <c r="J40">
        <v>23.45</v>
      </c>
      <c r="K40">
        <v>2</v>
      </c>
      <c r="L40">
        <v>0</v>
      </c>
      <c r="M40" t="str" cm="1">
        <f t="array" ref="M40">_xlfn.IFS(
   OR($F40="Pagar", $F40="Pintu Gerbang", $F40="Pintu Handerson", $F40="Kanopi"), "PER-M2",
   $F40="Teralis", "PER-LUBANG",
   OR($F40="Railing", $F40="Railing/Balkon"), "PER-M",
   TRUE, ""
)</f>
        <v>PER-M2</v>
      </c>
      <c r="N40" cm="1">
        <f t="array" ref="N40">IF($M40="PER-M2",
  IFERROR(
     _xlfn.IFS(
        $G40="Hollow",
            INDEX('Referensi Harga'!$C:$C,
                  MATCH($F40&amp;$C40,'Referensi Harga'!$A:$A&amp;'Referensi Harga'!$B:$B,0)),
        $G40="Hollow Stainless",
            INDEX('Referensi Harga'!$D:$D,
                  MATCH($F40&amp;$C40,'Referensi Harga'!$A:$A&amp;'Referensi Harga'!$B:$B,0)),
        $G40="Pipa Stainless",
            INDEX('Referensi Harga'!$E:$E,
                  MATCH($F40&amp;$C40,'Referensi Harga'!$A:$A&amp;'Referensi Harga'!$B:$B,0))
     ),0)
  + IFERROR(VLOOKUP($H40,'Profile Size'!$A:$B,2,FALSE),0)
  + IFERROR(VLOOKUP($I40,'Ketebalan Material'!$A:$B,2,FALSE),0),
0)</f>
        <v>850000</v>
      </c>
      <c r="O40">
        <f>IF($M40="PER-M",
  IFERROR(
    IF($G40="Hollow",
       INDEX('Referensi Harga'!$C:$C, MATCH($F40 &amp; "|" &amp; $C40, 'Referensi Harga'!$F:$F, 0)),
    IF($G40="Hollow Stainless",
       INDEX('Referensi Harga'!$D:$D, MATCH($F40 &amp; "|" &amp; $C40, 'Referensi Harga'!$F:$F, 0)),
       INDEX('Referensi Harga'!$E:$E, MATCH($F40 &amp; "|" &amp; $C40, 'Referensi Harga'!$F:$F, 0))
    ))
    + IFERROR(VLOOKUP($H40, 'Profile Size'!$A:$B, 2, FALSE), 0)
    + IFERROR(VLOOKUP($I40, 'Ketebalan Material'!$A:$B, 2, FALSE), 0), 0),
0)</f>
        <v>0</v>
      </c>
      <c r="P40" cm="1">
        <f t="array" ref="P40">IF($M40="PER-LUBANG",
  IFERROR(
     _xlfn.IFS(
        $G40="Hollow",
            INDEX('Referensi Harga'!$C:$C,
                  MATCH($F40&amp;$C40,'Referensi Harga'!$A:$A&amp;'Referensi Harga'!$B:$B,0)),
        $G40="Hollow Stainless",
            INDEX('Referensi Harga'!$D:$D,
                  MATCH($F40&amp;$C40,'Referensi Harga'!$A:$A&amp;'Referensi Harga'!$B:$B,0)),
        $G40="Pipa Stainless",
            INDEX('Referensi Harga'!$E:$E,
                  MATCH($F40&amp;$C40,'Referensi Harga'!$A:$A&amp;'Referensi Harga'!$B:$B,0))
     ),0)
  + IFERROR(VLOOKUP($H40,'Profile Size'!$A:$B,2,FALSE),0)
  + IFERROR(VLOOKUP($I40,'Ketebalan Material'!$A:$B,2,FALSE),0),
0)</f>
        <v>0</v>
      </c>
      <c r="Q40">
        <f>IF($M40="PER-M2",
    IFERROR(
        SUMIFS('Upah Tenaga Ahli'!$C:$C,
               'Upah Tenaga Ahli'!$A:$A,"PER-M2",
               'Upah Tenaga Ahli'!$B:$B,$G40
        ) * $J40 * $K40,
    0),
IF($M40="PER-LUBANG",
    IFERROR(
        SUMIFS('Upah Tenaga Ahli'!$D:$D,
               'Upah Tenaga Ahli'!$A:$A,"PER-LUBANG",
               'Upah Tenaga Ahli'!$B:$B,$G40
        ) * $L40 * $K40,
    0),
IF($M40="PER-M",
    IFERROR(
        SUMIFS('Upah Tenaga Ahli'!$E:$E,
               'Upah Tenaga Ahli'!$A:$A,"PER-M",
               'Upah Tenaga Ahli'!$B:$B,$G40
        ) * $J40 * $K40,
    0),
0)))</f>
        <v>7035000</v>
      </c>
      <c r="R40" t="s">
        <v>617</v>
      </c>
      <c r="S40" t="s">
        <v>23</v>
      </c>
      <c r="T40">
        <f>IF($M40="PER-M2",
   ($N40 * $J40 * $K40)
   + IFERROR(VLOOKUP($R40,Finishing!A:B,2,FALSE),0)
   + IFERROR(VLOOKUP($S40,Kerumitan!A:B,2,FALSE),0),
IF($M40="PER-LUBANG",
   ($P40 * $L40 * $K40)
   + IFERROR(VLOOKUP($R40,Finishing!A:B,2,FALSE),0)
   + IFERROR(VLOOKUP($S40,Kerumitan!A:B,2,FALSE),0),
IF($M40="PER-M",
   ($O40 * $J40 * $K40)
   + IFERROR(VLOOKUP($R40,Finishing!A:B,2,FALSE),0)
   + IFERROR(VLOOKUP($S40,Kerumitan!A:B,2,FALSE),0),
0)))</f>
        <v>39865000</v>
      </c>
    </row>
    <row r="41" spans="1:20" x14ac:dyDescent="0.45">
      <c r="A41" t="s">
        <v>104</v>
      </c>
      <c r="B41" s="5">
        <v>44578</v>
      </c>
      <c r="C41">
        <f t="shared" si="0"/>
        <v>2022</v>
      </c>
      <c r="D41" t="s">
        <v>27</v>
      </c>
      <c r="E41" t="s">
        <v>105</v>
      </c>
      <c r="F41" t="s">
        <v>8</v>
      </c>
      <c r="G41" t="s">
        <v>15</v>
      </c>
      <c r="H41" t="s">
        <v>612</v>
      </c>
      <c r="I41">
        <v>1</v>
      </c>
      <c r="J41">
        <v>0</v>
      </c>
      <c r="K41">
        <v>1</v>
      </c>
      <c r="L41">
        <v>22</v>
      </c>
      <c r="M41" t="str" cm="1">
        <f t="array" ref="M41">_xlfn.IFS(
   OR($F41="Pagar", $F41="Pintu Gerbang", $F41="Pintu Handerson", $F41="Kanopi"), "PER-M2",
   $F41="Teralis", "PER-LUBANG",
   OR($F41="Railing", $F41="Railing/Balkon"), "PER-M",
   TRUE, ""
)</f>
        <v>PER-LUBANG</v>
      </c>
      <c r="N41" cm="1">
        <f t="array" ref="N41">IF($M41="PER-M2",
  IFERROR(
     _xlfn.IFS(
        $G41="Hollow",
            INDEX('Referensi Harga'!$C:$C,
                  MATCH($F41&amp;$C41,'Referensi Harga'!$A:$A&amp;'Referensi Harga'!$B:$B,0)),
        $G41="Hollow Stainless",
            INDEX('Referensi Harga'!$D:$D,
                  MATCH($F41&amp;$C41,'Referensi Harga'!$A:$A&amp;'Referensi Harga'!$B:$B,0)),
        $G41="Pipa Stainless",
            INDEX('Referensi Harga'!$E:$E,
                  MATCH($F41&amp;$C41,'Referensi Harga'!$A:$A&amp;'Referensi Harga'!$B:$B,0))
     ),0)
  + IFERROR(VLOOKUP($H41,'Profile Size'!$A:$B,2,FALSE),0)
  + IFERROR(VLOOKUP($I41,'Ketebalan Material'!$A:$B,2,FALSE),0),
0)</f>
        <v>0</v>
      </c>
      <c r="O41">
        <f>IF($M41="PER-M",
  IFERROR(
    IF($G41="Hollow",
       INDEX('Referensi Harga'!$C:$C, MATCH($F41 &amp; "|" &amp; $C41, 'Referensi Harga'!$F:$F, 0)),
    IF($G41="Hollow Stainless",
       INDEX('Referensi Harga'!$D:$D, MATCH($F41 &amp; "|" &amp; $C41, 'Referensi Harga'!$F:$F, 0)),
       INDEX('Referensi Harga'!$E:$E, MATCH($F41 &amp; "|" &amp; $C41, 'Referensi Harga'!$F:$F, 0))
    ))
    + IFERROR(VLOOKUP($H41, 'Profile Size'!$A:$B, 2, FALSE), 0)
    + IFERROR(VLOOKUP($I41, 'Ketebalan Material'!$A:$B, 2, FALSE), 0), 0),
0)</f>
        <v>0</v>
      </c>
      <c r="P41" cm="1">
        <f t="array" ref="P41">IF($M41="PER-LUBANG",
  IFERROR(
     _xlfn.IFS(
        $G41="Hollow",
            INDEX('Referensi Harga'!$C:$C,
                  MATCH($F41&amp;$C41,'Referensi Harga'!$A:$A&amp;'Referensi Harga'!$B:$B,0)),
        $G41="Hollow Stainless",
            INDEX('Referensi Harga'!$D:$D,
                  MATCH($F41&amp;$C41,'Referensi Harga'!$A:$A&amp;'Referensi Harga'!$B:$B,0)),
        $G41="Pipa Stainless",
            INDEX('Referensi Harga'!$E:$E,
                  MATCH($F41&amp;$C41,'Referensi Harga'!$A:$A&amp;'Referensi Harga'!$B:$B,0))
     ),0)
  + IFERROR(VLOOKUP($H41,'Profile Size'!$A:$B,2,FALSE),0)
  + IFERROR(VLOOKUP($I41,'Ketebalan Material'!$A:$B,2,FALSE),0),
0)</f>
        <v>830000</v>
      </c>
      <c r="Q41">
        <f>IF($M41="PER-M2",
    IFERROR(
        SUMIFS('Upah Tenaga Ahli'!$C:$C,
               'Upah Tenaga Ahli'!$A:$A,"PER-M2",
               'Upah Tenaga Ahli'!$B:$B,$G41
        ) * $J41 * $K41,
    0),
IF($M41="PER-LUBANG",
    IFERROR(
        SUMIFS('Upah Tenaga Ahli'!$D:$D,
               'Upah Tenaga Ahli'!$A:$A,"PER-LUBANG",
               'Upah Tenaga Ahli'!$B:$B,$G41
        ) * $L41 * $K41,
    0),
IF($M41="PER-M",
    IFERROR(
        SUMIFS('Upah Tenaga Ahli'!$E:$E,
               'Upah Tenaga Ahli'!$A:$A,"PER-M",
               'Upah Tenaga Ahli'!$B:$B,$G41
        ) * $J41 * $K41,
    0),
0)))</f>
        <v>3300000</v>
      </c>
      <c r="R41" t="s">
        <v>617</v>
      </c>
      <c r="S41" t="s">
        <v>25</v>
      </c>
      <c r="T41">
        <f>IF($M41="PER-M2",
   ($N41 * $J41 * $K41)
   + IFERROR(VLOOKUP($R41,Finishing!A:B,2,FALSE),0)
   + IFERROR(VLOOKUP($S41,Kerumitan!A:B,2,FALSE),0),
IF($M41="PER-LUBANG",
   ($P41 * $L41 * $K41)
   + IFERROR(VLOOKUP($R41,Finishing!A:B,2,FALSE),0)
   + IFERROR(VLOOKUP($S41,Kerumitan!A:B,2,FALSE),0),
IF($M41="PER-M",
   ($O41 * $J41 * $K41)
   + IFERROR(VLOOKUP($R41,Finishing!A:B,2,FALSE),0)
   + IFERROR(VLOOKUP($S41,Kerumitan!A:B,2,FALSE),0),
0)))</f>
        <v>18410000</v>
      </c>
    </row>
    <row r="42" spans="1:20" x14ac:dyDescent="0.45">
      <c r="A42" t="s">
        <v>106</v>
      </c>
      <c r="B42" s="5">
        <v>45708</v>
      </c>
      <c r="C42">
        <f t="shared" si="0"/>
        <v>2025</v>
      </c>
      <c r="D42" t="s">
        <v>103</v>
      </c>
      <c r="E42" t="s">
        <v>44</v>
      </c>
      <c r="F42" t="s">
        <v>8</v>
      </c>
      <c r="G42" t="s">
        <v>13</v>
      </c>
      <c r="H42" t="s">
        <v>612</v>
      </c>
      <c r="I42">
        <v>0.8</v>
      </c>
      <c r="J42">
        <v>0</v>
      </c>
      <c r="K42">
        <v>1</v>
      </c>
      <c r="L42">
        <v>13</v>
      </c>
      <c r="M42" t="str" cm="1">
        <f t="array" ref="M42">_xlfn.IFS(
   OR($F42="Pagar", $F42="Pintu Gerbang", $F42="Pintu Handerson", $F42="Kanopi"), "PER-M2",
   $F42="Teralis", "PER-LUBANG",
   OR($F42="Railing", $F42="Railing/Balkon"), "PER-M",
   TRUE, ""
)</f>
        <v>PER-LUBANG</v>
      </c>
      <c r="N42" cm="1">
        <f t="array" ref="N42">IF($M42="PER-M2",
  IFERROR(
     _xlfn.IFS(
        $G42="Hollow",
            INDEX('Referensi Harga'!$C:$C,
                  MATCH($F42&amp;$C42,'Referensi Harga'!$A:$A&amp;'Referensi Harga'!$B:$B,0)),
        $G42="Hollow Stainless",
            INDEX('Referensi Harga'!$D:$D,
                  MATCH($F42&amp;$C42,'Referensi Harga'!$A:$A&amp;'Referensi Harga'!$B:$B,0)),
        $G42="Pipa Stainless",
            INDEX('Referensi Harga'!$E:$E,
                  MATCH($F42&amp;$C42,'Referensi Harga'!$A:$A&amp;'Referensi Harga'!$B:$B,0))
     ),0)
  + IFERROR(VLOOKUP($H42,'Profile Size'!$A:$B,2,FALSE),0)
  + IFERROR(VLOOKUP($I42,'Ketebalan Material'!$A:$B,2,FALSE),0),
0)</f>
        <v>0</v>
      </c>
      <c r="O42">
        <f>IF($M42="PER-M",
  IFERROR(
    IF($G42="Hollow",
       INDEX('Referensi Harga'!$C:$C, MATCH($F42 &amp; "|" &amp; $C42, 'Referensi Harga'!$F:$F, 0)),
    IF($G42="Hollow Stainless",
       INDEX('Referensi Harga'!$D:$D, MATCH($F42 &amp; "|" &amp; $C42, 'Referensi Harga'!$F:$F, 0)),
       INDEX('Referensi Harga'!$E:$E, MATCH($F42 &amp; "|" &amp; $C42, 'Referensi Harga'!$F:$F, 0))
    ))
    + IFERROR(VLOOKUP($H42, 'Profile Size'!$A:$B, 2, FALSE), 0)
    + IFERROR(VLOOKUP($I42, 'Ketebalan Material'!$A:$B, 2, FALSE), 0), 0),
0)</f>
        <v>0</v>
      </c>
      <c r="P42" cm="1">
        <f t="array" ref="P42">IF($M42="PER-LUBANG",
  IFERROR(
     _xlfn.IFS(
        $G42="Hollow",
            INDEX('Referensi Harga'!$C:$C,
                  MATCH($F42&amp;$C42,'Referensi Harga'!$A:$A&amp;'Referensi Harga'!$B:$B,0)),
        $G42="Hollow Stainless",
            INDEX('Referensi Harga'!$D:$D,
                  MATCH($F42&amp;$C42,'Referensi Harga'!$A:$A&amp;'Referensi Harga'!$B:$B,0)),
        $G42="Pipa Stainless",
            INDEX('Referensi Harga'!$E:$E,
                  MATCH($F42&amp;$C42,'Referensi Harga'!$A:$A&amp;'Referensi Harga'!$B:$B,0))
     ),0)
  + IFERROR(VLOOKUP($H42,'Profile Size'!$A:$B,2,FALSE),0)
  + IFERROR(VLOOKUP($I42,'Ketebalan Material'!$A:$B,2,FALSE),0),
0)</f>
        <v>350000</v>
      </c>
      <c r="Q42">
        <f>IF($M42="PER-M2",
    IFERROR(
        SUMIFS('Upah Tenaga Ahli'!$C:$C,
               'Upah Tenaga Ahli'!$A:$A,"PER-M2",
               'Upah Tenaga Ahli'!$B:$B,$G42
        ) * $J42 * $K42,
    0),
IF($M42="PER-LUBANG",
    IFERROR(
        SUMIFS('Upah Tenaga Ahli'!$D:$D,
               'Upah Tenaga Ahli'!$A:$A,"PER-LUBANG",
               'Upah Tenaga Ahli'!$B:$B,$G42
        ) * $L42 * $K42,
    0),
IF($M42="PER-M",
    IFERROR(
        SUMIFS('Upah Tenaga Ahli'!$E:$E,
               'Upah Tenaga Ahli'!$A:$A,"PER-M",
               'Upah Tenaga Ahli'!$B:$B,$G42
        ) * $J42 * $K42,
    0),
0)))</f>
        <v>975000</v>
      </c>
      <c r="R42" t="s">
        <v>19</v>
      </c>
      <c r="S42" t="s">
        <v>24</v>
      </c>
      <c r="T42">
        <f>IF($M42="PER-M2",
   ($N42 * $J42 * $K42)
   + IFERROR(VLOOKUP($R42,Finishing!A:B,2,FALSE),0)
   + IFERROR(VLOOKUP($S42,Kerumitan!A:B,2,FALSE),0),
IF($M42="PER-LUBANG",
   ($P42 * $L42 * $K42)
   + IFERROR(VLOOKUP($R42,Finishing!A:B,2,FALSE),0)
   + IFERROR(VLOOKUP($S42,Kerumitan!A:B,2,FALSE),0),
IF($M42="PER-M",
   ($O42 * $J42 * $K42)
   + IFERROR(VLOOKUP($R42,Finishing!A:B,2,FALSE),0)
   + IFERROR(VLOOKUP($S42,Kerumitan!A:B,2,FALSE),0),
0)))</f>
        <v>4700000</v>
      </c>
    </row>
    <row r="43" spans="1:20" x14ac:dyDescent="0.45">
      <c r="A43" t="s">
        <v>107</v>
      </c>
      <c r="B43" s="5">
        <v>44570</v>
      </c>
      <c r="C43">
        <f t="shared" si="0"/>
        <v>2022</v>
      </c>
      <c r="D43" t="s">
        <v>73</v>
      </c>
      <c r="E43" t="s">
        <v>108</v>
      </c>
      <c r="F43" t="s">
        <v>7</v>
      </c>
      <c r="G43" t="s">
        <v>14</v>
      </c>
      <c r="H43" t="s">
        <v>615</v>
      </c>
      <c r="I43">
        <v>0.8</v>
      </c>
      <c r="J43">
        <v>10.88</v>
      </c>
      <c r="K43">
        <v>1</v>
      </c>
      <c r="L43">
        <v>0</v>
      </c>
      <c r="M43" t="str" cm="1">
        <f t="array" ref="M43">_xlfn.IFS(
   OR($F43="Pagar", $F43="Pintu Gerbang", $F43="Pintu Handerson", $F43="Kanopi"), "PER-M2",
   $F43="Teralis", "PER-LUBANG",
   OR($F43="Railing", $F43="Railing/Balkon"), "PER-M",
   TRUE, ""
)</f>
        <v>PER-M2</v>
      </c>
      <c r="N43" cm="1">
        <f t="array" ref="N43">IF($M43="PER-M2",
  IFERROR(
     _xlfn.IFS(
        $G43="Hollow",
            INDEX('Referensi Harga'!$C:$C,
                  MATCH($F43&amp;$C43,'Referensi Harga'!$A:$A&amp;'Referensi Harga'!$B:$B,0)),
        $G43="Hollow Stainless",
            INDEX('Referensi Harga'!$D:$D,
                  MATCH($F43&amp;$C43,'Referensi Harga'!$A:$A&amp;'Referensi Harga'!$B:$B,0)),
        $G43="Pipa Stainless",
            INDEX('Referensi Harga'!$E:$E,
                  MATCH($F43&amp;$C43,'Referensi Harga'!$A:$A&amp;'Referensi Harga'!$B:$B,0))
     ),0)
  + IFERROR(VLOOKUP($H43,'Profile Size'!$A:$B,2,FALSE),0)
  + IFERROR(VLOOKUP($I43,'Ketebalan Material'!$A:$B,2,FALSE),0),
0)</f>
        <v>1200000</v>
      </c>
      <c r="O43">
        <f>IF($M43="PER-M",
  IFERROR(
    IF($G43="Hollow",
       INDEX('Referensi Harga'!$C:$C, MATCH($F43 &amp; "|" &amp; $C43, 'Referensi Harga'!$F:$F, 0)),
    IF($G43="Hollow Stainless",
       INDEX('Referensi Harga'!$D:$D, MATCH($F43 &amp; "|" &amp; $C43, 'Referensi Harga'!$F:$F, 0)),
       INDEX('Referensi Harga'!$E:$E, MATCH($F43 &amp; "|" &amp; $C43, 'Referensi Harga'!$F:$F, 0))
    ))
    + IFERROR(VLOOKUP($H43, 'Profile Size'!$A:$B, 2, FALSE), 0)
    + IFERROR(VLOOKUP($I43, 'Ketebalan Material'!$A:$B, 2, FALSE), 0), 0),
0)</f>
        <v>0</v>
      </c>
      <c r="P43" cm="1">
        <f t="array" ref="P43">IF($M43="PER-LUBANG",
  IFERROR(
     _xlfn.IFS(
        $G43="Hollow",
            INDEX('Referensi Harga'!$C:$C,
                  MATCH($F43&amp;$C43,'Referensi Harga'!$A:$A&amp;'Referensi Harga'!$B:$B,0)),
        $G43="Hollow Stainless",
            INDEX('Referensi Harga'!$D:$D,
                  MATCH($F43&amp;$C43,'Referensi Harga'!$A:$A&amp;'Referensi Harga'!$B:$B,0)),
        $G43="Pipa Stainless",
            INDEX('Referensi Harga'!$E:$E,
                  MATCH($F43&amp;$C43,'Referensi Harga'!$A:$A&amp;'Referensi Harga'!$B:$B,0))
     ),0)
  + IFERROR(VLOOKUP($H43,'Profile Size'!$A:$B,2,FALSE),0)
  + IFERROR(VLOOKUP($I43,'Ketebalan Material'!$A:$B,2,FALSE),0),
0)</f>
        <v>0</v>
      </c>
      <c r="Q43">
        <f>IF($M43="PER-M2",
    IFERROR(
        SUMIFS('Upah Tenaga Ahli'!$C:$C,
               'Upah Tenaga Ahli'!$A:$A,"PER-M2",
               'Upah Tenaga Ahli'!$B:$B,$G43
        ) * $J43 * $K43,
    0),
IF($M43="PER-LUBANG",
    IFERROR(
        SUMIFS('Upah Tenaga Ahli'!$D:$D,
               'Upah Tenaga Ahli'!$A:$A,"PER-LUBANG",
               'Upah Tenaga Ahli'!$B:$B,$G43
        ) * $L43 * $K43,
    0),
IF($M43="PER-M",
    IFERROR(
        SUMIFS('Upah Tenaga Ahli'!$E:$E,
               'Upah Tenaga Ahli'!$A:$A,"PER-M",
               'Upah Tenaga Ahli'!$B:$B,$G43
        ) * $J43 * $K43,
    0),
0)))</f>
        <v>2176000</v>
      </c>
      <c r="R43" t="s">
        <v>617</v>
      </c>
      <c r="S43" t="s">
        <v>24</v>
      </c>
      <c r="T43">
        <f>IF($M43="PER-M2",
   ($N43 * $J43 * $K43)
   + IFERROR(VLOOKUP($R43,Finishing!A:B,2,FALSE),0)
   + IFERROR(VLOOKUP($S43,Kerumitan!A:B,2,FALSE),0),
IF($M43="PER-LUBANG",
   ($P43 * $L43 * $K43)
   + IFERROR(VLOOKUP($R43,Finishing!A:B,2,FALSE),0)
   + IFERROR(VLOOKUP($S43,Kerumitan!A:B,2,FALSE),0),
IF($M43="PER-M",
   ($O43 * $J43 * $K43)
   + IFERROR(VLOOKUP($R43,Finishing!A:B,2,FALSE),0)
   + IFERROR(VLOOKUP($S43,Kerumitan!A:B,2,FALSE),0),
0)))</f>
        <v>13156000.000000002</v>
      </c>
    </row>
    <row r="44" spans="1:20" x14ac:dyDescent="0.45">
      <c r="A44" t="s">
        <v>109</v>
      </c>
      <c r="B44" s="5">
        <v>45476</v>
      </c>
      <c r="C44">
        <f t="shared" si="0"/>
        <v>2024</v>
      </c>
      <c r="D44" t="s">
        <v>110</v>
      </c>
      <c r="E44" t="s">
        <v>61</v>
      </c>
      <c r="F44" t="s">
        <v>6</v>
      </c>
      <c r="G44" t="s">
        <v>14</v>
      </c>
      <c r="H44" t="s">
        <v>615</v>
      </c>
      <c r="I44">
        <v>1</v>
      </c>
      <c r="J44">
        <v>23.43</v>
      </c>
      <c r="K44">
        <v>2</v>
      </c>
      <c r="L44">
        <v>0</v>
      </c>
      <c r="M44" t="str" cm="1">
        <f t="array" ref="M44">_xlfn.IFS(
   OR($F44="Pagar", $F44="Pintu Gerbang", $F44="Pintu Handerson", $F44="Kanopi"), "PER-M2",
   $F44="Teralis", "PER-LUBANG",
   OR($F44="Railing", $F44="Railing/Balkon"), "PER-M",
   TRUE, ""
)</f>
        <v>PER-M2</v>
      </c>
      <c r="N44" cm="1">
        <f t="array" ref="N44">IF($M44="PER-M2",
  IFERROR(
     _xlfn.IFS(
        $G44="Hollow",
            INDEX('Referensi Harga'!$C:$C,
                  MATCH($F44&amp;$C44,'Referensi Harga'!$A:$A&amp;'Referensi Harga'!$B:$B,0)),
        $G44="Hollow Stainless",
            INDEX('Referensi Harga'!$D:$D,
                  MATCH($F44&amp;$C44,'Referensi Harga'!$A:$A&amp;'Referensi Harga'!$B:$B,0)),
        $G44="Pipa Stainless",
            INDEX('Referensi Harga'!$E:$E,
                  MATCH($F44&amp;$C44,'Referensi Harga'!$A:$A&amp;'Referensi Harga'!$B:$B,0))
     ),0)
  + IFERROR(VLOOKUP($H44,'Profile Size'!$A:$B,2,FALSE),0)
  + IFERROR(VLOOKUP($I44,'Ketebalan Material'!$A:$B,2,FALSE),0),
0)</f>
        <v>850000</v>
      </c>
      <c r="O44">
        <f>IF($M44="PER-M",
  IFERROR(
    IF($G44="Hollow",
       INDEX('Referensi Harga'!$C:$C, MATCH($F44 &amp; "|" &amp; $C44, 'Referensi Harga'!$F:$F, 0)),
    IF($G44="Hollow Stainless",
       INDEX('Referensi Harga'!$D:$D, MATCH($F44 &amp; "|" &amp; $C44, 'Referensi Harga'!$F:$F, 0)),
       INDEX('Referensi Harga'!$E:$E, MATCH($F44 &amp; "|" &amp; $C44, 'Referensi Harga'!$F:$F, 0))
    ))
    + IFERROR(VLOOKUP($H44, 'Profile Size'!$A:$B, 2, FALSE), 0)
    + IFERROR(VLOOKUP($I44, 'Ketebalan Material'!$A:$B, 2, FALSE), 0), 0),
0)</f>
        <v>0</v>
      </c>
      <c r="P44" cm="1">
        <f t="array" ref="P44">IF($M44="PER-LUBANG",
  IFERROR(
     _xlfn.IFS(
        $G44="Hollow",
            INDEX('Referensi Harga'!$C:$C,
                  MATCH($F44&amp;$C44,'Referensi Harga'!$A:$A&amp;'Referensi Harga'!$B:$B,0)),
        $G44="Hollow Stainless",
            INDEX('Referensi Harga'!$D:$D,
                  MATCH($F44&amp;$C44,'Referensi Harga'!$A:$A&amp;'Referensi Harga'!$B:$B,0)),
        $G44="Pipa Stainless",
            INDEX('Referensi Harga'!$E:$E,
                  MATCH($F44&amp;$C44,'Referensi Harga'!$A:$A&amp;'Referensi Harga'!$B:$B,0))
     ),0)
  + IFERROR(VLOOKUP($H44,'Profile Size'!$A:$B,2,FALSE),0)
  + IFERROR(VLOOKUP($I44,'Ketebalan Material'!$A:$B,2,FALSE),0),
0)</f>
        <v>0</v>
      </c>
      <c r="Q44">
        <f>IF($M44="PER-M2",
    IFERROR(
        SUMIFS('Upah Tenaga Ahli'!$C:$C,
               'Upah Tenaga Ahli'!$A:$A,"PER-M2",
               'Upah Tenaga Ahli'!$B:$B,$G44
        ) * $J44 * $K44,
    0),
IF($M44="PER-LUBANG",
    IFERROR(
        SUMIFS('Upah Tenaga Ahli'!$D:$D,
               'Upah Tenaga Ahli'!$A:$A,"PER-LUBANG",
               'Upah Tenaga Ahli'!$B:$B,$G44
        ) * $L44 * $K44,
    0),
IF($M44="PER-M",
    IFERROR(
        SUMIFS('Upah Tenaga Ahli'!$E:$E,
               'Upah Tenaga Ahli'!$A:$A,"PER-M",
               'Upah Tenaga Ahli'!$B:$B,$G44
        ) * $J44 * $K44,
    0),
0)))</f>
        <v>9372000</v>
      </c>
      <c r="R44" t="s">
        <v>617</v>
      </c>
      <c r="S44" t="s">
        <v>23</v>
      </c>
      <c r="T44">
        <f>IF($M44="PER-M2",
   ($N44 * $J44 * $K44)
   + IFERROR(VLOOKUP($R44,Finishing!A:B,2,FALSE),0)
   + IFERROR(VLOOKUP($S44,Kerumitan!A:B,2,FALSE),0),
IF($M44="PER-LUBANG",
   ($P44 * $L44 * $K44)
   + IFERROR(VLOOKUP($R44,Finishing!A:B,2,FALSE),0)
   + IFERROR(VLOOKUP($S44,Kerumitan!A:B,2,FALSE),0),
IF($M44="PER-M",
   ($O44 * $J44 * $K44)
   + IFERROR(VLOOKUP($R44,Finishing!A:B,2,FALSE),0)
   + IFERROR(VLOOKUP($S44,Kerumitan!A:B,2,FALSE),0),
0)))</f>
        <v>39831000</v>
      </c>
    </row>
    <row r="45" spans="1:20" x14ac:dyDescent="0.45">
      <c r="A45" t="s">
        <v>111</v>
      </c>
      <c r="B45" s="5">
        <v>43484</v>
      </c>
      <c r="C45">
        <f t="shared" si="0"/>
        <v>2019</v>
      </c>
      <c r="D45" t="s">
        <v>112</v>
      </c>
      <c r="E45" t="s">
        <v>91</v>
      </c>
      <c r="F45" t="s">
        <v>6</v>
      </c>
      <c r="G45" t="s">
        <v>15</v>
      </c>
      <c r="H45" t="s">
        <v>46</v>
      </c>
      <c r="I45">
        <v>0.8</v>
      </c>
      <c r="J45">
        <v>22.43</v>
      </c>
      <c r="K45">
        <v>1</v>
      </c>
      <c r="L45">
        <v>0</v>
      </c>
      <c r="M45" t="str" cm="1">
        <f t="array" ref="M45">_xlfn.IFS(
   OR($F45="Pagar", $F45="Pintu Gerbang", $F45="Pintu Handerson", $F45="Kanopi"), "PER-M2",
   $F45="Teralis", "PER-LUBANG",
   OR($F45="Railing", $F45="Railing/Balkon"), "PER-M",
   TRUE, ""
)</f>
        <v>PER-M2</v>
      </c>
      <c r="N45" cm="1">
        <f t="array" ref="N45">IF($M45="PER-M2",
  IFERROR(
     _xlfn.IFS(
        $G45="Hollow",
            INDEX('Referensi Harga'!$C:$C,
                  MATCH($F45&amp;$C45,'Referensi Harga'!$A:$A&amp;'Referensi Harga'!$B:$B,0)),
        $G45="Hollow Stainless",
            INDEX('Referensi Harga'!$D:$D,
                  MATCH($F45&amp;$C45,'Referensi Harga'!$A:$A&amp;'Referensi Harga'!$B:$B,0)),
        $G45="Pipa Stainless",
            INDEX('Referensi Harga'!$E:$E,
                  MATCH($F45&amp;$C45,'Referensi Harga'!$A:$A&amp;'Referensi Harga'!$B:$B,0))
     ),0)
  + IFERROR(VLOOKUP($H45,'Profile Size'!$A:$B,2,FALSE),0)
  + IFERROR(VLOOKUP($I45,'Ketebalan Material'!$A:$B,2,FALSE),0),
0)</f>
        <v>700000</v>
      </c>
      <c r="O45">
        <f>IF($M45="PER-M",
  IFERROR(
    IF($G45="Hollow",
       INDEX('Referensi Harga'!$C:$C, MATCH($F45 &amp; "|" &amp; $C45, 'Referensi Harga'!$F:$F, 0)),
    IF($G45="Hollow Stainless",
       INDEX('Referensi Harga'!$D:$D, MATCH($F45 &amp; "|" &amp; $C45, 'Referensi Harga'!$F:$F, 0)),
       INDEX('Referensi Harga'!$E:$E, MATCH($F45 &amp; "|" &amp; $C45, 'Referensi Harga'!$F:$F, 0))
    ))
    + IFERROR(VLOOKUP($H45, 'Profile Size'!$A:$B, 2, FALSE), 0)
    + IFERROR(VLOOKUP($I45, 'Ketebalan Material'!$A:$B, 2, FALSE), 0), 0),
0)</f>
        <v>0</v>
      </c>
      <c r="P45" cm="1">
        <f t="array" ref="P45">IF($M45="PER-LUBANG",
  IFERROR(
     _xlfn.IFS(
        $G45="Hollow",
            INDEX('Referensi Harga'!$C:$C,
                  MATCH($F45&amp;$C45,'Referensi Harga'!$A:$A&amp;'Referensi Harga'!$B:$B,0)),
        $G45="Hollow Stainless",
            INDEX('Referensi Harga'!$D:$D,
                  MATCH($F45&amp;$C45,'Referensi Harga'!$A:$A&amp;'Referensi Harga'!$B:$B,0)),
        $G45="Pipa Stainless",
            INDEX('Referensi Harga'!$E:$E,
                  MATCH($F45&amp;$C45,'Referensi Harga'!$A:$A&amp;'Referensi Harga'!$B:$B,0))
     ),0)
  + IFERROR(VLOOKUP($H45,'Profile Size'!$A:$B,2,FALSE),0)
  + IFERROR(VLOOKUP($I45,'Ketebalan Material'!$A:$B,2,FALSE),0),
0)</f>
        <v>0</v>
      </c>
      <c r="Q45">
        <f>IF($M45="PER-M2",
    IFERROR(
        SUMIFS('Upah Tenaga Ahli'!$C:$C,
               'Upah Tenaga Ahli'!$A:$A,"PER-M2",
               'Upah Tenaga Ahli'!$B:$B,$G45
        ) * $J45 * $K45,
    0),
IF($M45="PER-LUBANG",
    IFERROR(
        SUMIFS('Upah Tenaga Ahli'!$D:$D,
               'Upah Tenaga Ahli'!$A:$A,"PER-LUBANG",
               'Upah Tenaga Ahli'!$B:$B,$G45
        ) * $L45 * $K45,
    0),
IF($M45="PER-M",
    IFERROR(
        SUMIFS('Upah Tenaga Ahli'!$E:$E,
               'Upah Tenaga Ahli'!$A:$A,"PER-M",
               'Upah Tenaga Ahli'!$B:$B,$G45
        ) * $J45 * $K45,
    0),
0)))</f>
        <v>3364500</v>
      </c>
      <c r="R45" t="s">
        <v>617</v>
      </c>
      <c r="S45" t="s">
        <v>24</v>
      </c>
      <c r="T45">
        <f>IF($M45="PER-M2",
   ($N45 * $J45 * $K45)
   + IFERROR(VLOOKUP($R45,Finishing!A:B,2,FALSE),0)
   + IFERROR(VLOOKUP($S45,Kerumitan!A:B,2,FALSE),0),
IF($M45="PER-LUBANG",
   ($P45 * $L45 * $K45)
   + IFERROR(VLOOKUP($R45,Finishing!A:B,2,FALSE),0)
   + IFERROR(VLOOKUP($S45,Kerumitan!A:B,2,FALSE),0),
IF($M45="PER-M",
   ($O45 * $J45 * $K45)
   + IFERROR(VLOOKUP($R45,Finishing!A:B,2,FALSE),0)
   + IFERROR(VLOOKUP($S45,Kerumitan!A:B,2,FALSE),0),
0)))</f>
        <v>15801000</v>
      </c>
    </row>
    <row r="46" spans="1:20" x14ac:dyDescent="0.45">
      <c r="A46" t="s">
        <v>113</v>
      </c>
      <c r="B46" s="5">
        <v>44748</v>
      </c>
      <c r="C46">
        <f t="shared" si="0"/>
        <v>2022</v>
      </c>
      <c r="D46" t="s">
        <v>65</v>
      </c>
      <c r="E46" t="s">
        <v>32</v>
      </c>
      <c r="F46" t="s">
        <v>6</v>
      </c>
      <c r="G46" t="s">
        <v>14</v>
      </c>
      <c r="H46" t="s">
        <v>614</v>
      </c>
      <c r="I46">
        <v>1</v>
      </c>
      <c r="J46">
        <v>10.14</v>
      </c>
      <c r="K46">
        <v>1</v>
      </c>
      <c r="L46">
        <v>0</v>
      </c>
      <c r="M46" t="str" cm="1">
        <f t="array" ref="M46">_xlfn.IFS(
   OR($F46="Pagar", $F46="Pintu Gerbang", $F46="Pintu Handerson", $F46="Kanopi"), "PER-M2",
   $F46="Teralis", "PER-LUBANG",
   OR($F46="Railing", $F46="Railing/Balkon"), "PER-M",
   TRUE, ""
)</f>
        <v>PER-M2</v>
      </c>
      <c r="N46" cm="1">
        <f t="array" ref="N46">IF($M46="PER-M2",
  IFERROR(
     _xlfn.IFS(
        $G46="Hollow",
            INDEX('Referensi Harga'!$C:$C,
                  MATCH($F46&amp;$C46,'Referensi Harga'!$A:$A&amp;'Referensi Harga'!$B:$B,0)),
        $G46="Hollow Stainless",
            INDEX('Referensi Harga'!$D:$D,
                  MATCH($F46&amp;$C46,'Referensi Harga'!$A:$A&amp;'Referensi Harga'!$B:$B,0)),
        $G46="Pipa Stainless",
            INDEX('Referensi Harga'!$E:$E,
                  MATCH($F46&amp;$C46,'Referensi Harga'!$A:$A&amp;'Referensi Harga'!$B:$B,0))
     ),0)
  + IFERROR(VLOOKUP($H46,'Profile Size'!$A:$B,2,FALSE),0)
  + IFERROR(VLOOKUP($I46,'Ketebalan Material'!$A:$B,2,FALSE),0),
0)</f>
        <v>730000</v>
      </c>
      <c r="O46">
        <f>IF($M46="PER-M",
  IFERROR(
    IF($G46="Hollow",
       INDEX('Referensi Harga'!$C:$C, MATCH($F46 &amp; "|" &amp; $C46, 'Referensi Harga'!$F:$F, 0)),
    IF($G46="Hollow Stainless",
       INDEX('Referensi Harga'!$D:$D, MATCH($F46 &amp; "|" &amp; $C46, 'Referensi Harga'!$F:$F, 0)),
       INDEX('Referensi Harga'!$E:$E, MATCH($F46 &amp; "|" &amp; $C46, 'Referensi Harga'!$F:$F, 0))
    ))
    + IFERROR(VLOOKUP($H46, 'Profile Size'!$A:$B, 2, FALSE), 0)
    + IFERROR(VLOOKUP($I46, 'Ketebalan Material'!$A:$B, 2, FALSE), 0), 0),
0)</f>
        <v>0</v>
      </c>
      <c r="P46" cm="1">
        <f t="array" ref="P46">IF($M46="PER-LUBANG",
  IFERROR(
     _xlfn.IFS(
        $G46="Hollow",
            INDEX('Referensi Harga'!$C:$C,
                  MATCH($F46&amp;$C46,'Referensi Harga'!$A:$A&amp;'Referensi Harga'!$B:$B,0)),
        $G46="Hollow Stainless",
            INDEX('Referensi Harga'!$D:$D,
                  MATCH($F46&amp;$C46,'Referensi Harga'!$A:$A&amp;'Referensi Harga'!$B:$B,0)),
        $G46="Pipa Stainless",
            INDEX('Referensi Harga'!$E:$E,
                  MATCH($F46&amp;$C46,'Referensi Harga'!$A:$A&amp;'Referensi Harga'!$B:$B,0))
     ),0)
  + IFERROR(VLOOKUP($H46,'Profile Size'!$A:$B,2,FALSE),0)
  + IFERROR(VLOOKUP($I46,'Ketebalan Material'!$A:$B,2,FALSE),0),
0)</f>
        <v>0</v>
      </c>
      <c r="Q46">
        <f>IF($M46="PER-M2",
    IFERROR(
        SUMIFS('Upah Tenaga Ahli'!$C:$C,
               'Upah Tenaga Ahli'!$A:$A,"PER-M2",
               'Upah Tenaga Ahli'!$B:$B,$G46
        ) * $J46 * $K46,
    0),
IF($M46="PER-LUBANG",
    IFERROR(
        SUMIFS('Upah Tenaga Ahli'!$D:$D,
               'Upah Tenaga Ahli'!$A:$A,"PER-LUBANG",
               'Upah Tenaga Ahli'!$B:$B,$G46
        ) * $L46 * $K46,
    0),
IF($M46="PER-M",
    IFERROR(
        SUMIFS('Upah Tenaga Ahli'!$E:$E,
               'Upah Tenaga Ahli'!$A:$A,"PER-M",
               'Upah Tenaga Ahli'!$B:$B,$G46
        ) * $J46 * $K46,
    0),
0)))</f>
        <v>2028000</v>
      </c>
      <c r="R46" t="s">
        <v>617</v>
      </c>
      <c r="S46" t="s">
        <v>24</v>
      </c>
      <c r="T46">
        <f>IF($M46="PER-M2",
   ($N46 * $J46 * $K46)
   + IFERROR(VLOOKUP($R46,Finishing!A:B,2,FALSE),0)
   + IFERROR(VLOOKUP($S46,Kerumitan!A:B,2,FALSE),0),
IF($M46="PER-LUBANG",
   ($P46 * $L46 * $K46)
   + IFERROR(VLOOKUP($R46,Finishing!A:B,2,FALSE),0)
   + IFERROR(VLOOKUP($S46,Kerumitan!A:B,2,FALSE),0),
IF($M46="PER-M",
   ($O46 * $J46 * $K46)
   + IFERROR(VLOOKUP($R46,Finishing!A:B,2,FALSE),0)
   + IFERROR(VLOOKUP($S46,Kerumitan!A:B,2,FALSE),0),
0)))</f>
        <v>7502200</v>
      </c>
    </row>
    <row r="47" spans="1:20" x14ac:dyDescent="0.45">
      <c r="A47" t="s">
        <v>114</v>
      </c>
      <c r="B47" s="5">
        <v>44282</v>
      </c>
      <c r="C47">
        <f t="shared" si="0"/>
        <v>2021</v>
      </c>
      <c r="D47" t="s">
        <v>115</v>
      </c>
      <c r="E47" t="s">
        <v>41</v>
      </c>
      <c r="F47" t="s">
        <v>7</v>
      </c>
      <c r="G47" t="s">
        <v>14</v>
      </c>
      <c r="H47" t="s">
        <v>615</v>
      </c>
      <c r="I47">
        <v>1.2</v>
      </c>
      <c r="J47">
        <v>13.53</v>
      </c>
      <c r="K47">
        <v>1</v>
      </c>
      <c r="L47">
        <v>0</v>
      </c>
      <c r="M47" t="str" cm="1">
        <f t="array" ref="M47">_xlfn.IFS(
   OR($F47="Pagar", $F47="Pintu Gerbang", $F47="Pintu Handerson", $F47="Kanopi"), "PER-M2",
   $F47="Teralis", "PER-LUBANG",
   OR($F47="Railing", $F47="Railing/Balkon"), "PER-M",
   TRUE, ""
)</f>
        <v>PER-M2</v>
      </c>
      <c r="N47" cm="1">
        <f t="array" ref="N47">IF($M47="PER-M2",
  IFERROR(
     _xlfn.IFS(
        $G47="Hollow",
            INDEX('Referensi Harga'!$C:$C,
                  MATCH($F47&amp;$C47,'Referensi Harga'!$A:$A&amp;'Referensi Harga'!$B:$B,0)),
        $G47="Hollow Stainless",
            INDEX('Referensi Harga'!$D:$D,
                  MATCH($F47&amp;$C47,'Referensi Harga'!$A:$A&amp;'Referensi Harga'!$B:$B,0)),
        $G47="Pipa Stainless",
            INDEX('Referensi Harga'!$E:$E,
                  MATCH($F47&amp;$C47,'Referensi Harga'!$A:$A&amp;'Referensi Harga'!$B:$B,0))
     ),0)
  + IFERROR(VLOOKUP($H47,'Profile Size'!$A:$B,2,FALSE),0)
  + IFERROR(VLOOKUP($I47,'Ketebalan Material'!$A:$B,2,FALSE),0),
0)</f>
        <v>1250000</v>
      </c>
      <c r="O47">
        <f>IF($M47="PER-M",
  IFERROR(
    IF($G47="Hollow",
       INDEX('Referensi Harga'!$C:$C, MATCH($F47 &amp; "|" &amp; $C47, 'Referensi Harga'!$F:$F, 0)),
    IF($G47="Hollow Stainless",
       INDEX('Referensi Harga'!$D:$D, MATCH($F47 &amp; "|" &amp; $C47, 'Referensi Harga'!$F:$F, 0)),
       INDEX('Referensi Harga'!$E:$E, MATCH($F47 &amp; "|" &amp; $C47, 'Referensi Harga'!$F:$F, 0))
    ))
    + IFERROR(VLOOKUP($H47, 'Profile Size'!$A:$B, 2, FALSE), 0)
    + IFERROR(VLOOKUP($I47, 'Ketebalan Material'!$A:$B, 2, FALSE), 0), 0),
0)</f>
        <v>0</v>
      </c>
      <c r="P47" cm="1">
        <f t="array" ref="P47">IF($M47="PER-LUBANG",
  IFERROR(
     _xlfn.IFS(
        $G47="Hollow",
            INDEX('Referensi Harga'!$C:$C,
                  MATCH($F47&amp;$C47,'Referensi Harga'!$A:$A&amp;'Referensi Harga'!$B:$B,0)),
        $G47="Hollow Stainless",
            INDEX('Referensi Harga'!$D:$D,
                  MATCH($F47&amp;$C47,'Referensi Harga'!$A:$A&amp;'Referensi Harga'!$B:$B,0)),
        $G47="Pipa Stainless",
            INDEX('Referensi Harga'!$E:$E,
                  MATCH($F47&amp;$C47,'Referensi Harga'!$A:$A&amp;'Referensi Harga'!$B:$B,0))
     ),0)
  + IFERROR(VLOOKUP($H47,'Profile Size'!$A:$B,2,FALSE),0)
  + IFERROR(VLOOKUP($I47,'Ketebalan Material'!$A:$B,2,FALSE),0),
0)</f>
        <v>0</v>
      </c>
      <c r="Q47">
        <f>IF($M47="PER-M2",
    IFERROR(
        SUMIFS('Upah Tenaga Ahli'!$C:$C,
               'Upah Tenaga Ahli'!$A:$A,"PER-M2",
               'Upah Tenaga Ahli'!$B:$B,$G47
        ) * $J47 * $K47,
    0),
IF($M47="PER-LUBANG",
    IFERROR(
        SUMIFS('Upah Tenaga Ahli'!$D:$D,
               'Upah Tenaga Ahli'!$A:$A,"PER-LUBANG",
               'Upah Tenaga Ahli'!$B:$B,$G47
        ) * $L47 * $K47,
    0),
IF($M47="PER-M",
    IFERROR(
        SUMIFS('Upah Tenaga Ahli'!$E:$E,
               'Upah Tenaga Ahli'!$A:$A,"PER-M",
               'Upah Tenaga Ahli'!$B:$B,$G47
        ) * $J47 * $K47,
    0),
0)))</f>
        <v>2706000</v>
      </c>
      <c r="R47" t="s">
        <v>617</v>
      </c>
      <c r="S47" t="s">
        <v>24</v>
      </c>
      <c r="T47">
        <f>IF($M47="PER-M2",
   ($N47 * $J47 * $K47)
   + IFERROR(VLOOKUP($R47,Finishing!A:B,2,FALSE),0)
   + IFERROR(VLOOKUP($S47,Kerumitan!A:B,2,FALSE),0),
IF($M47="PER-LUBANG",
   ($P47 * $L47 * $K47)
   + IFERROR(VLOOKUP($R47,Finishing!A:B,2,FALSE),0)
   + IFERROR(VLOOKUP($S47,Kerumitan!A:B,2,FALSE),0),
IF($M47="PER-M",
   ($O47 * $J47 * $K47)
   + IFERROR(VLOOKUP($R47,Finishing!A:B,2,FALSE),0)
   + IFERROR(VLOOKUP($S47,Kerumitan!A:B,2,FALSE),0),
0)))</f>
        <v>17012500</v>
      </c>
    </row>
    <row r="48" spans="1:20" x14ac:dyDescent="0.45">
      <c r="A48" t="s">
        <v>116</v>
      </c>
      <c r="B48" s="5">
        <v>45983</v>
      </c>
      <c r="C48">
        <f t="shared" si="0"/>
        <v>2025</v>
      </c>
      <c r="D48" t="s">
        <v>117</v>
      </c>
      <c r="E48" t="s">
        <v>44</v>
      </c>
      <c r="F48" t="s">
        <v>8</v>
      </c>
      <c r="G48" t="s">
        <v>14</v>
      </c>
      <c r="H48" t="s">
        <v>612</v>
      </c>
      <c r="I48">
        <v>0.8</v>
      </c>
      <c r="J48">
        <v>0</v>
      </c>
      <c r="K48">
        <v>1</v>
      </c>
      <c r="L48">
        <v>17</v>
      </c>
      <c r="M48" t="str" cm="1">
        <f t="array" ref="M48">_xlfn.IFS(
   OR($F48="Pagar", $F48="Pintu Gerbang", $F48="Pintu Handerson", $F48="Kanopi"), "PER-M2",
   $F48="Teralis", "PER-LUBANG",
   OR($F48="Railing", $F48="Railing/Balkon"), "PER-M",
   TRUE, ""
)</f>
        <v>PER-LUBANG</v>
      </c>
      <c r="N48" cm="1">
        <f t="array" ref="N48">IF($M48="PER-M2",
  IFERROR(
     _xlfn.IFS(
        $G48="Hollow",
            INDEX('Referensi Harga'!$C:$C,
                  MATCH($F48&amp;$C48,'Referensi Harga'!$A:$A&amp;'Referensi Harga'!$B:$B,0)),
        $G48="Hollow Stainless",
            INDEX('Referensi Harga'!$D:$D,
                  MATCH($F48&amp;$C48,'Referensi Harga'!$A:$A&amp;'Referensi Harga'!$B:$B,0)),
        $G48="Pipa Stainless",
            INDEX('Referensi Harga'!$E:$E,
                  MATCH($F48&amp;$C48,'Referensi Harga'!$A:$A&amp;'Referensi Harga'!$B:$B,0))
     ),0)
  + IFERROR(VLOOKUP($H48,'Profile Size'!$A:$B,2,FALSE),0)
  + IFERROR(VLOOKUP($I48,'Ketebalan Material'!$A:$B,2,FALSE),0),
0)</f>
        <v>0</v>
      </c>
      <c r="O48">
        <f>IF($M48="PER-M",
  IFERROR(
    IF($G48="Hollow",
       INDEX('Referensi Harga'!$C:$C, MATCH($F48 &amp; "|" &amp; $C48, 'Referensi Harga'!$F:$F, 0)),
    IF($G48="Hollow Stainless",
       INDEX('Referensi Harga'!$D:$D, MATCH($F48 &amp; "|" &amp; $C48, 'Referensi Harga'!$F:$F, 0)),
       INDEX('Referensi Harga'!$E:$E, MATCH($F48 &amp; "|" &amp; $C48, 'Referensi Harga'!$F:$F, 0))
    ))
    + IFERROR(VLOOKUP($H48, 'Profile Size'!$A:$B, 2, FALSE), 0)
    + IFERROR(VLOOKUP($I48, 'Ketebalan Material'!$A:$B, 2, FALSE), 0), 0),
0)</f>
        <v>0</v>
      </c>
      <c r="P48" cm="1">
        <f t="array" ref="P48">IF($M48="PER-LUBANG",
  IFERROR(
     _xlfn.IFS(
        $G48="Hollow",
            INDEX('Referensi Harga'!$C:$C,
                  MATCH($F48&amp;$C48,'Referensi Harga'!$A:$A&amp;'Referensi Harga'!$B:$B,0)),
        $G48="Hollow Stainless",
            INDEX('Referensi Harga'!$D:$D,
                  MATCH($F48&amp;$C48,'Referensi Harga'!$A:$A&amp;'Referensi Harga'!$B:$B,0)),
        $G48="Pipa Stainless",
            INDEX('Referensi Harga'!$E:$E,
                  MATCH($F48&amp;$C48,'Referensi Harga'!$A:$A&amp;'Referensi Harga'!$B:$B,0))
     ),0)
  + IFERROR(VLOOKUP($H48,'Profile Size'!$A:$B,2,FALSE),0)
  + IFERROR(VLOOKUP($I48,'Ketebalan Material'!$A:$B,2,FALSE),0),
0)</f>
        <v>700000</v>
      </c>
      <c r="Q48">
        <f>IF($M48="PER-M2",
    IFERROR(
        SUMIFS('Upah Tenaga Ahli'!$C:$C,
               'Upah Tenaga Ahli'!$A:$A,"PER-M2",
               'Upah Tenaga Ahli'!$B:$B,$G48
        ) * $J48 * $K48,
    0),
IF($M48="PER-LUBANG",
    IFERROR(
        SUMIFS('Upah Tenaga Ahli'!$D:$D,
               'Upah Tenaga Ahli'!$A:$A,"PER-LUBANG",
               'Upah Tenaga Ahli'!$B:$B,$G48
        ) * $L48 * $K48,
    0),
IF($M48="PER-M",
    IFERROR(
        SUMIFS('Upah Tenaga Ahli'!$E:$E,
               'Upah Tenaga Ahli'!$A:$A,"PER-M",
               'Upah Tenaga Ahli'!$B:$B,$G48
        ) * $J48 * $K48,
    0),
0)))</f>
        <v>2550000</v>
      </c>
      <c r="R48" t="s">
        <v>617</v>
      </c>
      <c r="S48" t="s">
        <v>24</v>
      </c>
      <c r="T48">
        <f>IF($M48="PER-M2",
   ($N48 * $J48 * $K48)
   + IFERROR(VLOOKUP($R48,Finishing!A:B,2,FALSE),0)
   + IFERROR(VLOOKUP($S48,Kerumitan!A:B,2,FALSE),0),
IF($M48="PER-LUBANG",
   ($P48 * $L48 * $K48)
   + IFERROR(VLOOKUP($R48,Finishing!A:B,2,FALSE),0)
   + IFERROR(VLOOKUP($S48,Kerumitan!A:B,2,FALSE),0),
IF($M48="PER-M",
   ($O48 * $J48 * $K48)
   + IFERROR(VLOOKUP($R48,Finishing!A:B,2,FALSE),0)
   + IFERROR(VLOOKUP($S48,Kerumitan!A:B,2,FALSE),0),
0)))</f>
        <v>12000000</v>
      </c>
    </row>
    <row r="49" spans="1:20" x14ac:dyDescent="0.45">
      <c r="A49" t="s">
        <v>118</v>
      </c>
      <c r="B49" s="5">
        <v>45924</v>
      </c>
      <c r="C49">
        <f t="shared" si="0"/>
        <v>2025</v>
      </c>
      <c r="D49" t="s">
        <v>40</v>
      </c>
      <c r="E49" t="s">
        <v>28</v>
      </c>
      <c r="F49" t="s">
        <v>10</v>
      </c>
      <c r="G49" t="s">
        <v>15</v>
      </c>
      <c r="H49" t="s">
        <v>46</v>
      </c>
      <c r="I49">
        <v>0.8</v>
      </c>
      <c r="J49">
        <v>4.92</v>
      </c>
      <c r="K49">
        <v>1</v>
      </c>
      <c r="L49">
        <v>0</v>
      </c>
      <c r="M49" t="str" cm="1">
        <f t="array" ref="M49">_xlfn.IFS(
   OR($F49="Pagar", $F49="Pintu Gerbang", $F49="Pintu Handerson", $F49="Kanopi"), "PER-M2",
   $F49="Teralis", "PER-LUBANG",
   OR($F49="Railing", $F49="Railing/Balkon"), "PER-M",
   TRUE, ""
)</f>
        <v>PER-M2</v>
      </c>
      <c r="N49" cm="1">
        <f t="array" ref="N49">IF($M49="PER-M2",
  IFERROR(
     _xlfn.IFS(
        $G49="Hollow",
            INDEX('Referensi Harga'!$C:$C,
                  MATCH($F49&amp;$C49,'Referensi Harga'!$A:$A&amp;'Referensi Harga'!$B:$B,0)),
        $G49="Hollow Stainless",
            INDEX('Referensi Harga'!$D:$D,
                  MATCH($F49&amp;$C49,'Referensi Harga'!$A:$A&amp;'Referensi Harga'!$B:$B,0)),
        $G49="Pipa Stainless",
            INDEX('Referensi Harga'!$E:$E,
                  MATCH($F49&amp;$C49,'Referensi Harga'!$A:$A&amp;'Referensi Harga'!$B:$B,0))
     ),0)
  + IFERROR(VLOOKUP($H49,'Profile Size'!$A:$B,2,FALSE),0)
  + IFERROR(VLOOKUP($I49,'Ketebalan Material'!$A:$B,2,FALSE),0),
0)</f>
        <v>1750000</v>
      </c>
      <c r="O49">
        <f>IF($M49="PER-M",
  IFERROR(
    IF($G49="Hollow",
       INDEX('Referensi Harga'!$C:$C, MATCH($F49 &amp; "|" &amp; $C49, 'Referensi Harga'!$F:$F, 0)),
    IF($G49="Hollow Stainless",
       INDEX('Referensi Harga'!$D:$D, MATCH($F49 &amp; "|" &amp; $C49, 'Referensi Harga'!$F:$F, 0)),
       INDEX('Referensi Harga'!$E:$E, MATCH($F49 &amp; "|" &amp; $C49, 'Referensi Harga'!$F:$F, 0))
    ))
    + IFERROR(VLOOKUP($H49, 'Profile Size'!$A:$B, 2, FALSE), 0)
    + IFERROR(VLOOKUP($I49, 'Ketebalan Material'!$A:$B, 2, FALSE), 0), 0),
0)</f>
        <v>0</v>
      </c>
      <c r="P49" cm="1">
        <f t="array" ref="P49">IF($M49="PER-LUBANG",
  IFERROR(
     _xlfn.IFS(
        $G49="Hollow",
            INDEX('Referensi Harga'!$C:$C,
                  MATCH($F49&amp;$C49,'Referensi Harga'!$A:$A&amp;'Referensi Harga'!$B:$B,0)),
        $G49="Hollow Stainless",
            INDEX('Referensi Harga'!$D:$D,
                  MATCH($F49&amp;$C49,'Referensi Harga'!$A:$A&amp;'Referensi Harga'!$B:$B,0)),
        $G49="Pipa Stainless",
            INDEX('Referensi Harga'!$E:$E,
                  MATCH($F49&amp;$C49,'Referensi Harga'!$A:$A&amp;'Referensi Harga'!$B:$B,0))
     ),0)
  + IFERROR(VLOOKUP($H49,'Profile Size'!$A:$B,2,FALSE),0)
  + IFERROR(VLOOKUP($I49,'Ketebalan Material'!$A:$B,2,FALSE),0),
0)</f>
        <v>0</v>
      </c>
      <c r="Q49">
        <f>IF($M49="PER-M2",
    IFERROR(
        SUMIFS('Upah Tenaga Ahli'!$C:$C,
               'Upah Tenaga Ahli'!$A:$A,"PER-M2",
               'Upah Tenaga Ahli'!$B:$B,$G49
        ) * $J49 * $K49,
    0),
IF($M49="PER-LUBANG",
    IFERROR(
        SUMIFS('Upah Tenaga Ahli'!$D:$D,
               'Upah Tenaga Ahli'!$A:$A,"PER-LUBANG",
               'Upah Tenaga Ahli'!$B:$B,$G49
        ) * $L49 * $K49,
    0),
IF($M49="PER-M",
    IFERROR(
        SUMIFS('Upah Tenaga Ahli'!$E:$E,
               'Upah Tenaga Ahli'!$A:$A,"PER-M",
               'Upah Tenaga Ahli'!$B:$B,$G49
        ) * $J49 * $K49,
    0),
0)))</f>
        <v>738000</v>
      </c>
      <c r="R49" t="s">
        <v>617</v>
      </c>
      <c r="S49" t="s">
        <v>23</v>
      </c>
      <c r="T49">
        <f>IF($M49="PER-M2",
   ($N49 * $J49 * $K49)
   + IFERROR(VLOOKUP($R49,Finishing!A:B,2,FALSE),0)
   + IFERROR(VLOOKUP($S49,Kerumitan!A:B,2,FALSE),0),
IF($M49="PER-LUBANG",
   ($P49 * $L49 * $K49)
   + IFERROR(VLOOKUP($R49,Finishing!A:B,2,FALSE),0)
   + IFERROR(VLOOKUP($S49,Kerumitan!A:B,2,FALSE),0),
IF($M49="PER-M",
   ($O49 * $J49 * $K49)
   + IFERROR(VLOOKUP($R49,Finishing!A:B,2,FALSE),0)
   + IFERROR(VLOOKUP($S49,Kerumitan!A:B,2,FALSE),0),
0)))</f>
        <v>8610000</v>
      </c>
    </row>
    <row r="50" spans="1:20" x14ac:dyDescent="0.45">
      <c r="A50" t="s">
        <v>119</v>
      </c>
      <c r="B50" s="5">
        <v>45641</v>
      </c>
      <c r="C50">
        <f t="shared" si="0"/>
        <v>2024</v>
      </c>
      <c r="D50" t="s">
        <v>71</v>
      </c>
      <c r="E50" t="s">
        <v>57</v>
      </c>
      <c r="F50" t="s">
        <v>6</v>
      </c>
      <c r="G50" t="s">
        <v>13</v>
      </c>
      <c r="H50" t="s">
        <v>46</v>
      </c>
      <c r="I50">
        <v>1</v>
      </c>
      <c r="J50">
        <v>11.28</v>
      </c>
      <c r="K50">
        <v>1</v>
      </c>
      <c r="L50">
        <v>0</v>
      </c>
      <c r="M50" t="str" cm="1">
        <f t="array" ref="M50">_xlfn.IFS(
   OR($F50="Pagar", $F50="Pintu Gerbang", $F50="Pintu Handerson", $F50="Kanopi"), "PER-M2",
   $F50="Teralis", "PER-LUBANG",
   OR($F50="Railing", $F50="Railing/Balkon"), "PER-M",
   TRUE, ""
)</f>
        <v>PER-M2</v>
      </c>
      <c r="N50" cm="1">
        <f t="array" ref="N50">IF($M50="PER-M2",
  IFERROR(
     _xlfn.IFS(
        $G50="Hollow",
            INDEX('Referensi Harga'!$C:$C,
                  MATCH($F50&amp;$C50,'Referensi Harga'!$A:$A&amp;'Referensi Harga'!$B:$B,0)),
        $G50="Hollow Stainless",
            INDEX('Referensi Harga'!$D:$D,
                  MATCH($F50&amp;$C50,'Referensi Harga'!$A:$A&amp;'Referensi Harga'!$B:$B,0)),
        $G50="Pipa Stainless",
            INDEX('Referensi Harga'!$E:$E,
                  MATCH($F50&amp;$C50,'Referensi Harga'!$A:$A&amp;'Referensi Harga'!$B:$B,0))
     ),0)
  + IFERROR(VLOOKUP($H50,'Profile Size'!$A:$B,2,FALSE),0)
  + IFERROR(VLOOKUP($I50,'Ketebalan Material'!$A:$B,2,FALSE),0),
0)</f>
        <v>550000</v>
      </c>
      <c r="O50">
        <f>IF($M50="PER-M",
  IFERROR(
    IF($G50="Hollow",
       INDEX('Referensi Harga'!$C:$C, MATCH($F50 &amp; "|" &amp; $C50, 'Referensi Harga'!$F:$F, 0)),
    IF($G50="Hollow Stainless",
       INDEX('Referensi Harga'!$D:$D, MATCH($F50 &amp; "|" &amp; $C50, 'Referensi Harga'!$F:$F, 0)),
       INDEX('Referensi Harga'!$E:$E, MATCH($F50 &amp; "|" &amp; $C50, 'Referensi Harga'!$F:$F, 0))
    ))
    + IFERROR(VLOOKUP($H50, 'Profile Size'!$A:$B, 2, FALSE), 0)
    + IFERROR(VLOOKUP($I50, 'Ketebalan Material'!$A:$B, 2, FALSE), 0), 0),
0)</f>
        <v>0</v>
      </c>
      <c r="P50" cm="1">
        <f t="array" ref="P50">IF($M50="PER-LUBANG",
  IFERROR(
     _xlfn.IFS(
        $G50="Hollow",
            INDEX('Referensi Harga'!$C:$C,
                  MATCH($F50&amp;$C50,'Referensi Harga'!$A:$A&amp;'Referensi Harga'!$B:$B,0)),
        $G50="Hollow Stainless",
            INDEX('Referensi Harga'!$D:$D,
                  MATCH($F50&amp;$C50,'Referensi Harga'!$A:$A&amp;'Referensi Harga'!$B:$B,0)),
        $G50="Pipa Stainless",
            INDEX('Referensi Harga'!$E:$E,
                  MATCH($F50&amp;$C50,'Referensi Harga'!$A:$A&amp;'Referensi Harga'!$B:$B,0))
     ),0)
  + IFERROR(VLOOKUP($H50,'Profile Size'!$A:$B,2,FALSE),0)
  + IFERROR(VLOOKUP($I50,'Ketebalan Material'!$A:$B,2,FALSE),0),
0)</f>
        <v>0</v>
      </c>
      <c r="Q50">
        <f>IF($M50="PER-M2",
    IFERROR(
        SUMIFS('Upah Tenaga Ahli'!$C:$C,
               'Upah Tenaga Ahli'!$A:$A,"PER-M2",
               'Upah Tenaga Ahli'!$B:$B,$G50
        ) * $J50 * $K50,
    0),
IF($M50="PER-LUBANG",
    IFERROR(
        SUMIFS('Upah Tenaga Ahli'!$D:$D,
               'Upah Tenaga Ahli'!$A:$A,"PER-LUBANG",
               'Upah Tenaga Ahli'!$B:$B,$G50
        ) * $L50 * $K50,
    0),
IF($M50="PER-M",
    IFERROR(
        SUMIFS('Upah Tenaga Ahli'!$E:$E,
               'Upah Tenaga Ahli'!$A:$A,"PER-M",
               'Upah Tenaga Ahli'!$B:$B,$G50
        ) * $J50 * $K50,
    0),
0)))</f>
        <v>1128000</v>
      </c>
      <c r="R50" t="s">
        <v>19</v>
      </c>
      <c r="S50" t="s">
        <v>24</v>
      </c>
      <c r="T50">
        <f>IF($M50="PER-M2",
   ($N50 * $J50 * $K50)
   + IFERROR(VLOOKUP($R50,Finishing!A:B,2,FALSE),0)
   + IFERROR(VLOOKUP($S50,Kerumitan!A:B,2,FALSE),0),
IF($M50="PER-LUBANG",
   ($P50 * $L50 * $K50)
   + IFERROR(VLOOKUP($R50,Finishing!A:B,2,FALSE),0)
   + IFERROR(VLOOKUP($S50,Kerumitan!A:B,2,FALSE),0),
IF($M50="PER-M",
   ($O50 * $J50 * $K50)
   + IFERROR(VLOOKUP($R50,Finishing!A:B,2,FALSE),0)
   + IFERROR(VLOOKUP($S50,Kerumitan!A:B,2,FALSE),0),
0)))</f>
        <v>6354000</v>
      </c>
    </row>
    <row r="51" spans="1:20" x14ac:dyDescent="0.45">
      <c r="A51" t="s">
        <v>120</v>
      </c>
      <c r="B51" s="5">
        <v>45404</v>
      </c>
      <c r="C51">
        <f t="shared" si="0"/>
        <v>2024</v>
      </c>
      <c r="D51" t="s">
        <v>27</v>
      </c>
      <c r="E51" t="s">
        <v>121</v>
      </c>
      <c r="F51" t="s">
        <v>625</v>
      </c>
      <c r="G51" t="s">
        <v>15</v>
      </c>
      <c r="H51" t="s">
        <v>33</v>
      </c>
      <c r="I51">
        <v>1</v>
      </c>
      <c r="J51">
        <v>6</v>
      </c>
      <c r="K51">
        <v>2</v>
      </c>
      <c r="L51">
        <v>0</v>
      </c>
      <c r="M51" t="str" cm="1">
        <f t="array" ref="M51">_xlfn.IFS(
   OR($F51="Pagar", $F51="Pintu Gerbang", $F51="Pintu Handerson", $F51="Kanopi"), "PER-M2",
   $F51="Teralis", "PER-LUBANG",
   OR($F51="Railing", $F51="Railing/Balkon"), "PER-M",
   TRUE, ""
)</f>
        <v>PER-M</v>
      </c>
      <c r="N51" cm="1">
        <f t="array" ref="N51">IF($M51="PER-M2",
  IFERROR(
     _xlfn.IFS(
        $G51="Hollow",
            INDEX('Referensi Harga'!$C:$C,
                  MATCH($F51&amp;$C51,'Referensi Harga'!$A:$A&amp;'Referensi Harga'!$B:$B,0)),
        $G51="Hollow Stainless",
            INDEX('Referensi Harga'!$D:$D,
                  MATCH($F51&amp;$C51,'Referensi Harga'!$A:$A&amp;'Referensi Harga'!$B:$B,0)),
        $G51="Pipa Stainless",
            INDEX('Referensi Harga'!$E:$E,
                  MATCH($F51&amp;$C51,'Referensi Harga'!$A:$A&amp;'Referensi Harga'!$B:$B,0))
     ),0)
  + IFERROR(VLOOKUP($H51,'Profile Size'!$A:$B,2,FALSE),0)
  + IFERROR(VLOOKUP($I51,'Ketebalan Material'!$A:$B,2,FALSE),0),
0)</f>
        <v>0</v>
      </c>
      <c r="O51">
        <f>IF($M51="PER-M",
  IFERROR(
    IF($G51="Hollow",
       INDEX('Referensi Harga'!$C:$C, MATCH($F51 &amp; "|" &amp; $C51, 'Referensi Harga'!$F:$F, 0)),
    IF($G51="Hollow Stainless",
       INDEX('Referensi Harga'!$D:$D, MATCH($F51 &amp; "|" &amp; $C51, 'Referensi Harga'!$F:$F, 0)),
       INDEX('Referensi Harga'!$E:$E, MATCH($F51 &amp; "|" &amp; $C51, 'Referensi Harga'!$F:$F, 0))
    ))
    + IFERROR(VLOOKUP($H51, 'Profile Size'!$A:$B, 2, FALSE), 0)
    + IFERROR(VLOOKUP($I51, 'Ketebalan Material'!$A:$B, 2, FALSE), 0), 0),
0)</f>
        <v>1230000</v>
      </c>
      <c r="P51" cm="1">
        <f t="array" ref="P51">IF($M51="PER-LUBANG",
  IFERROR(
     _xlfn.IFS(
        $G51="Hollow",
            INDEX('Referensi Harga'!$C:$C,
                  MATCH($F51&amp;$C51,'Referensi Harga'!$A:$A&amp;'Referensi Harga'!$B:$B,0)),
        $G51="Hollow Stainless",
            INDEX('Referensi Harga'!$D:$D,
                  MATCH($F51&amp;$C51,'Referensi Harga'!$A:$A&amp;'Referensi Harga'!$B:$B,0)),
        $G51="Pipa Stainless",
            INDEX('Referensi Harga'!$E:$E,
                  MATCH($F51&amp;$C51,'Referensi Harga'!$A:$A&amp;'Referensi Harga'!$B:$B,0))
     ),0)
  + IFERROR(VLOOKUP($H51,'Profile Size'!$A:$B,2,FALSE),0)
  + IFERROR(VLOOKUP($I51,'Ketebalan Material'!$A:$B,2,FALSE),0),
0)</f>
        <v>0</v>
      </c>
      <c r="Q51">
        <f>IF($M51="PER-M2",
    IFERROR(
        SUMIFS('Upah Tenaga Ahli'!$C:$C,
               'Upah Tenaga Ahli'!$A:$A,"PER-M2",
               'Upah Tenaga Ahli'!$B:$B,$G51
        ) * $J51 * $K51,
    0),
IF($M51="PER-LUBANG",
    IFERROR(
        SUMIFS('Upah Tenaga Ahli'!$D:$D,
               'Upah Tenaga Ahli'!$A:$A,"PER-LUBANG",
               'Upah Tenaga Ahli'!$B:$B,$G51
        ) * $L51 * $K51,
    0),
IF($M51="PER-M",
    IFERROR(
        SUMIFS('Upah Tenaga Ahli'!$E:$E,
               'Upah Tenaga Ahli'!$A:$A,"PER-M",
               'Upah Tenaga Ahli'!$B:$B,$G51
        ) * $J51 * $K51,
    0),
0)))</f>
        <v>1800000</v>
      </c>
      <c r="R51" t="s">
        <v>617</v>
      </c>
      <c r="S51" t="s">
        <v>23</v>
      </c>
      <c r="T51">
        <f>IF($M51="PER-M2",
   ($N51 * $J51 * $K51)
   + IFERROR(VLOOKUP($R51,Finishing!A:B,2,FALSE),0)
   + IFERROR(VLOOKUP($S51,Kerumitan!A:B,2,FALSE),0),
IF($M51="PER-LUBANG",
   ($P51 * $L51 * $K51)
   + IFERROR(VLOOKUP($R51,Finishing!A:B,2,FALSE),0)
   + IFERROR(VLOOKUP($S51,Kerumitan!A:B,2,FALSE),0),
IF($M51="PER-M",
   ($O51 * $J51 * $K51)
   + IFERROR(VLOOKUP($R51,Finishing!A:B,2,FALSE),0)
   + IFERROR(VLOOKUP($S51,Kerumitan!A:B,2,FALSE),0),
0)))</f>
        <v>14760000</v>
      </c>
    </row>
    <row r="52" spans="1:20" x14ac:dyDescent="0.45">
      <c r="A52" t="s">
        <v>122</v>
      </c>
      <c r="B52" s="5">
        <v>44787</v>
      </c>
      <c r="C52">
        <f t="shared" si="0"/>
        <v>2022</v>
      </c>
      <c r="D52" t="s">
        <v>123</v>
      </c>
      <c r="E52" t="s">
        <v>38</v>
      </c>
      <c r="F52" t="s">
        <v>7</v>
      </c>
      <c r="G52" t="s">
        <v>15</v>
      </c>
      <c r="H52" t="s">
        <v>33</v>
      </c>
      <c r="I52">
        <v>1.2</v>
      </c>
      <c r="J52">
        <v>13.52</v>
      </c>
      <c r="K52">
        <v>1</v>
      </c>
      <c r="L52">
        <v>0</v>
      </c>
      <c r="M52" t="str" cm="1">
        <f t="array" ref="M52">_xlfn.IFS(
   OR($F52="Pagar", $F52="Pintu Gerbang", $F52="Pintu Handerson", $F52="Kanopi"), "PER-M2",
   $F52="Teralis", "PER-LUBANG",
   OR($F52="Railing", $F52="Railing/Balkon"), "PER-M",
   TRUE, ""
)</f>
        <v>PER-M2</v>
      </c>
      <c r="N52" cm="1">
        <f t="array" ref="N52">IF($M52="PER-M2",
  IFERROR(
     _xlfn.IFS(
        $G52="Hollow",
            INDEX('Referensi Harga'!$C:$C,
                  MATCH($F52&amp;$C52,'Referensi Harga'!$A:$A&amp;'Referensi Harga'!$B:$B,0)),
        $G52="Hollow Stainless",
            INDEX('Referensi Harga'!$D:$D,
                  MATCH($F52&amp;$C52,'Referensi Harga'!$A:$A&amp;'Referensi Harga'!$B:$B,0)),
        $G52="Pipa Stainless",
            INDEX('Referensi Harga'!$E:$E,
                  MATCH($F52&amp;$C52,'Referensi Harga'!$A:$A&amp;'Referensi Harga'!$B:$B,0))
     ),0)
  + IFERROR(VLOOKUP($H52,'Profile Size'!$A:$B,2,FALSE),0)
  + IFERROR(VLOOKUP($I52,'Ketebalan Material'!$A:$B,2,FALSE),0),
0)</f>
        <v>1350000</v>
      </c>
      <c r="O52">
        <f>IF($M52="PER-M",
  IFERROR(
    IF($G52="Hollow",
       INDEX('Referensi Harga'!$C:$C, MATCH($F52 &amp; "|" &amp; $C52, 'Referensi Harga'!$F:$F, 0)),
    IF($G52="Hollow Stainless",
       INDEX('Referensi Harga'!$D:$D, MATCH($F52 &amp; "|" &amp; $C52, 'Referensi Harga'!$F:$F, 0)),
       INDEX('Referensi Harga'!$E:$E, MATCH($F52 &amp; "|" &amp; $C52, 'Referensi Harga'!$F:$F, 0))
    ))
    + IFERROR(VLOOKUP($H52, 'Profile Size'!$A:$B, 2, FALSE), 0)
    + IFERROR(VLOOKUP($I52, 'Ketebalan Material'!$A:$B, 2, FALSE), 0), 0),
0)</f>
        <v>0</v>
      </c>
      <c r="P52" cm="1">
        <f t="array" ref="P52">IF($M52="PER-LUBANG",
  IFERROR(
     _xlfn.IFS(
        $G52="Hollow",
            INDEX('Referensi Harga'!$C:$C,
                  MATCH($F52&amp;$C52,'Referensi Harga'!$A:$A&amp;'Referensi Harga'!$B:$B,0)),
        $G52="Hollow Stainless",
            INDEX('Referensi Harga'!$D:$D,
                  MATCH($F52&amp;$C52,'Referensi Harga'!$A:$A&amp;'Referensi Harga'!$B:$B,0)),
        $G52="Pipa Stainless",
            INDEX('Referensi Harga'!$E:$E,
                  MATCH($F52&amp;$C52,'Referensi Harga'!$A:$A&amp;'Referensi Harga'!$B:$B,0))
     ),0)
  + IFERROR(VLOOKUP($H52,'Profile Size'!$A:$B,2,FALSE),0)
  + IFERROR(VLOOKUP($I52,'Ketebalan Material'!$A:$B,2,FALSE),0),
0)</f>
        <v>0</v>
      </c>
      <c r="Q52">
        <f>IF($M52="PER-M2",
    IFERROR(
        SUMIFS('Upah Tenaga Ahli'!$C:$C,
               'Upah Tenaga Ahli'!$A:$A,"PER-M2",
               'Upah Tenaga Ahli'!$B:$B,$G52
        ) * $J52 * $K52,
    0),
IF($M52="PER-LUBANG",
    IFERROR(
        SUMIFS('Upah Tenaga Ahli'!$D:$D,
               'Upah Tenaga Ahli'!$A:$A,"PER-LUBANG",
               'Upah Tenaga Ahli'!$B:$B,$G52
        ) * $L52 * $K52,
    0),
IF($M52="PER-M",
    IFERROR(
        SUMIFS('Upah Tenaga Ahli'!$E:$E,
               'Upah Tenaga Ahli'!$A:$A,"PER-M",
               'Upah Tenaga Ahli'!$B:$B,$G52
        ) * $J52 * $K52,
    0),
0)))</f>
        <v>2028000</v>
      </c>
      <c r="R52" t="s">
        <v>617</v>
      </c>
      <c r="S52" t="s">
        <v>23</v>
      </c>
      <c r="T52">
        <f>IF($M52="PER-M2",
   ($N52 * $J52 * $K52)
   + IFERROR(VLOOKUP($R52,Finishing!A:B,2,FALSE),0)
   + IFERROR(VLOOKUP($S52,Kerumitan!A:B,2,FALSE),0),
IF($M52="PER-LUBANG",
   ($P52 * $L52 * $K52)
   + IFERROR(VLOOKUP($R52,Finishing!A:B,2,FALSE),0)
   + IFERROR(VLOOKUP($S52,Kerumitan!A:B,2,FALSE),0),
IF($M52="PER-M",
   ($O52 * $J52 * $K52)
   + IFERROR(VLOOKUP($R52,Finishing!A:B,2,FALSE),0)
   + IFERROR(VLOOKUP($S52,Kerumitan!A:B,2,FALSE),0),
0)))</f>
        <v>18252000</v>
      </c>
    </row>
    <row r="53" spans="1:20" x14ac:dyDescent="0.45">
      <c r="A53" t="s">
        <v>124</v>
      </c>
      <c r="B53" s="5">
        <v>43726</v>
      </c>
      <c r="C53">
        <f t="shared" si="0"/>
        <v>2019</v>
      </c>
      <c r="D53" t="s">
        <v>59</v>
      </c>
      <c r="E53" t="s">
        <v>28</v>
      </c>
      <c r="F53" t="s">
        <v>4</v>
      </c>
      <c r="G53" t="s">
        <v>14</v>
      </c>
      <c r="H53" t="s">
        <v>615</v>
      </c>
      <c r="I53">
        <v>1.2</v>
      </c>
      <c r="J53">
        <v>14.59</v>
      </c>
      <c r="K53">
        <v>1</v>
      </c>
      <c r="L53">
        <v>0</v>
      </c>
      <c r="M53" t="str" cm="1">
        <f t="array" ref="M53">_xlfn.IFS(
   OR($F53="Pagar", $F53="Pintu Gerbang", $F53="Pintu Handerson", $F53="Kanopi"), "PER-M2",
   $F53="Teralis", "PER-LUBANG",
   OR($F53="Railing", $F53="Railing/Balkon"), "PER-M",
   TRUE, ""
)</f>
        <v>PER-M2</v>
      </c>
      <c r="N53" cm="1">
        <f t="array" ref="N53">IF($M53="PER-M2",
  IFERROR(
     _xlfn.IFS(
        $G53="Hollow",
            INDEX('Referensi Harga'!$C:$C,
                  MATCH($F53&amp;$C53,'Referensi Harga'!$A:$A&amp;'Referensi Harga'!$B:$B,0)),
        $G53="Hollow Stainless",
            INDEX('Referensi Harga'!$D:$D,
                  MATCH($F53&amp;$C53,'Referensi Harga'!$A:$A&amp;'Referensi Harga'!$B:$B,0)),
        $G53="Pipa Stainless",
            INDEX('Referensi Harga'!$E:$E,
                  MATCH($F53&amp;$C53,'Referensi Harga'!$A:$A&amp;'Referensi Harga'!$B:$B,0))
     ),0)
  + IFERROR(VLOOKUP($H53,'Profile Size'!$A:$B,2,FALSE),0)
  + IFERROR(VLOOKUP($I53,'Ketebalan Material'!$A:$B,2,FALSE),0),
0)</f>
        <v>1050000</v>
      </c>
      <c r="O53">
        <f>IF($M53="PER-M",
  IFERROR(
    IF($G53="Hollow",
       INDEX('Referensi Harga'!$C:$C, MATCH($F53 &amp; "|" &amp; $C53, 'Referensi Harga'!$F:$F, 0)),
    IF($G53="Hollow Stainless",
       INDEX('Referensi Harga'!$D:$D, MATCH($F53 &amp; "|" &amp; $C53, 'Referensi Harga'!$F:$F, 0)),
       INDEX('Referensi Harga'!$E:$E, MATCH($F53 &amp; "|" &amp; $C53, 'Referensi Harga'!$F:$F, 0))
    ))
    + IFERROR(VLOOKUP($H53, 'Profile Size'!$A:$B, 2, FALSE), 0)
    + IFERROR(VLOOKUP($I53, 'Ketebalan Material'!$A:$B, 2, FALSE), 0), 0),
0)</f>
        <v>0</v>
      </c>
      <c r="P53" cm="1">
        <f t="array" ref="P53">IF($M53="PER-LUBANG",
  IFERROR(
     _xlfn.IFS(
        $G53="Hollow",
            INDEX('Referensi Harga'!$C:$C,
                  MATCH($F53&amp;$C53,'Referensi Harga'!$A:$A&amp;'Referensi Harga'!$B:$B,0)),
        $G53="Hollow Stainless",
            INDEX('Referensi Harga'!$D:$D,
                  MATCH($F53&amp;$C53,'Referensi Harga'!$A:$A&amp;'Referensi Harga'!$B:$B,0)),
        $G53="Pipa Stainless",
            INDEX('Referensi Harga'!$E:$E,
                  MATCH($F53&amp;$C53,'Referensi Harga'!$A:$A&amp;'Referensi Harga'!$B:$B,0))
     ),0)
  + IFERROR(VLOOKUP($H53,'Profile Size'!$A:$B,2,FALSE),0)
  + IFERROR(VLOOKUP($I53,'Ketebalan Material'!$A:$B,2,FALSE),0),
0)</f>
        <v>0</v>
      </c>
      <c r="Q53">
        <f>IF($M53="PER-M2",
    IFERROR(
        SUMIFS('Upah Tenaga Ahli'!$C:$C,
               'Upah Tenaga Ahli'!$A:$A,"PER-M2",
               'Upah Tenaga Ahli'!$B:$B,$G53
        ) * $J53 * $K53,
    0),
IF($M53="PER-LUBANG",
    IFERROR(
        SUMIFS('Upah Tenaga Ahli'!$D:$D,
               'Upah Tenaga Ahli'!$A:$A,"PER-LUBANG",
               'Upah Tenaga Ahli'!$B:$B,$G53
        ) * $L53 * $K53,
    0),
IF($M53="PER-M",
    IFERROR(
        SUMIFS('Upah Tenaga Ahli'!$E:$E,
               'Upah Tenaga Ahli'!$A:$A,"PER-M",
               'Upah Tenaga Ahli'!$B:$B,$G53
        ) * $J53 * $K53,
    0),
0)))</f>
        <v>2918000</v>
      </c>
      <c r="R53" t="s">
        <v>617</v>
      </c>
      <c r="S53" t="s">
        <v>24</v>
      </c>
      <c r="T53">
        <f>IF($M53="PER-M2",
   ($N53 * $J53 * $K53)
   + IFERROR(VLOOKUP($R53,Finishing!A:B,2,FALSE),0)
   + IFERROR(VLOOKUP($S53,Kerumitan!A:B,2,FALSE),0),
IF($M53="PER-LUBANG",
   ($P53 * $L53 * $K53)
   + IFERROR(VLOOKUP($R53,Finishing!A:B,2,FALSE),0)
   + IFERROR(VLOOKUP($S53,Kerumitan!A:B,2,FALSE),0),
IF($M53="PER-M",
   ($O53 * $J53 * $K53)
   + IFERROR(VLOOKUP($R53,Finishing!A:B,2,FALSE),0)
   + IFERROR(VLOOKUP($S53,Kerumitan!A:B,2,FALSE),0),
0)))</f>
        <v>15419500</v>
      </c>
    </row>
    <row r="54" spans="1:20" x14ac:dyDescent="0.45">
      <c r="A54" t="s">
        <v>125</v>
      </c>
      <c r="B54" s="5">
        <v>43517</v>
      </c>
      <c r="C54">
        <f t="shared" si="0"/>
        <v>2019</v>
      </c>
      <c r="D54" t="s">
        <v>126</v>
      </c>
      <c r="E54" t="s">
        <v>108</v>
      </c>
      <c r="F54" t="s">
        <v>10</v>
      </c>
      <c r="G54" t="s">
        <v>14</v>
      </c>
      <c r="H54" t="s">
        <v>615</v>
      </c>
      <c r="I54">
        <v>0.8</v>
      </c>
      <c r="J54">
        <v>4.1100000000000003</v>
      </c>
      <c r="K54">
        <v>1</v>
      </c>
      <c r="L54">
        <v>0</v>
      </c>
      <c r="M54" t="str" cm="1">
        <f t="array" ref="M54">_xlfn.IFS(
   OR($F54="Pagar", $F54="Pintu Gerbang", $F54="Pintu Handerson", $F54="Kanopi"), "PER-M2",
   $F54="Teralis", "PER-LUBANG",
   OR($F54="Railing", $F54="Railing/Balkon"), "PER-M",
   TRUE, ""
)</f>
        <v>PER-M2</v>
      </c>
      <c r="N54" cm="1">
        <f t="array" ref="N54">IF($M54="PER-M2",
  IFERROR(
     _xlfn.IFS(
        $G54="Hollow",
            INDEX('Referensi Harga'!$C:$C,
                  MATCH($F54&amp;$C54,'Referensi Harga'!$A:$A&amp;'Referensi Harga'!$B:$B,0)),
        $G54="Hollow Stainless",
            INDEX('Referensi Harga'!$D:$D,
                  MATCH($F54&amp;$C54,'Referensi Harga'!$A:$A&amp;'Referensi Harga'!$B:$B,0)),
        $G54="Pipa Stainless",
            INDEX('Referensi Harga'!$E:$E,
                  MATCH($F54&amp;$C54,'Referensi Harga'!$A:$A&amp;'Referensi Harga'!$B:$B,0))
     ),0)
  + IFERROR(VLOOKUP($H54,'Profile Size'!$A:$B,2,FALSE),0)
  + IFERROR(VLOOKUP($I54,'Ketebalan Material'!$A:$B,2,FALSE),0),
0)</f>
        <v>1300000</v>
      </c>
      <c r="O54">
        <f>IF($M54="PER-M",
  IFERROR(
    IF($G54="Hollow",
       INDEX('Referensi Harga'!$C:$C, MATCH($F54 &amp; "|" &amp; $C54, 'Referensi Harga'!$F:$F, 0)),
    IF($G54="Hollow Stainless",
       INDEX('Referensi Harga'!$D:$D, MATCH($F54 &amp; "|" &amp; $C54, 'Referensi Harga'!$F:$F, 0)),
       INDEX('Referensi Harga'!$E:$E, MATCH($F54 &amp; "|" &amp; $C54, 'Referensi Harga'!$F:$F, 0))
    ))
    + IFERROR(VLOOKUP($H54, 'Profile Size'!$A:$B, 2, FALSE), 0)
    + IFERROR(VLOOKUP($I54, 'Ketebalan Material'!$A:$B, 2, FALSE), 0), 0),
0)</f>
        <v>0</v>
      </c>
      <c r="P54" cm="1">
        <f t="array" ref="P54">IF($M54="PER-LUBANG",
  IFERROR(
     _xlfn.IFS(
        $G54="Hollow",
            INDEX('Referensi Harga'!$C:$C,
                  MATCH($F54&amp;$C54,'Referensi Harga'!$A:$A&amp;'Referensi Harga'!$B:$B,0)),
        $G54="Hollow Stainless",
            INDEX('Referensi Harga'!$D:$D,
                  MATCH($F54&amp;$C54,'Referensi Harga'!$A:$A&amp;'Referensi Harga'!$B:$B,0)),
        $G54="Pipa Stainless",
            INDEX('Referensi Harga'!$E:$E,
                  MATCH($F54&amp;$C54,'Referensi Harga'!$A:$A&amp;'Referensi Harga'!$B:$B,0))
     ),0)
  + IFERROR(VLOOKUP($H54,'Profile Size'!$A:$B,2,FALSE),0)
  + IFERROR(VLOOKUP($I54,'Ketebalan Material'!$A:$B,2,FALSE),0),
0)</f>
        <v>0</v>
      </c>
      <c r="Q54">
        <f>IF($M54="PER-M2",
    IFERROR(
        SUMIFS('Upah Tenaga Ahli'!$C:$C,
               'Upah Tenaga Ahli'!$A:$A,"PER-M2",
               'Upah Tenaga Ahli'!$B:$B,$G54
        ) * $J54 * $K54,
    0),
IF($M54="PER-LUBANG",
    IFERROR(
        SUMIFS('Upah Tenaga Ahli'!$D:$D,
               'Upah Tenaga Ahli'!$A:$A,"PER-LUBANG",
               'Upah Tenaga Ahli'!$B:$B,$G54
        ) * $L54 * $K54,
    0),
IF($M54="PER-M",
    IFERROR(
        SUMIFS('Upah Tenaga Ahli'!$E:$E,
               'Upah Tenaga Ahli'!$A:$A,"PER-M",
               'Upah Tenaga Ahli'!$B:$B,$G54
        ) * $J54 * $K54,
    0),
0)))</f>
        <v>822000.00000000012</v>
      </c>
      <c r="R54" t="s">
        <v>617</v>
      </c>
      <c r="S54" t="s">
        <v>24</v>
      </c>
      <c r="T54">
        <f>IF($M54="PER-M2",
   ($N54 * $J54 * $K54)
   + IFERROR(VLOOKUP($R54,Finishing!A:B,2,FALSE),0)
   + IFERROR(VLOOKUP($S54,Kerumitan!A:B,2,FALSE),0),
IF($M54="PER-LUBANG",
   ($P54 * $L54 * $K54)
   + IFERROR(VLOOKUP($R54,Finishing!A:B,2,FALSE),0)
   + IFERROR(VLOOKUP($S54,Kerumitan!A:B,2,FALSE),0),
IF($M54="PER-M",
   ($O54 * $J54 * $K54)
   + IFERROR(VLOOKUP($R54,Finishing!A:B,2,FALSE),0)
   + IFERROR(VLOOKUP($S54,Kerumitan!A:B,2,FALSE),0),
0)))</f>
        <v>5443000</v>
      </c>
    </row>
    <row r="55" spans="1:20" x14ac:dyDescent="0.45">
      <c r="A55" t="s">
        <v>127</v>
      </c>
      <c r="B55" s="5">
        <v>44597</v>
      </c>
      <c r="C55">
        <f t="shared" si="0"/>
        <v>2022</v>
      </c>
      <c r="D55" t="s">
        <v>37</v>
      </c>
      <c r="E55" t="s">
        <v>69</v>
      </c>
      <c r="F55" t="s">
        <v>625</v>
      </c>
      <c r="G55" t="s">
        <v>14</v>
      </c>
      <c r="H55" t="s">
        <v>615</v>
      </c>
      <c r="I55">
        <v>0.8</v>
      </c>
      <c r="J55">
        <v>2.93</v>
      </c>
      <c r="K55">
        <v>3</v>
      </c>
      <c r="L55">
        <v>0</v>
      </c>
      <c r="M55" t="str" cm="1">
        <f t="array" ref="M55">_xlfn.IFS(
   OR($F55="Pagar", $F55="Pintu Gerbang", $F55="Pintu Handerson", $F55="Kanopi"), "PER-M2",
   $F55="Teralis", "PER-LUBANG",
   OR($F55="Railing", $F55="Railing/Balkon"), "PER-M",
   TRUE, ""
)</f>
        <v>PER-M</v>
      </c>
      <c r="N55" cm="1">
        <f t="array" ref="N55">IF($M55="PER-M2",
  IFERROR(
     _xlfn.IFS(
        $G55="Hollow",
            INDEX('Referensi Harga'!$C:$C,
                  MATCH($F55&amp;$C55,'Referensi Harga'!$A:$A&amp;'Referensi Harga'!$B:$B,0)),
        $G55="Hollow Stainless",
            INDEX('Referensi Harga'!$D:$D,
                  MATCH($F55&amp;$C55,'Referensi Harga'!$A:$A&amp;'Referensi Harga'!$B:$B,0)),
        $G55="Pipa Stainless",
            INDEX('Referensi Harga'!$E:$E,
                  MATCH($F55&amp;$C55,'Referensi Harga'!$A:$A&amp;'Referensi Harga'!$B:$B,0))
     ),0)
  + IFERROR(VLOOKUP($H55,'Profile Size'!$A:$B,2,FALSE),0)
  + IFERROR(VLOOKUP($I55,'Ketebalan Material'!$A:$B,2,FALSE),0),
0)</f>
        <v>0</v>
      </c>
      <c r="O55">
        <f>IF($M55="PER-M",
  IFERROR(
    IF($G55="Hollow",
       INDEX('Referensi Harga'!$C:$C, MATCH($F55 &amp; "|" &amp; $C55, 'Referensi Harga'!$F:$F, 0)),
    IF($G55="Hollow Stainless",
       INDEX('Referensi Harga'!$D:$D, MATCH($F55 &amp; "|" &amp; $C55, 'Referensi Harga'!$F:$F, 0)),
       INDEX('Referensi Harga'!$E:$E, MATCH($F55 &amp; "|" &amp; $C55, 'Referensi Harga'!$F:$F, 0))
    ))
    + IFERROR(VLOOKUP($H55, 'Profile Size'!$A:$B, 2, FALSE), 0)
    + IFERROR(VLOOKUP($I55, 'Ketebalan Material'!$A:$B, 2, FALSE), 0), 0),
0)</f>
        <v>1020000</v>
      </c>
      <c r="P55" cm="1">
        <f t="array" ref="P55">IF($M55="PER-LUBANG",
  IFERROR(
     _xlfn.IFS(
        $G55="Hollow",
            INDEX('Referensi Harga'!$C:$C,
                  MATCH($F55&amp;$C55,'Referensi Harga'!$A:$A&amp;'Referensi Harga'!$B:$B,0)),
        $G55="Hollow Stainless",
            INDEX('Referensi Harga'!$D:$D,
                  MATCH($F55&amp;$C55,'Referensi Harga'!$A:$A&amp;'Referensi Harga'!$B:$B,0)),
        $G55="Pipa Stainless",
            INDEX('Referensi Harga'!$E:$E,
                  MATCH($F55&amp;$C55,'Referensi Harga'!$A:$A&amp;'Referensi Harga'!$B:$B,0))
     ),0)
  + IFERROR(VLOOKUP($H55,'Profile Size'!$A:$B,2,FALSE),0)
  + IFERROR(VLOOKUP($I55,'Ketebalan Material'!$A:$B,2,FALSE),0),
0)</f>
        <v>0</v>
      </c>
      <c r="Q55">
        <f>IF($M55="PER-M2",
    IFERROR(
        SUMIFS('Upah Tenaga Ahli'!$C:$C,
               'Upah Tenaga Ahli'!$A:$A,"PER-M2",
               'Upah Tenaga Ahli'!$B:$B,$G55
        ) * $J55 * $K55,
    0),
IF($M55="PER-LUBANG",
    IFERROR(
        SUMIFS('Upah Tenaga Ahli'!$D:$D,
               'Upah Tenaga Ahli'!$A:$A,"PER-LUBANG",
               'Upah Tenaga Ahli'!$B:$B,$G55
        ) * $L55 * $K55,
    0),
IF($M55="PER-M",
    IFERROR(
        SUMIFS('Upah Tenaga Ahli'!$E:$E,
               'Upah Tenaga Ahli'!$A:$A,"PER-M",
               'Upah Tenaga Ahli'!$B:$B,$G55
        ) * $J55 * $K55,
    0),
0)))</f>
        <v>1758000</v>
      </c>
      <c r="R55" t="s">
        <v>617</v>
      </c>
      <c r="S55" t="s">
        <v>23</v>
      </c>
      <c r="T55">
        <f>IF($M55="PER-M2",
   ($N55 * $J55 * $K55)
   + IFERROR(VLOOKUP($R55,Finishing!A:B,2,FALSE),0)
   + IFERROR(VLOOKUP($S55,Kerumitan!A:B,2,FALSE),0),
IF($M55="PER-LUBANG",
   ($P55 * $L55 * $K55)
   + IFERROR(VLOOKUP($R55,Finishing!A:B,2,FALSE),0)
   + IFERROR(VLOOKUP($S55,Kerumitan!A:B,2,FALSE),0),
IF($M55="PER-M",
   ($O55 * $J55 * $K55)
   + IFERROR(VLOOKUP($R55,Finishing!A:B,2,FALSE),0)
   + IFERROR(VLOOKUP($S55,Kerumitan!A:B,2,FALSE),0),
0)))</f>
        <v>8965800</v>
      </c>
    </row>
    <row r="56" spans="1:20" x14ac:dyDescent="0.45">
      <c r="A56" t="s">
        <v>128</v>
      </c>
      <c r="B56" s="5">
        <v>43893</v>
      </c>
      <c r="C56">
        <f t="shared" si="0"/>
        <v>2020</v>
      </c>
      <c r="D56" t="s">
        <v>129</v>
      </c>
      <c r="E56" t="s">
        <v>57</v>
      </c>
      <c r="F56" t="s">
        <v>4</v>
      </c>
      <c r="G56" t="s">
        <v>13</v>
      </c>
      <c r="H56" t="s">
        <v>33</v>
      </c>
      <c r="I56">
        <v>0.8</v>
      </c>
      <c r="J56">
        <v>20.83</v>
      </c>
      <c r="K56">
        <v>1</v>
      </c>
      <c r="L56">
        <v>0</v>
      </c>
      <c r="M56" t="str" cm="1">
        <f t="array" ref="M56">_xlfn.IFS(
   OR($F56="Pagar", $F56="Pintu Gerbang", $F56="Pintu Handerson", $F56="Kanopi"), "PER-M2",
   $F56="Teralis", "PER-LUBANG",
   OR($F56="Railing", $F56="Railing/Balkon"), "PER-M",
   TRUE, ""
)</f>
        <v>PER-M2</v>
      </c>
      <c r="N56" cm="1">
        <f t="array" ref="N56">IF($M56="PER-M2",
  IFERROR(
     _xlfn.IFS(
        $G56="Hollow",
            INDEX('Referensi Harga'!$C:$C,
                  MATCH($F56&amp;$C56,'Referensi Harga'!$A:$A&amp;'Referensi Harga'!$B:$B,0)),
        $G56="Hollow Stainless",
            INDEX('Referensi Harga'!$D:$D,
                  MATCH($F56&amp;$C56,'Referensi Harga'!$A:$A&amp;'Referensi Harga'!$B:$B,0)),
        $G56="Pipa Stainless",
            INDEX('Referensi Harga'!$E:$E,
                  MATCH($F56&amp;$C56,'Referensi Harga'!$A:$A&amp;'Referensi Harga'!$B:$B,0))
     ),0)
  + IFERROR(VLOOKUP($H56,'Profile Size'!$A:$B,2,FALSE),0)
  + IFERROR(VLOOKUP($I56,'Ketebalan Material'!$A:$B,2,FALSE),0),
0)</f>
        <v>500000</v>
      </c>
      <c r="O56">
        <f>IF($M56="PER-M",
  IFERROR(
    IF($G56="Hollow",
       INDEX('Referensi Harga'!$C:$C, MATCH($F56 &amp; "|" &amp; $C56, 'Referensi Harga'!$F:$F, 0)),
    IF($G56="Hollow Stainless",
       INDEX('Referensi Harga'!$D:$D, MATCH($F56 &amp; "|" &amp; $C56, 'Referensi Harga'!$F:$F, 0)),
       INDEX('Referensi Harga'!$E:$E, MATCH($F56 &amp; "|" &amp; $C56, 'Referensi Harga'!$F:$F, 0))
    ))
    + IFERROR(VLOOKUP($H56, 'Profile Size'!$A:$B, 2, FALSE), 0)
    + IFERROR(VLOOKUP($I56, 'Ketebalan Material'!$A:$B, 2, FALSE), 0), 0),
0)</f>
        <v>0</v>
      </c>
      <c r="P56" cm="1">
        <f t="array" ref="P56">IF($M56="PER-LUBANG",
  IFERROR(
     _xlfn.IFS(
        $G56="Hollow",
            INDEX('Referensi Harga'!$C:$C,
                  MATCH($F56&amp;$C56,'Referensi Harga'!$A:$A&amp;'Referensi Harga'!$B:$B,0)),
        $G56="Hollow Stainless",
            INDEX('Referensi Harga'!$D:$D,
                  MATCH($F56&amp;$C56,'Referensi Harga'!$A:$A&amp;'Referensi Harga'!$B:$B,0)),
        $G56="Pipa Stainless",
            INDEX('Referensi Harga'!$E:$E,
                  MATCH($F56&amp;$C56,'Referensi Harga'!$A:$A&amp;'Referensi Harga'!$B:$B,0))
     ),0)
  + IFERROR(VLOOKUP($H56,'Profile Size'!$A:$B,2,FALSE),0)
  + IFERROR(VLOOKUP($I56,'Ketebalan Material'!$A:$B,2,FALSE),0),
0)</f>
        <v>0</v>
      </c>
      <c r="Q56">
        <f>IF($M56="PER-M2",
    IFERROR(
        SUMIFS('Upah Tenaga Ahli'!$C:$C,
               'Upah Tenaga Ahli'!$A:$A,"PER-M2",
               'Upah Tenaga Ahli'!$B:$B,$G56
        ) * $J56 * $K56,
    0),
IF($M56="PER-LUBANG",
    IFERROR(
        SUMIFS('Upah Tenaga Ahli'!$D:$D,
               'Upah Tenaga Ahli'!$A:$A,"PER-LUBANG",
               'Upah Tenaga Ahli'!$B:$B,$G56
        ) * $L56 * $K56,
    0),
IF($M56="PER-M",
    IFERROR(
        SUMIFS('Upah Tenaga Ahli'!$E:$E,
               'Upah Tenaga Ahli'!$A:$A,"PER-M",
               'Upah Tenaga Ahli'!$B:$B,$G56
        ) * $J56 * $K56,
    0),
0)))</f>
        <v>2082999.9999999998</v>
      </c>
      <c r="R56" t="s">
        <v>18</v>
      </c>
      <c r="S56" t="s">
        <v>23</v>
      </c>
      <c r="T56">
        <f>IF($M56="PER-M2",
   ($N56 * $J56 * $K56)
   + IFERROR(VLOOKUP($R56,Finishing!A:B,2,FALSE),0)
   + IFERROR(VLOOKUP($S56,Kerumitan!A:B,2,FALSE),0),
IF($M56="PER-LUBANG",
   ($P56 * $L56 * $K56)
   + IFERROR(VLOOKUP($R56,Finishing!A:B,2,FALSE),0)
   + IFERROR(VLOOKUP($S56,Kerumitan!A:B,2,FALSE),0),
IF($M56="PER-M",
   ($O56 * $J56 * $K56)
   + IFERROR(VLOOKUP($R56,Finishing!A:B,2,FALSE),0)
   + IFERROR(VLOOKUP($S56,Kerumitan!A:B,2,FALSE),0),
0)))</f>
        <v>10415000</v>
      </c>
    </row>
    <row r="57" spans="1:20" x14ac:dyDescent="0.45">
      <c r="A57" t="s">
        <v>130</v>
      </c>
      <c r="B57" s="5">
        <v>44384</v>
      </c>
      <c r="C57">
        <f t="shared" si="0"/>
        <v>2021</v>
      </c>
      <c r="D57" t="s">
        <v>53</v>
      </c>
      <c r="E57" t="s">
        <v>41</v>
      </c>
      <c r="F57" t="s">
        <v>625</v>
      </c>
      <c r="G57" t="s">
        <v>15</v>
      </c>
      <c r="H57" t="s">
        <v>46</v>
      </c>
      <c r="I57">
        <v>1</v>
      </c>
      <c r="J57">
        <v>5.09</v>
      </c>
      <c r="K57">
        <v>1</v>
      </c>
      <c r="L57">
        <v>0</v>
      </c>
      <c r="M57" t="str" cm="1">
        <f t="array" ref="M57">_xlfn.IFS(
   OR($F57="Pagar", $F57="Pintu Gerbang", $F57="Pintu Handerson", $F57="Kanopi"), "PER-M2",
   $F57="Teralis", "PER-LUBANG",
   OR($F57="Railing", $F57="Railing/Balkon"), "PER-M",
   TRUE, ""
)</f>
        <v>PER-M</v>
      </c>
      <c r="N57" cm="1">
        <f t="array" ref="N57">IF($M57="PER-M2",
  IFERROR(
     _xlfn.IFS(
        $G57="Hollow",
            INDEX('Referensi Harga'!$C:$C,
                  MATCH($F57&amp;$C57,'Referensi Harga'!$A:$A&amp;'Referensi Harga'!$B:$B,0)),
        $G57="Hollow Stainless",
            INDEX('Referensi Harga'!$D:$D,
                  MATCH($F57&amp;$C57,'Referensi Harga'!$A:$A&amp;'Referensi Harga'!$B:$B,0)),
        $G57="Pipa Stainless",
            INDEX('Referensi Harga'!$E:$E,
                  MATCH($F57&amp;$C57,'Referensi Harga'!$A:$A&amp;'Referensi Harga'!$B:$B,0))
     ),0)
  + IFERROR(VLOOKUP($H57,'Profile Size'!$A:$B,2,FALSE),0)
  + IFERROR(VLOOKUP($I57,'Ketebalan Material'!$A:$B,2,FALSE),0),
0)</f>
        <v>0</v>
      </c>
      <c r="O57">
        <f>IF($M57="PER-M",
  IFERROR(
    IF($G57="Hollow",
       INDEX('Referensi Harga'!$C:$C, MATCH($F57 &amp; "|" &amp; $C57, 'Referensi Harga'!$F:$F, 0)),
    IF($G57="Hollow Stainless",
       INDEX('Referensi Harga'!$D:$D, MATCH($F57 &amp; "|" &amp; $C57, 'Referensi Harga'!$F:$F, 0)),
       INDEX('Referensi Harga'!$E:$E, MATCH($F57 &amp; "|" &amp; $C57, 'Referensi Harga'!$F:$F, 0))
    ))
    + IFERROR(VLOOKUP($H57, 'Profile Size'!$A:$B, 2, FALSE), 0)
    + IFERROR(VLOOKUP($I57, 'Ketebalan Material'!$A:$B, 2, FALSE), 0), 0),
0)</f>
        <v>1200000</v>
      </c>
      <c r="P57" cm="1">
        <f t="array" ref="P57">IF($M57="PER-LUBANG",
  IFERROR(
     _xlfn.IFS(
        $G57="Hollow",
            INDEX('Referensi Harga'!$C:$C,
                  MATCH($F57&amp;$C57,'Referensi Harga'!$A:$A&amp;'Referensi Harga'!$B:$B,0)),
        $G57="Hollow Stainless",
            INDEX('Referensi Harga'!$D:$D,
                  MATCH($F57&amp;$C57,'Referensi Harga'!$A:$A&amp;'Referensi Harga'!$B:$B,0)),
        $G57="Pipa Stainless",
            INDEX('Referensi Harga'!$E:$E,
                  MATCH($F57&amp;$C57,'Referensi Harga'!$A:$A&amp;'Referensi Harga'!$B:$B,0))
     ),0)
  + IFERROR(VLOOKUP($H57,'Profile Size'!$A:$B,2,FALSE),0)
  + IFERROR(VLOOKUP($I57,'Ketebalan Material'!$A:$B,2,FALSE),0),
0)</f>
        <v>0</v>
      </c>
      <c r="Q57">
        <f>IF($M57="PER-M2",
    IFERROR(
        SUMIFS('Upah Tenaga Ahli'!$C:$C,
               'Upah Tenaga Ahli'!$A:$A,"PER-M2",
               'Upah Tenaga Ahli'!$B:$B,$G57
        ) * $J57 * $K57,
    0),
IF($M57="PER-LUBANG",
    IFERROR(
        SUMIFS('Upah Tenaga Ahli'!$D:$D,
               'Upah Tenaga Ahli'!$A:$A,"PER-LUBANG",
               'Upah Tenaga Ahli'!$B:$B,$G57
        ) * $L57 * $K57,
    0),
IF($M57="PER-M",
    IFERROR(
        SUMIFS('Upah Tenaga Ahli'!$E:$E,
               'Upah Tenaga Ahli'!$A:$A,"PER-M",
               'Upah Tenaga Ahli'!$B:$B,$G57
        ) * $J57 * $K57,
    0),
0)))</f>
        <v>763500</v>
      </c>
      <c r="R57" t="s">
        <v>617</v>
      </c>
      <c r="S57" t="s">
        <v>23</v>
      </c>
      <c r="T57">
        <f>IF($M57="PER-M2",
   ($N57 * $J57 * $K57)
   + IFERROR(VLOOKUP($R57,Finishing!A:B,2,FALSE),0)
   + IFERROR(VLOOKUP($S57,Kerumitan!A:B,2,FALSE),0),
IF($M57="PER-LUBANG",
   ($P57 * $L57 * $K57)
   + IFERROR(VLOOKUP($R57,Finishing!A:B,2,FALSE),0)
   + IFERROR(VLOOKUP($S57,Kerumitan!A:B,2,FALSE),0),
IF($M57="PER-M",
   ($O57 * $J57 * $K57)
   + IFERROR(VLOOKUP($R57,Finishing!A:B,2,FALSE),0)
   + IFERROR(VLOOKUP($S57,Kerumitan!A:B,2,FALSE),0),
0)))</f>
        <v>6108000</v>
      </c>
    </row>
    <row r="58" spans="1:20" x14ac:dyDescent="0.45">
      <c r="A58" t="s">
        <v>131</v>
      </c>
      <c r="B58" s="5">
        <v>44495</v>
      </c>
      <c r="C58">
        <f t="shared" si="0"/>
        <v>2021</v>
      </c>
      <c r="D58" t="s">
        <v>90</v>
      </c>
      <c r="E58" t="s">
        <v>54</v>
      </c>
      <c r="F58" t="s">
        <v>4</v>
      </c>
      <c r="G58" t="s">
        <v>13</v>
      </c>
      <c r="H58" t="s">
        <v>46</v>
      </c>
      <c r="I58">
        <v>0.8</v>
      </c>
      <c r="J58">
        <v>24.83</v>
      </c>
      <c r="K58">
        <v>1</v>
      </c>
      <c r="L58">
        <v>0</v>
      </c>
      <c r="M58" t="str" cm="1">
        <f t="array" ref="M58">_xlfn.IFS(
   OR($F58="Pagar", $F58="Pintu Gerbang", $F58="Pintu Handerson", $F58="Kanopi"), "PER-M2",
   $F58="Teralis", "PER-LUBANG",
   OR($F58="Railing", $F58="Railing/Balkon"), "PER-M",
   TRUE, ""
)</f>
        <v>PER-M2</v>
      </c>
      <c r="N58" cm="1">
        <f t="array" ref="N58">IF($M58="PER-M2",
  IFERROR(
     _xlfn.IFS(
        $G58="Hollow",
            INDEX('Referensi Harga'!$C:$C,
                  MATCH($F58&amp;$C58,'Referensi Harga'!$A:$A&amp;'Referensi Harga'!$B:$B,0)),
        $G58="Hollow Stainless",
            INDEX('Referensi Harga'!$D:$D,
                  MATCH($F58&amp;$C58,'Referensi Harga'!$A:$A&amp;'Referensi Harga'!$B:$B,0)),
        $G58="Pipa Stainless",
            INDEX('Referensi Harga'!$E:$E,
                  MATCH($F58&amp;$C58,'Referensi Harga'!$A:$A&amp;'Referensi Harga'!$B:$B,0))
     ),0)
  + IFERROR(VLOOKUP($H58,'Profile Size'!$A:$B,2,FALSE),0)
  + IFERROR(VLOOKUP($I58,'Ketebalan Material'!$A:$B,2,FALSE),0),
0)</f>
        <v>550000</v>
      </c>
      <c r="O58">
        <f>IF($M58="PER-M",
  IFERROR(
    IF($G58="Hollow",
       INDEX('Referensi Harga'!$C:$C, MATCH($F58 &amp; "|" &amp; $C58, 'Referensi Harga'!$F:$F, 0)),
    IF($G58="Hollow Stainless",
       INDEX('Referensi Harga'!$D:$D, MATCH($F58 &amp; "|" &amp; $C58, 'Referensi Harga'!$F:$F, 0)),
       INDEX('Referensi Harga'!$E:$E, MATCH($F58 &amp; "|" &amp; $C58, 'Referensi Harga'!$F:$F, 0))
    ))
    + IFERROR(VLOOKUP($H58, 'Profile Size'!$A:$B, 2, FALSE), 0)
    + IFERROR(VLOOKUP($I58, 'Ketebalan Material'!$A:$B, 2, FALSE), 0), 0),
0)</f>
        <v>0</v>
      </c>
      <c r="P58" cm="1">
        <f t="array" ref="P58">IF($M58="PER-LUBANG",
  IFERROR(
     _xlfn.IFS(
        $G58="Hollow",
            INDEX('Referensi Harga'!$C:$C,
                  MATCH($F58&amp;$C58,'Referensi Harga'!$A:$A&amp;'Referensi Harga'!$B:$B,0)),
        $G58="Hollow Stainless",
            INDEX('Referensi Harga'!$D:$D,
                  MATCH($F58&amp;$C58,'Referensi Harga'!$A:$A&amp;'Referensi Harga'!$B:$B,0)),
        $G58="Pipa Stainless",
            INDEX('Referensi Harga'!$E:$E,
                  MATCH($F58&amp;$C58,'Referensi Harga'!$A:$A&amp;'Referensi Harga'!$B:$B,0))
     ),0)
  + IFERROR(VLOOKUP($H58,'Profile Size'!$A:$B,2,FALSE),0)
  + IFERROR(VLOOKUP($I58,'Ketebalan Material'!$A:$B,2,FALSE),0),
0)</f>
        <v>0</v>
      </c>
      <c r="Q58">
        <f>IF($M58="PER-M2",
    IFERROR(
        SUMIFS('Upah Tenaga Ahli'!$C:$C,
               'Upah Tenaga Ahli'!$A:$A,"PER-M2",
               'Upah Tenaga Ahli'!$B:$B,$G58
        ) * $J58 * $K58,
    0),
IF($M58="PER-LUBANG",
    IFERROR(
        SUMIFS('Upah Tenaga Ahli'!$D:$D,
               'Upah Tenaga Ahli'!$A:$A,"PER-LUBANG",
               'Upah Tenaga Ahli'!$B:$B,$G58
        ) * $L58 * $K58,
    0),
IF($M58="PER-M",
    IFERROR(
        SUMIFS('Upah Tenaga Ahli'!$E:$E,
               'Upah Tenaga Ahli'!$A:$A,"PER-M",
               'Upah Tenaga Ahli'!$B:$B,$G58
        ) * $J58 * $K58,
    0),
0)))</f>
        <v>2483000</v>
      </c>
      <c r="R58" t="s">
        <v>20</v>
      </c>
      <c r="S58" t="s">
        <v>23</v>
      </c>
      <c r="T58">
        <f>IF($M58="PER-M2",
   ($N58 * $J58 * $K58)
   + IFERROR(VLOOKUP($R58,Finishing!A:B,2,FALSE),0)
   + IFERROR(VLOOKUP($S58,Kerumitan!A:B,2,FALSE),0),
IF($M58="PER-LUBANG",
   ($P58 * $L58 * $K58)
   + IFERROR(VLOOKUP($R58,Finishing!A:B,2,FALSE),0)
   + IFERROR(VLOOKUP($S58,Kerumitan!A:B,2,FALSE),0),
IF($M58="PER-M",
   ($O58 * $J58 * $K58)
   + IFERROR(VLOOKUP($R58,Finishing!A:B,2,FALSE),0)
   + IFERROR(VLOOKUP($S58,Kerumitan!A:B,2,FALSE),0),
0)))</f>
        <v>13806499.999999998</v>
      </c>
    </row>
    <row r="59" spans="1:20" x14ac:dyDescent="0.45">
      <c r="A59" t="s">
        <v>132</v>
      </c>
      <c r="B59" s="5">
        <v>44793</v>
      </c>
      <c r="C59">
        <f t="shared" si="0"/>
        <v>2022</v>
      </c>
      <c r="D59" t="s">
        <v>133</v>
      </c>
      <c r="E59" t="s">
        <v>69</v>
      </c>
      <c r="F59" t="s">
        <v>8</v>
      </c>
      <c r="G59" t="s">
        <v>15</v>
      </c>
      <c r="H59" t="s">
        <v>612</v>
      </c>
      <c r="I59">
        <v>1.2</v>
      </c>
      <c r="J59">
        <v>0</v>
      </c>
      <c r="K59">
        <v>1</v>
      </c>
      <c r="L59">
        <v>5</v>
      </c>
      <c r="M59" t="str" cm="1">
        <f t="array" ref="M59">_xlfn.IFS(
   OR($F59="Pagar", $F59="Pintu Gerbang", $F59="Pintu Handerson", $F59="Kanopi"), "PER-M2",
   $F59="Teralis", "PER-LUBANG",
   OR($F59="Railing", $F59="Railing/Balkon"), "PER-M",
   TRUE, ""
)</f>
        <v>PER-LUBANG</v>
      </c>
      <c r="N59" cm="1">
        <f t="array" ref="N59">IF($M59="PER-M2",
  IFERROR(
     _xlfn.IFS(
        $G59="Hollow",
            INDEX('Referensi Harga'!$C:$C,
                  MATCH($F59&amp;$C59,'Referensi Harga'!$A:$A&amp;'Referensi Harga'!$B:$B,0)),
        $G59="Hollow Stainless",
            INDEX('Referensi Harga'!$D:$D,
                  MATCH($F59&amp;$C59,'Referensi Harga'!$A:$A&amp;'Referensi Harga'!$B:$B,0)),
        $G59="Pipa Stainless",
            INDEX('Referensi Harga'!$E:$E,
                  MATCH($F59&amp;$C59,'Referensi Harga'!$A:$A&amp;'Referensi Harga'!$B:$B,0))
     ),0)
  + IFERROR(VLOOKUP($H59,'Profile Size'!$A:$B,2,FALSE),0)
  + IFERROR(VLOOKUP($I59,'Ketebalan Material'!$A:$B,2,FALSE),0),
0)</f>
        <v>0</v>
      </c>
      <c r="O59">
        <f>IF($M59="PER-M",
  IFERROR(
    IF($G59="Hollow",
       INDEX('Referensi Harga'!$C:$C, MATCH($F59 &amp; "|" &amp; $C59, 'Referensi Harga'!$F:$F, 0)),
    IF($G59="Hollow Stainless",
       INDEX('Referensi Harga'!$D:$D, MATCH($F59 &amp; "|" &amp; $C59, 'Referensi Harga'!$F:$F, 0)),
       INDEX('Referensi Harga'!$E:$E, MATCH($F59 &amp; "|" &amp; $C59, 'Referensi Harga'!$F:$F, 0))
    ))
    + IFERROR(VLOOKUP($H59, 'Profile Size'!$A:$B, 2, FALSE), 0)
    + IFERROR(VLOOKUP($I59, 'Ketebalan Material'!$A:$B, 2, FALSE), 0), 0),
0)</f>
        <v>0</v>
      </c>
      <c r="P59" cm="1">
        <f t="array" ref="P59">IF($M59="PER-LUBANG",
  IFERROR(
     _xlfn.IFS(
        $G59="Hollow",
            INDEX('Referensi Harga'!$C:$C,
                  MATCH($F59&amp;$C59,'Referensi Harga'!$A:$A&amp;'Referensi Harga'!$B:$B,0)),
        $G59="Hollow Stainless",
            INDEX('Referensi Harga'!$D:$D,
                  MATCH($F59&amp;$C59,'Referensi Harga'!$A:$A&amp;'Referensi Harga'!$B:$B,0)),
        $G59="Pipa Stainless",
            INDEX('Referensi Harga'!$E:$E,
                  MATCH($F59&amp;$C59,'Referensi Harga'!$A:$A&amp;'Referensi Harga'!$B:$B,0))
     ),0)
  + IFERROR(VLOOKUP($H59,'Profile Size'!$A:$B,2,FALSE),0)
  + IFERROR(VLOOKUP($I59,'Ketebalan Material'!$A:$B,2,FALSE),0),
0)</f>
        <v>880000</v>
      </c>
      <c r="Q59">
        <f>IF($M59="PER-M2",
    IFERROR(
        SUMIFS('Upah Tenaga Ahli'!$C:$C,
               'Upah Tenaga Ahli'!$A:$A,"PER-M2",
               'Upah Tenaga Ahli'!$B:$B,$G59
        ) * $J59 * $K59,
    0),
IF($M59="PER-LUBANG",
    IFERROR(
        SUMIFS('Upah Tenaga Ahli'!$D:$D,
               'Upah Tenaga Ahli'!$A:$A,"PER-LUBANG",
               'Upah Tenaga Ahli'!$B:$B,$G59
        ) * $L59 * $K59,
    0),
IF($M59="PER-M",
    IFERROR(
        SUMIFS('Upah Tenaga Ahli'!$E:$E,
               'Upah Tenaga Ahli'!$A:$A,"PER-M",
               'Upah Tenaga Ahli'!$B:$B,$G59
        ) * $J59 * $K59,
    0),
0)))</f>
        <v>750000</v>
      </c>
      <c r="R59" t="s">
        <v>617</v>
      </c>
      <c r="S59" t="s">
        <v>23</v>
      </c>
      <c r="T59">
        <f>IF($M59="PER-M2",
   ($N59 * $J59 * $K59)
   + IFERROR(VLOOKUP($R59,Finishing!A:B,2,FALSE),0)
   + IFERROR(VLOOKUP($S59,Kerumitan!A:B,2,FALSE),0),
IF($M59="PER-LUBANG",
   ($P59 * $L59 * $K59)
   + IFERROR(VLOOKUP($R59,Finishing!A:B,2,FALSE),0)
   + IFERROR(VLOOKUP($S59,Kerumitan!A:B,2,FALSE),0),
IF($M59="PER-M",
   ($O59 * $J59 * $K59)
   + IFERROR(VLOOKUP($R59,Finishing!A:B,2,FALSE),0)
   + IFERROR(VLOOKUP($S59,Kerumitan!A:B,2,FALSE),0),
0)))</f>
        <v>4400000</v>
      </c>
    </row>
    <row r="60" spans="1:20" x14ac:dyDescent="0.45">
      <c r="A60" t="s">
        <v>134</v>
      </c>
      <c r="B60" s="5">
        <v>43962</v>
      </c>
      <c r="C60">
        <f t="shared" si="0"/>
        <v>2020</v>
      </c>
      <c r="D60" t="s">
        <v>37</v>
      </c>
      <c r="E60" t="s">
        <v>54</v>
      </c>
      <c r="F60" t="s">
        <v>4</v>
      </c>
      <c r="G60" t="s">
        <v>14</v>
      </c>
      <c r="H60" t="s">
        <v>615</v>
      </c>
      <c r="I60">
        <v>0.8</v>
      </c>
      <c r="J60">
        <v>11.82</v>
      </c>
      <c r="K60">
        <v>1</v>
      </c>
      <c r="L60">
        <v>0</v>
      </c>
      <c r="M60" t="str" cm="1">
        <f t="array" ref="M60">_xlfn.IFS(
   OR($F60="Pagar", $F60="Pintu Gerbang", $F60="Pintu Handerson", $F60="Kanopi"), "PER-M2",
   $F60="Teralis", "PER-LUBANG",
   OR($F60="Railing", $F60="Railing/Balkon"), "PER-M",
   TRUE, ""
)</f>
        <v>PER-M2</v>
      </c>
      <c r="N60" cm="1">
        <f t="array" ref="N60">IF($M60="PER-M2",
  IFERROR(
     _xlfn.IFS(
        $G60="Hollow",
            INDEX('Referensi Harga'!$C:$C,
                  MATCH($F60&amp;$C60,'Referensi Harga'!$A:$A&amp;'Referensi Harga'!$B:$B,0)),
        $G60="Hollow Stainless",
            INDEX('Referensi Harga'!$D:$D,
                  MATCH($F60&amp;$C60,'Referensi Harga'!$A:$A&amp;'Referensi Harga'!$B:$B,0)),
        $G60="Pipa Stainless",
            INDEX('Referensi Harga'!$E:$E,
                  MATCH($F60&amp;$C60,'Referensi Harga'!$A:$A&amp;'Referensi Harga'!$B:$B,0))
     ),0)
  + IFERROR(VLOOKUP($H60,'Profile Size'!$A:$B,2,FALSE),0)
  + IFERROR(VLOOKUP($I60,'Ketebalan Material'!$A:$B,2,FALSE),0),
0)</f>
        <v>980000</v>
      </c>
      <c r="O60">
        <f>IF($M60="PER-M",
  IFERROR(
    IF($G60="Hollow",
       INDEX('Referensi Harga'!$C:$C, MATCH($F60 &amp; "|" &amp; $C60, 'Referensi Harga'!$F:$F, 0)),
    IF($G60="Hollow Stainless",
       INDEX('Referensi Harga'!$D:$D, MATCH($F60 &amp; "|" &amp; $C60, 'Referensi Harga'!$F:$F, 0)),
       INDEX('Referensi Harga'!$E:$E, MATCH($F60 &amp; "|" &amp; $C60, 'Referensi Harga'!$F:$F, 0))
    ))
    + IFERROR(VLOOKUP($H60, 'Profile Size'!$A:$B, 2, FALSE), 0)
    + IFERROR(VLOOKUP($I60, 'Ketebalan Material'!$A:$B, 2, FALSE), 0), 0),
0)</f>
        <v>0</v>
      </c>
      <c r="P60" cm="1">
        <f t="array" ref="P60">IF($M60="PER-LUBANG",
  IFERROR(
     _xlfn.IFS(
        $G60="Hollow",
            INDEX('Referensi Harga'!$C:$C,
                  MATCH($F60&amp;$C60,'Referensi Harga'!$A:$A&amp;'Referensi Harga'!$B:$B,0)),
        $G60="Hollow Stainless",
            INDEX('Referensi Harga'!$D:$D,
                  MATCH($F60&amp;$C60,'Referensi Harga'!$A:$A&amp;'Referensi Harga'!$B:$B,0)),
        $G60="Pipa Stainless",
            INDEX('Referensi Harga'!$E:$E,
                  MATCH($F60&amp;$C60,'Referensi Harga'!$A:$A&amp;'Referensi Harga'!$B:$B,0))
     ),0)
  + IFERROR(VLOOKUP($H60,'Profile Size'!$A:$B,2,FALSE),0)
  + IFERROR(VLOOKUP($I60,'Ketebalan Material'!$A:$B,2,FALSE),0),
0)</f>
        <v>0</v>
      </c>
      <c r="Q60">
        <f>IF($M60="PER-M2",
    IFERROR(
        SUMIFS('Upah Tenaga Ahli'!$C:$C,
               'Upah Tenaga Ahli'!$A:$A,"PER-M2",
               'Upah Tenaga Ahli'!$B:$B,$G60
        ) * $J60 * $K60,
    0),
IF($M60="PER-LUBANG",
    IFERROR(
        SUMIFS('Upah Tenaga Ahli'!$D:$D,
               'Upah Tenaga Ahli'!$A:$A,"PER-LUBANG",
               'Upah Tenaga Ahli'!$B:$B,$G60
        ) * $L60 * $K60,
    0),
IF($M60="PER-M",
    IFERROR(
        SUMIFS('Upah Tenaga Ahli'!$E:$E,
               'Upah Tenaga Ahli'!$A:$A,"PER-M",
               'Upah Tenaga Ahli'!$B:$B,$G60
        ) * $J60 * $K60,
    0),
0)))</f>
        <v>2364000</v>
      </c>
      <c r="R60" t="s">
        <v>617</v>
      </c>
      <c r="S60" t="s">
        <v>23</v>
      </c>
      <c r="T60">
        <f>IF($M60="PER-M2",
   ($N60 * $J60 * $K60)
   + IFERROR(VLOOKUP($R60,Finishing!A:B,2,FALSE),0)
   + IFERROR(VLOOKUP($S60,Kerumitan!A:B,2,FALSE),0),
IF($M60="PER-LUBANG",
   ($P60 * $L60 * $K60)
   + IFERROR(VLOOKUP($R60,Finishing!A:B,2,FALSE),0)
   + IFERROR(VLOOKUP($S60,Kerumitan!A:B,2,FALSE),0),
IF($M60="PER-M",
   ($O60 * $J60 * $K60)
   + IFERROR(VLOOKUP($R60,Finishing!A:B,2,FALSE),0)
   + IFERROR(VLOOKUP($S60,Kerumitan!A:B,2,FALSE),0),
0)))</f>
        <v>11583600</v>
      </c>
    </row>
    <row r="61" spans="1:20" x14ac:dyDescent="0.45">
      <c r="A61" t="s">
        <v>135</v>
      </c>
      <c r="B61" s="5">
        <v>45241</v>
      </c>
      <c r="C61">
        <f t="shared" si="0"/>
        <v>2023</v>
      </c>
      <c r="D61" t="s">
        <v>117</v>
      </c>
      <c r="E61" t="s">
        <v>69</v>
      </c>
      <c r="F61" t="s">
        <v>6</v>
      </c>
      <c r="G61" t="s">
        <v>15</v>
      </c>
      <c r="H61" t="s">
        <v>46</v>
      </c>
      <c r="I61">
        <v>1</v>
      </c>
      <c r="J61">
        <v>11.94</v>
      </c>
      <c r="K61">
        <v>1</v>
      </c>
      <c r="L61">
        <v>0</v>
      </c>
      <c r="M61" t="str" cm="1">
        <f t="array" ref="M61">_xlfn.IFS(
   OR($F61="Pagar", $F61="Pintu Gerbang", $F61="Pintu Handerson", $F61="Kanopi"), "PER-M2",
   $F61="Teralis", "PER-LUBANG",
   OR($F61="Railing", $F61="Railing/Balkon"), "PER-M",
   TRUE, ""
)</f>
        <v>PER-M2</v>
      </c>
      <c r="N61" cm="1">
        <f t="array" ref="N61">IF($M61="PER-M2",
  IFERROR(
     _xlfn.IFS(
        $G61="Hollow",
            INDEX('Referensi Harga'!$C:$C,
                  MATCH($F61&amp;$C61,'Referensi Harga'!$A:$A&amp;'Referensi Harga'!$B:$B,0)),
        $G61="Hollow Stainless",
            INDEX('Referensi Harga'!$D:$D,
                  MATCH($F61&amp;$C61,'Referensi Harga'!$A:$A&amp;'Referensi Harga'!$B:$B,0)),
        $G61="Pipa Stainless",
            INDEX('Referensi Harga'!$E:$E,
                  MATCH($F61&amp;$C61,'Referensi Harga'!$A:$A&amp;'Referensi Harga'!$B:$B,0))
     ),0)
  + IFERROR(VLOOKUP($H61,'Profile Size'!$A:$B,2,FALSE),0)
  + IFERROR(VLOOKUP($I61,'Ketebalan Material'!$A:$B,2,FALSE),0),
0)</f>
        <v>900000</v>
      </c>
      <c r="O61">
        <f>IF($M61="PER-M",
  IFERROR(
    IF($G61="Hollow",
       INDEX('Referensi Harga'!$C:$C, MATCH($F61 &amp; "|" &amp; $C61, 'Referensi Harga'!$F:$F, 0)),
    IF($G61="Hollow Stainless",
       INDEX('Referensi Harga'!$D:$D, MATCH($F61 &amp; "|" &amp; $C61, 'Referensi Harga'!$F:$F, 0)),
       INDEX('Referensi Harga'!$E:$E, MATCH($F61 &amp; "|" &amp; $C61, 'Referensi Harga'!$F:$F, 0))
    ))
    + IFERROR(VLOOKUP($H61, 'Profile Size'!$A:$B, 2, FALSE), 0)
    + IFERROR(VLOOKUP($I61, 'Ketebalan Material'!$A:$B, 2, FALSE), 0), 0),
0)</f>
        <v>0</v>
      </c>
      <c r="P61" cm="1">
        <f t="array" ref="P61">IF($M61="PER-LUBANG",
  IFERROR(
     _xlfn.IFS(
        $G61="Hollow",
            INDEX('Referensi Harga'!$C:$C,
                  MATCH($F61&amp;$C61,'Referensi Harga'!$A:$A&amp;'Referensi Harga'!$B:$B,0)),
        $G61="Hollow Stainless",
            INDEX('Referensi Harga'!$D:$D,
                  MATCH($F61&amp;$C61,'Referensi Harga'!$A:$A&amp;'Referensi Harga'!$B:$B,0)),
        $G61="Pipa Stainless",
            INDEX('Referensi Harga'!$E:$E,
                  MATCH($F61&amp;$C61,'Referensi Harga'!$A:$A&amp;'Referensi Harga'!$B:$B,0))
     ),0)
  + IFERROR(VLOOKUP($H61,'Profile Size'!$A:$B,2,FALSE),0)
  + IFERROR(VLOOKUP($I61,'Ketebalan Material'!$A:$B,2,FALSE),0),
0)</f>
        <v>0</v>
      </c>
      <c r="Q61">
        <f>IF($M61="PER-M2",
    IFERROR(
        SUMIFS('Upah Tenaga Ahli'!$C:$C,
               'Upah Tenaga Ahli'!$A:$A,"PER-M2",
               'Upah Tenaga Ahli'!$B:$B,$G61
        ) * $J61 * $K61,
    0),
IF($M61="PER-LUBANG",
    IFERROR(
        SUMIFS('Upah Tenaga Ahli'!$D:$D,
               'Upah Tenaga Ahli'!$A:$A,"PER-LUBANG",
               'Upah Tenaga Ahli'!$B:$B,$G61
        ) * $L61 * $K61,
    0),
IF($M61="PER-M",
    IFERROR(
        SUMIFS('Upah Tenaga Ahli'!$E:$E,
               'Upah Tenaga Ahli'!$A:$A,"PER-M",
               'Upah Tenaga Ahli'!$B:$B,$G61
        ) * $J61 * $K61,
    0),
0)))</f>
        <v>1791000</v>
      </c>
      <c r="R61" t="s">
        <v>617</v>
      </c>
      <c r="S61" t="s">
        <v>23</v>
      </c>
      <c r="T61">
        <f>IF($M61="PER-M2",
   ($N61 * $J61 * $K61)
   + IFERROR(VLOOKUP($R61,Finishing!A:B,2,FALSE),0)
   + IFERROR(VLOOKUP($S61,Kerumitan!A:B,2,FALSE),0),
IF($M61="PER-LUBANG",
   ($P61 * $L61 * $K61)
   + IFERROR(VLOOKUP($R61,Finishing!A:B,2,FALSE),0)
   + IFERROR(VLOOKUP($S61,Kerumitan!A:B,2,FALSE),0),
IF($M61="PER-M",
   ($O61 * $J61 * $K61)
   + IFERROR(VLOOKUP($R61,Finishing!A:B,2,FALSE),0)
   + IFERROR(VLOOKUP($S61,Kerumitan!A:B,2,FALSE),0),
0)))</f>
        <v>10746000</v>
      </c>
    </row>
    <row r="62" spans="1:20" x14ac:dyDescent="0.45">
      <c r="A62" t="s">
        <v>136</v>
      </c>
      <c r="B62" s="5">
        <v>45836</v>
      </c>
      <c r="C62">
        <f t="shared" si="0"/>
        <v>2025</v>
      </c>
      <c r="D62" t="s">
        <v>90</v>
      </c>
      <c r="E62" t="s">
        <v>28</v>
      </c>
      <c r="F62" t="s">
        <v>8</v>
      </c>
      <c r="G62" t="s">
        <v>14</v>
      </c>
      <c r="H62" t="s">
        <v>612</v>
      </c>
      <c r="I62">
        <v>1</v>
      </c>
      <c r="J62">
        <v>0</v>
      </c>
      <c r="K62">
        <v>1</v>
      </c>
      <c r="L62">
        <v>21</v>
      </c>
      <c r="M62" t="str" cm="1">
        <f t="array" ref="M62">_xlfn.IFS(
   OR($F62="Pagar", $F62="Pintu Gerbang", $F62="Pintu Handerson", $F62="Kanopi"), "PER-M2",
   $F62="Teralis", "PER-LUBANG",
   OR($F62="Railing", $F62="Railing/Balkon"), "PER-M",
   TRUE, ""
)</f>
        <v>PER-LUBANG</v>
      </c>
      <c r="N62" cm="1">
        <f t="array" ref="N62">IF($M62="PER-M2",
  IFERROR(
     _xlfn.IFS(
        $G62="Hollow",
            INDEX('Referensi Harga'!$C:$C,
                  MATCH($F62&amp;$C62,'Referensi Harga'!$A:$A&amp;'Referensi Harga'!$B:$B,0)),
        $G62="Hollow Stainless",
            INDEX('Referensi Harga'!$D:$D,
                  MATCH($F62&amp;$C62,'Referensi Harga'!$A:$A&amp;'Referensi Harga'!$B:$B,0)),
        $G62="Pipa Stainless",
            INDEX('Referensi Harga'!$E:$E,
                  MATCH($F62&amp;$C62,'Referensi Harga'!$A:$A&amp;'Referensi Harga'!$B:$B,0))
     ),0)
  + IFERROR(VLOOKUP($H62,'Profile Size'!$A:$B,2,FALSE),0)
  + IFERROR(VLOOKUP($I62,'Ketebalan Material'!$A:$B,2,FALSE),0),
0)</f>
        <v>0</v>
      </c>
      <c r="O62">
        <f>IF($M62="PER-M",
  IFERROR(
    IF($G62="Hollow",
       INDEX('Referensi Harga'!$C:$C, MATCH($F62 &amp; "|" &amp; $C62, 'Referensi Harga'!$F:$F, 0)),
    IF($G62="Hollow Stainless",
       INDEX('Referensi Harga'!$D:$D, MATCH($F62 &amp; "|" &amp; $C62, 'Referensi Harga'!$F:$F, 0)),
       INDEX('Referensi Harga'!$E:$E, MATCH($F62 &amp; "|" &amp; $C62, 'Referensi Harga'!$F:$F, 0))
    ))
    + IFERROR(VLOOKUP($H62, 'Profile Size'!$A:$B, 2, FALSE), 0)
    + IFERROR(VLOOKUP($I62, 'Ketebalan Material'!$A:$B, 2, FALSE), 0), 0),
0)</f>
        <v>0</v>
      </c>
      <c r="P62" cm="1">
        <f t="array" ref="P62">IF($M62="PER-LUBANG",
  IFERROR(
     _xlfn.IFS(
        $G62="Hollow",
            INDEX('Referensi Harga'!$C:$C,
                  MATCH($F62&amp;$C62,'Referensi Harga'!$A:$A&amp;'Referensi Harga'!$B:$B,0)),
        $G62="Hollow Stainless",
            INDEX('Referensi Harga'!$D:$D,
                  MATCH($F62&amp;$C62,'Referensi Harga'!$A:$A&amp;'Referensi Harga'!$B:$B,0)),
        $G62="Pipa Stainless",
            INDEX('Referensi Harga'!$E:$E,
                  MATCH($F62&amp;$C62,'Referensi Harga'!$A:$A&amp;'Referensi Harga'!$B:$B,0))
     ),0)
  + IFERROR(VLOOKUP($H62,'Profile Size'!$A:$B,2,FALSE),0)
  + IFERROR(VLOOKUP($I62,'Ketebalan Material'!$A:$B,2,FALSE),0),
0)</f>
        <v>750000</v>
      </c>
      <c r="Q62">
        <f>IF($M62="PER-M2",
    IFERROR(
        SUMIFS('Upah Tenaga Ahli'!$C:$C,
               'Upah Tenaga Ahli'!$A:$A,"PER-M2",
               'Upah Tenaga Ahli'!$B:$B,$G62
        ) * $J62 * $K62,
    0),
IF($M62="PER-LUBANG",
    IFERROR(
        SUMIFS('Upah Tenaga Ahli'!$D:$D,
               'Upah Tenaga Ahli'!$A:$A,"PER-LUBANG",
               'Upah Tenaga Ahli'!$B:$B,$G62
        ) * $L62 * $K62,
    0),
IF($M62="PER-M",
    IFERROR(
        SUMIFS('Upah Tenaga Ahli'!$E:$E,
               'Upah Tenaga Ahli'!$A:$A,"PER-M",
               'Upah Tenaga Ahli'!$B:$B,$G62
        ) * $J62 * $K62,
    0),
0)))</f>
        <v>3150000</v>
      </c>
      <c r="R62" t="s">
        <v>617</v>
      </c>
      <c r="S62" t="s">
        <v>25</v>
      </c>
      <c r="T62">
        <f>IF($M62="PER-M2",
   ($N62 * $J62 * $K62)
   + IFERROR(VLOOKUP($R62,Finishing!A:B,2,FALSE),0)
   + IFERROR(VLOOKUP($S62,Kerumitan!A:B,2,FALSE),0),
IF($M62="PER-LUBANG",
   ($P62 * $L62 * $K62)
   + IFERROR(VLOOKUP($R62,Finishing!A:B,2,FALSE),0)
   + IFERROR(VLOOKUP($S62,Kerumitan!A:B,2,FALSE),0),
IF($M62="PER-M",
   ($O62 * $J62 * $K62)
   + IFERROR(VLOOKUP($R62,Finishing!A:B,2,FALSE),0)
   + IFERROR(VLOOKUP($S62,Kerumitan!A:B,2,FALSE),0),
0)))</f>
        <v>15900000</v>
      </c>
    </row>
    <row r="63" spans="1:20" x14ac:dyDescent="0.45">
      <c r="A63" t="s">
        <v>137</v>
      </c>
      <c r="B63" s="5">
        <v>43591</v>
      </c>
      <c r="C63">
        <f t="shared" si="0"/>
        <v>2019</v>
      </c>
      <c r="D63" t="s">
        <v>129</v>
      </c>
      <c r="E63" t="s">
        <v>28</v>
      </c>
      <c r="F63" t="s">
        <v>10</v>
      </c>
      <c r="G63" t="s">
        <v>14</v>
      </c>
      <c r="H63" t="s">
        <v>615</v>
      </c>
      <c r="I63">
        <v>1</v>
      </c>
      <c r="J63">
        <v>2.06</v>
      </c>
      <c r="K63">
        <v>1</v>
      </c>
      <c r="L63">
        <v>0</v>
      </c>
      <c r="M63" t="str" cm="1">
        <f t="array" ref="M63">_xlfn.IFS(
   OR($F63="Pagar", $F63="Pintu Gerbang", $F63="Pintu Handerson", $F63="Kanopi"), "PER-M2",
   $F63="Teralis", "PER-LUBANG",
   OR($F63="Railing", $F63="Railing/Balkon"), "PER-M",
   TRUE, ""
)</f>
        <v>PER-M2</v>
      </c>
      <c r="N63" cm="1">
        <f t="array" ref="N63">IF($M63="PER-M2",
  IFERROR(
     _xlfn.IFS(
        $G63="Hollow",
            INDEX('Referensi Harga'!$C:$C,
                  MATCH($F63&amp;$C63,'Referensi Harga'!$A:$A&amp;'Referensi Harga'!$B:$B,0)),
        $G63="Hollow Stainless",
            INDEX('Referensi Harga'!$D:$D,
                  MATCH($F63&amp;$C63,'Referensi Harga'!$A:$A&amp;'Referensi Harga'!$B:$B,0)),
        $G63="Pipa Stainless",
            INDEX('Referensi Harga'!$E:$E,
                  MATCH($F63&amp;$C63,'Referensi Harga'!$A:$A&amp;'Referensi Harga'!$B:$B,0))
     ),0)
  + IFERROR(VLOOKUP($H63,'Profile Size'!$A:$B,2,FALSE),0)
  + IFERROR(VLOOKUP($I63,'Ketebalan Material'!$A:$B,2,FALSE),0),
0)</f>
        <v>1350000</v>
      </c>
      <c r="O63">
        <f>IF($M63="PER-M",
  IFERROR(
    IF($G63="Hollow",
       INDEX('Referensi Harga'!$C:$C, MATCH($F63 &amp; "|" &amp; $C63, 'Referensi Harga'!$F:$F, 0)),
    IF($G63="Hollow Stainless",
       INDEX('Referensi Harga'!$D:$D, MATCH($F63 &amp; "|" &amp; $C63, 'Referensi Harga'!$F:$F, 0)),
       INDEX('Referensi Harga'!$E:$E, MATCH($F63 &amp; "|" &amp; $C63, 'Referensi Harga'!$F:$F, 0))
    ))
    + IFERROR(VLOOKUP($H63, 'Profile Size'!$A:$B, 2, FALSE), 0)
    + IFERROR(VLOOKUP($I63, 'Ketebalan Material'!$A:$B, 2, FALSE), 0), 0),
0)</f>
        <v>0</v>
      </c>
      <c r="P63" cm="1">
        <f t="array" ref="P63">IF($M63="PER-LUBANG",
  IFERROR(
     _xlfn.IFS(
        $G63="Hollow",
            INDEX('Referensi Harga'!$C:$C,
                  MATCH($F63&amp;$C63,'Referensi Harga'!$A:$A&amp;'Referensi Harga'!$B:$B,0)),
        $G63="Hollow Stainless",
            INDEX('Referensi Harga'!$D:$D,
                  MATCH($F63&amp;$C63,'Referensi Harga'!$A:$A&amp;'Referensi Harga'!$B:$B,0)),
        $G63="Pipa Stainless",
            INDEX('Referensi Harga'!$E:$E,
                  MATCH($F63&amp;$C63,'Referensi Harga'!$A:$A&amp;'Referensi Harga'!$B:$B,0))
     ),0)
  + IFERROR(VLOOKUP($H63,'Profile Size'!$A:$B,2,FALSE),0)
  + IFERROR(VLOOKUP($I63,'Ketebalan Material'!$A:$B,2,FALSE),0),
0)</f>
        <v>0</v>
      </c>
      <c r="Q63">
        <f>IF($M63="PER-M2",
    IFERROR(
        SUMIFS('Upah Tenaga Ahli'!$C:$C,
               'Upah Tenaga Ahli'!$A:$A,"PER-M2",
               'Upah Tenaga Ahli'!$B:$B,$G63
        ) * $J63 * $K63,
    0),
IF($M63="PER-LUBANG",
    IFERROR(
        SUMIFS('Upah Tenaga Ahli'!$D:$D,
               'Upah Tenaga Ahli'!$A:$A,"PER-LUBANG",
               'Upah Tenaga Ahli'!$B:$B,$G63
        ) * $L63 * $K63,
    0),
IF($M63="PER-M",
    IFERROR(
        SUMIFS('Upah Tenaga Ahli'!$E:$E,
               'Upah Tenaga Ahli'!$A:$A,"PER-M",
               'Upah Tenaga Ahli'!$B:$B,$G63
        ) * $J63 * $K63,
    0),
0)))</f>
        <v>412000</v>
      </c>
      <c r="R63" t="s">
        <v>617</v>
      </c>
      <c r="S63" t="s">
        <v>24</v>
      </c>
      <c r="T63">
        <f>IF($M63="PER-M2",
   ($N63 * $J63 * $K63)
   + IFERROR(VLOOKUP($R63,Finishing!A:B,2,FALSE),0)
   + IFERROR(VLOOKUP($S63,Kerumitan!A:B,2,FALSE),0),
IF($M63="PER-LUBANG",
   ($P63 * $L63 * $K63)
   + IFERROR(VLOOKUP($R63,Finishing!A:B,2,FALSE),0)
   + IFERROR(VLOOKUP($S63,Kerumitan!A:B,2,FALSE),0),
IF($M63="PER-M",
   ($O63 * $J63 * $K63)
   + IFERROR(VLOOKUP($R63,Finishing!A:B,2,FALSE),0)
   + IFERROR(VLOOKUP($S63,Kerumitan!A:B,2,FALSE),0),
0)))</f>
        <v>2881000</v>
      </c>
    </row>
    <row r="64" spans="1:20" x14ac:dyDescent="0.45">
      <c r="A64" t="s">
        <v>138</v>
      </c>
      <c r="B64" s="5">
        <v>45299</v>
      </c>
      <c r="C64">
        <f t="shared" si="0"/>
        <v>2024</v>
      </c>
      <c r="D64" t="s">
        <v>139</v>
      </c>
      <c r="E64" t="s">
        <v>38</v>
      </c>
      <c r="F64" t="s">
        <v>4</v>
      </c>
      <c r="G64" t="s">
        <v>15</v>
      </c>
      <c r="H64" t="s">
        <v>46</v>
      </c>
      <c r="I64">
        <v>0.8</v>
      </c>
      <c r="J64">
        <v>8.7200000000000006</v>
      </c>
      <c r="K64">
        <v>1</v>
      </c>
      <c r="L64">
        <v>0</v>
      </c>
      <c r="M64" t="str" cm="1">
        <f t="array" ref="M64">_xlfn.IFS(
   OR($F64="Pagar", $F64="Pintu Gerbang", $F64="Pintu Handerson", $F64="Kanopi"), "PER-M2",
   $F64="Teralis", "PER-LUBANG",
   OR($F64="Railing", $F64="Railing/Balkon"), "PER-M",
   TRUE, ""
)</f>
        <v>PER-M2</v>
      </c>
      <c r="N64" cm="1">
        <f t="array" ref="N64">IF($M64="PER-M2",
  IFERROR(
     _xlfn.IFS(
        $G64="Hollow",
            INDEX('Referensi Harga'!$C:$C,
                  MATCH($F64&amp;$C64,'Referensi Harga'!$A:$A&amp;'Referensi Harga'!$B:$B,0)),
        $G64="Hollow Stainless",
            INDEX('Referensi Harga'!$D:$D,
                  MATCH($F64&amp;$C64,'Referensi Harga'!$A:$A&amp;'Referensi Harga'!$B:$B,0)),
        $G64="Pipa Stainless",
            INDEX('Referensi Harga'!$E:$E,
                  MATCH($F64&amp;$C64,'Referensi Harga'!$A:$A&amp;'Referensi Harga'!$B:$B,0))
     ),0)
  + IFERROR(VLOOKUP($H64,'Profile Size'!$A:$B,2,FALSE),0)
  + IFERROR(VLOOKUP($I64,'Ketebalan Material'!$A:$B,2,FALSE),0),
0)</f>
        <v>1230000</v>
      </c>
      <c r="O64">
        <f>IF($M64="PER-M",
  IFERROR(
    IF($G64="Hollow",
       INDEX('Referensi Harga'!$C:$C, MATCH($F64 &amp; "|" &amp; $C64, 'Referensi Harga'!$F:$F, 0)),
    IF($G64="Hollow Stainless",
       INDEX('Referensi Harga'!$D:$D, MATCH($F64 &amp; "|" &amp; $C64, 'Referensi Harga'!$F:$F, 0)),
       INDEX('Referensi Harga'!$E:$E, MATCH($F64 &amp; "|" &amp; $C64, 'Referensi Harga'!$F:$F, 0))
    ))
    + IFERROR(VLOOKUP($H64, 'Profile Size'!$A:$B, 2, FALSE), 0)
    + IFERROR(VLOOKUP($I64, 'Ketebalan Material'!$A:$B, 2, FALSE), 0), 0),
0)</f>
        <v>0</v>
      </c>
      <c r="P64" cm="1">
        <f t="array" ref="P64">IF($M64="PER-LUBANG",
  IFERROR(
     _xlfn.IFS(
        $G64="Hollow",
            INDEX('Referensi Harga'!$C:$C,
                  MATCH($F64&amp;$C64,'Referensi Harga'!$A:$A&amp;'Referensi Harga'!$B:$B,0)),
        $G64="Hollow Stainless",
            INDEX('Referensi Harga'!$D:$D,
                  MATCH($F64&amp;$C64,'Referensi Harga'!$A:$A&amp;'Referensi Harga'!$B:$B,0)),
        $G64="Pipa Stainless",
            INDEX('Referensi Harga'!$E:$E,
                  MATCH($F64&amp;$C64,'Referensi Harga'!$A:$A&amp;'Referensi Harga'!$B:$B,0))
     ),0)
  + IFERROR(VLOOKUP($H64,'Profile Size'!$A:$B,2,FALSE),0)
  + IFERROR(VLOOKUP($I64,'Ketebalan Material'!$A:$B,2,FALSE),0),
0)</f>
        <v>0</v>
      </c>
      <c r="Q64">
        <f>IF($M64="PER-M2",
    IFERROR(
        SUMIFS('Upah Tenaga Ahli'!$C:$C,
               'Upah Tenaga Ahli'!$A:$A,"PER-M2",
               'Upah Tenaga Ahli'!$B:$B,$G64
        ) * $J64 * $K64,
    0),
IF($M64="PER-LUBANG",
    IFERROR(
        SUMIFS('Upah Tenaga Ahli'!$D:$D,
               'Upah Tenaga Ahli'!$A:$A,"PER-LUBANG",
               'Upah Tenaga Ahli'!$B:$B,$G64
        ) * $L64 * $K64,
    0),
IF($M64="PER-M",
    IFERROR(
        SUMIFS('Upah Tenaga Ahli'!$E:$E,
               'Upah Tenaga Ahli'!$A:$A,"PER-M",
               'Upah Tenaga Ahli'!$B:$B,$G64
        ) * $J64 * $K64,
    0),
0)))</f>
        <v>1308000</v>
      </c>
      <c r="R64" t="s">
        <v>617</v>
      </c>
      <c r="S64" t="s">
        <v>24</v>
      </c>
      <c r="T64">
        <f>IF($M64="PER-M2",
   ($N64 * $J64 * $K64)
   + IFERROR(VLOOKUP($R64,Finishing!A:B,2,FALSE),0)
   + IFERROR(VLOOKUP($S64,Kerumitan!A:B,2,FALSE),0),
IF($M64="PER-LUBANG",
   ($P64 * $L64 * $K64)
   + IFERROR(VLOOKUP($R64,Finishing!A:B,2,FALSE),0)
   + IFERROR(VLOOKUP($S64,Kerumitan!A:B,2,FALSE),0),
IF($M64="PER-M",
   ($O64 * $J64 * $K64)
   + IFERROR(VLOOKUP($R64,Finishing!A:B,2,FALSE),0)
   + IFERROR(VLOOKUP($S64,Kerumitan!A:B,2,FALSE),0),
0)))</f>
        <v>10825600</v>
      </c>
    </row>
    <row r="65" spans="1:20" x14ac:dyDescent="0.45">
      <c r="A65" t="s">
        <v>140</v>
      </c>
      <c r="B65" s="5">
        <v>43635</v>
      </c>
      <c r="C65">
        <f t="shared" si="0"/>
        <v>2019</v>
      </c>
      <c r="D65" t="s">
        <v>49</v>
      </c>
      <c r="E65" t="s">
        <v>57</v>
      </c>
      <c r="F65" t="s">
        <v>10</v>
      </c>
      <c r="G65" t="s">
        <v>13</v>
      </c>
      <c r="H65" t="s">
        <v>33</v>
      </c>
      <c r="I65">
        <v>1</v>
      </c>
      <c r="J65">
        <v>3.99</v>
      </c>
      <c r="K65">
        <v>2</v>
      </c>
      <c r="L65">
        <v>0</v>
      </c>
      <c r="M65" t="str" cm="1">
        <f t="array" ref="M65">_xlfn.IFS(
   OR($F65="Pagar", $F65="Pintu Gerbang", $F65="Pintu Handerson", $F65="Kanopi"), "PER-M2",
   $F65="Teralis", "PER-LUBANG",
   OR($F65="Railing", $F65="Railing/Balkon"), "PER-M",
   TRUE, ""
)</f>
        <v>PER-M2</v>
      </c>
      <c r="N65" cm="1">
        <f t="array" ref="N65">IF($M65="PER-M2",
  IFERROR(
     _xlfn.IFS(
        $G65="Hollow",
            INDEX('Referensi Harga'!$C:$C,
                  MATCH($F65&amp;$C65,'Referensi Harga'!$A:$A&amp;'Referensi Harga'!$B:$B,0)),
        $G65="Hollow Stainless",
            INDEX('Referensi Harga'!$D:$D,
                  MATCH($F65&amp;$C65,'Referensi Harga'!$A:$A&amp;'Referensi Harga'!$B:$B,0)),
        $G65="Pipa Stainless",
            INDEX('Referensi Harga'!$E:$E,
                  MATCH($F65&amp;$C65,'Referensi Harga'!$A:$A&amp;'Referensi Harga'!$B:$B,0))
     ),0)
  + IFERROR(VLOOKUP($H65,'Profile Size'!$A:$B,2,FALSE),0)
  + IFERROR(VLOOKUP($I65,'Ketebalan Material'!$A:$B,2,FALSE),0),
0)</f>
        <v>800000</v>
      </c>
      <c r="O65">
        <f>IF($M65="PER-M",
  IFERROR(
    IF($G65="Hollow",
       INDEX('Referensi Harga'!$C:$C, MATCH($F65 &amp; "|" &amp; $C65, 'Referensi Harga'!$F:$F, 0)),
    IF($G65="Hollow Stainless",
       INDEX('Referensi Harga'!$D:$D, MATCH($F65 &amp; "|" &amp; $C65, 'Referensi Harga'!$F:$F, 0)),
       INDEX('Referensi Harga'!$E:$E, MATCH($F65 &amp; "|" &amp; $C65, 'Referensi Harga'!$F:$F, 0))
    ))
    + IFERROR(VLOOKUP($H65, 'Profile Size'!$A:$B, 2, FALSE), 0)
    + IFERROR(VLOOKUP($I65, 'Ketebalan Material'!$A:$B, 2, FALSE), 0), 0),
0)</f>
        <v>0</v>
      </c>
      <c r="P65" cm="1">
        <f t="array" ref="P65">IF($M65="PER-LUBANG",
  IFERROR(
     _xlfn.IFS(
        $G65="Hollow",
            INDEX('Referensi Harga'!$C:$C,
                  MATCH($F65&amp;$C65,'Referensi Harga'!$A:$A&amp;'Referensi Harga'!$B:$B,0)),
        $G65="Hollow Stainless",
            INDEX('Referensi Harga'!$D:$D,
                  MATCH($F65&amp;$C65,'Referensi Harga'!$A:$A&amp;'Referensi Harga'!$B:$B,0)),
        $G65="Pipa Stainless",
            INDEX('Referensi Harga'!$E:$E,
                  MATCH($F65&amp;$C65,'Referensi Harga'!$A:$A&amp;'Referensi Harga'!$B:$B,0))
     ),0)
  + IFERROR(VLOOKUP($H65,'Profile Size'!$A:$B,2,FALSE),0)
  + IFERROR(VLOOKUP($I65,'Ketebalan Material'!$A:$B,2,FALSE),0),
0)</f>
        <v>0</v>
      </c>
      <c r="Q65">
        <f>IF($M65="PER-M2",
    IFERROR(
        SUMIFS('Upah Tenaga Ahli'!$C:$C,
               'Upah Tenaga Ahli'!$A:$A,"PER-M2",
               'Upah Tenaga Ahli'!$B:$B,$G65
        ) * $J65 * $K65,
    0),
IF($M65="PER-LUBANG",
    IFERROR(
        SUMIFS('Upah Tenaga Ahli'!$D:$D,
               'Upah Tenaga Ahli'!$A:$A,"PER-LUBANG",
               'Upah Tenaga Ahli'!$B:$B,$G65
        ) * $L65 * $K65,
    0),
IF($M65="PER-M",
    IFERROR(
        SUMIFS('Upah Tenaga Ahli'!$E:$E,
               'Upah Tenaga Ahli'!$A:$A,"PER-M",
               'Upah Tenaga Ahli'!$B:$B,$G65
        ) * $J65 * $K65,
    0),
0)))</f>
        <v>798000</v>
      </c>
      <c r="R65" t="s">
        <v>19</v>
      </c>
      <c r="S65" t="s">
        <v>24</v>
      </c>
      <c r="T65">
        <f>IF($M65="PER-M2",
   ($N65 * $J65 * $K65)
   + IFERROR(VLOOKUP($R65,Finishing!A:B,2,FALSE),0)
   + IFERROR(VLOOKUP($S65,Kerumitan!A:B,2,FALSE),0),
IF($M65="PER-LUBANG",
   ($P65 * $L65 * $K65)
   + IFERROR(VLOOKUP($R65,Finishing!A:B,2,FALSE),0)
   + IFERROR(VLOOKUP($S65,Kerumitan!A:B,2,FALSE),0),
IF($M65="PER-M",
   ($O65 * $J65 * $K65)
   + IFERROR(VLOOKUP($R65,Finishing!A:B,2,FALSE),0)
   + IFERROR(VLOOKUP($S65,Kerumitan!A:B,2,FALSE),0),
0)))</f>
        <v>6534000</v>
      </c>
    </row>
    <row r="66" spans="1:20" x14ac:dyDescent="0.45">
      <c r="A66" t="s">
        <v>141</v>
      </c>
      <c r="B66" s="5">
        <v>43696</v>
      </c>
      <c r="C66">
        <f t="shared" si="0"/>
        <v>2019</v>
      </c>
      <c r="D66" t="s">
        <v>117</v>
      </c>
      <c r="E66" t="s">
        <v>91</v>
      </c>
      <c r="F66" t="s">
        <v>6</v>
      </c>
      <c r="G66" t="s">
        <v>15</v>
      </c>
      <c r="H66" t="s">
        <v>33</v>
      </c>
      <c r="I66">
        <v>1</v>
      </c>
      <c r="J66">
        <v>14.9</v>
      </c>
      <c r="K66">
        <v>1</v>
      </c>
      <c r="L66">
        <v>0</v>
      </c>
      <c r="M66" t="str" cm="1">
        <f t="array" ref="M66">_xlfn.IFS(
   OR($F66="Pagar", $F66="Pintu Gerbang", $F66="Pintu Handerson", $F66="Kanopi"), "PER-M2",
   $F66="Teralis", "PER-LUBANG",
   OR($F66="Railing", $F66="Railing/Balkon"), "PER-M",
   TRUE, ""
)</f>
        <v>PER-M2</v>
      </c>
      <c r="N66" cm="1">
        <f t="array" ref="N66">IF($M66="PER-M2",
  IFERROR(
     _xlfn.IFS(
        $G66="Hollow",
            INDEX('Referensi Harga'!$C:$C,
                  MATCH($F66&amp;$C66,'Referensi Harga'!$A:$A&amp;'Referensi Harga'!$B:$B,0)),
        $G66="Hollow Stainless",
            INDEX('Referensi Harga'!$D:$D,
                  MATCH($F66&amp;$C66,'Referensi Harga'!$A:$A&amp;'Referensi Harga'!$B:$B,0)),
        $G66="Pipa Stainless",
            INDEX('Referensi Harga'!$E:$E,
                  MATCH($F66&amp;$C66,'Referensi Harga'!$A:$A&amp;'Referensi Harga'!$B:$B,0))
     ),0)
  + IFERROR(VLOOKUP($H66,'Profile Size'!$A:$B,2,FALSE),0)
  + IFERROR(VLOOKUP($I66,'Ketebalan Material'!$A:$B,2,FALSE),0),
0)</f>
        <v>700000</v>
      </c>
      <c r="O66">
        <f>IF($M66="PER-M",
  IFERROR(
    IF($G66="Hollow",
       INDEX('Referensi Harga'!$C:$C, MATCH($F66 &amp; "|" &amp; $C66, 'Referensi Harga'!$F:$F, 0)),
    IF($G66="Hollow Stainless",
       INDEX('Referensi Harga'!$D:$D, MATCH($F66 &amp; "|" &amp; $C66, 'Referensi Harga'!$F:$F, 0)),
       INDEX('Referensi Harga'!$E:$E, MATCH($F66 &amp; "|" &amp; $C66, 'Referensi Harga'!$F:$F, 0))
    ))
    + IFERROR(VLOOKUP($H66, 'Profile Size'!$A:$B, 2, FALSE), 0)
    + IFERROR(VLOOKUP($I66, 'Ketebalan Material'!$A:$B, 2, FALSE), 0), 0),
0)</f>
        <v>0</v>
      </c>
      <c r="P66" cm="1">
        <f t="array" ref="P66">IF($M66="PER-LUBANG",
  IFERROR(
     _xlfn.IFS(
        $G66="Hollow",
            INDEX('Referensi Harga'!$C:$C,
                  MATCH($F66&amp;$C66,'Referensi Harga'!$A:$A&amp;'Referensi Harga'!$B:$B,0)),
        $G66="Hollow Stainless",
            INDEX('Referensi Harga'!$D:$D,
                  MATCH($F66&amp;$C66,'Referensi Harga'!$A:$A&amp;'Referensi Harga'!$B:$B,0)),
        $G66="Pipa Stainless",
            INDEX('Referensi Harga'!$E:$E,
                  MATCH($F66&amp;$C66,'Referensi Harga'!$A:$A&amp;'Referensi Harga'!$B:$B,0))
     ),0)
  + IFERROR(VLOOKUP($H66,'Profile Size'!$A:$B,2,FALSE),0)
  + IFERROR(VLOOKUP($I66,'Ketebalan Material'!$A:$B,2,FALSE),0),
0)</f>
        <v>0</v>
      </c>
      <c r="Q66">
        <f>IF($M66="PER-M2",
    IFERROR(
        SUMIFS('Upah Tenaga Ahli'!$C:$C,
               'Upah Tenaga Ahli'!$A:$A,"PER-M2",
               'Upah Tenaga Ahli'!$B:$B,$G66
        ) * $J66 * $K66,
    0),
IF($M66="PER-LUBANG",
    IFERROR(
        SUMIFS('Upah Tenaga Ahli'!$D:$D,
               'Upah Tenaga Ahli'!$A:$A,"PER-LUBANG",
               'Upah Tenaga Ahli'!$B:$B,$G66
        ) * $L66 * $K66,
    0),
IF($M66="PER-M",
    IFERROR(
        SUMIFS('Upah Tenaga Ahli'!$E:$E,
               'Upah Tenaga Ahli'!$A:$A,"PER-M",
               'Upah Tenaga Ahli'!$B:$B,$G66
        ) * $J66 * $K66,
    0),
0)))</f>
        <v>2235000</v>
      </c>
      <c r="R66" t="s">
        <v>617</v>
      </c>
      <c r="S66" t="s">
        <v>23</v>
      </c>
      <c r="T66">
        <f>IF($M66="PER-M2",
   ($N66 * $J66 * $K66)
   + IFERROR(VLOOKUP($R66,Finishing!A:B,2,FALSE),0)
   + IFERROR(VLOOKUP($S66,Kerumitan!A:B,2,FALSE),0),
IF($M66="PER-LUBANG",
   ($P66 * $L66 * $K66)
   + IFERROR(VLOOKUP($R66,Finishing!A:B,2,FALSE),0)
   + IFERROR(VLOOKUP($S66,Kerumitan!A:B,2,FALSE),0),
IF($M66="PER-M",
   ($O66 * $J66 * $K66)
   + IFERROR(VLOOKUP($R66,Finishing!A:B,2,FALSE),0)
   + IFERROR(VLOOKUP($S66,Kerumitan!A:B,2,FALSE),0),
0)))</f>
        <v>10430000</v>
      </c>
    </row>
    <row r="67" spans="1:20" x14ac:dyDescent="0.45">
      <c r="A67" t="s">
        <v>142</v>
      </c>
      <c r="B67" s="5">
        <v>44114</v>
      </c>
      <c r="C67">
        <f t="shared" ref="C67:C130" si="1">IF($B67="","",YEAR($B67))</f>
        <v>2020</v>
      </c>
      <c r="D67" t="s">
        <v>143</v>
      </c>
      <c r="E67" t="s">
        <v>121</v>
      </c>
      <c r="F67" t="s">
        <v>7</v>
      </c>
      <c r="G67" t="s">
        <v>13</v>
      </c>
      <c r="H67" t="s">
        <v>33</v>
      </c>
      <c r="I67">
        <v>1.2</v>
      </c>
      <c r="J67">
        <v>5.4</v>
      </c>
      <c r="K67">
        <v>1</v>
      </c>
      <c r="L67">
        <v>0</v>
      </c>
      <c r="M67" t="str" cm="1">
        <f t="array" ref="M67">_xlfn.IFS(
   OR($F67="Pagar", $F67="Pintu Gerbang", $F67="Pintu Handerson", $F67="Kanopi"), "PER-M2",
   $F67="Teralis", "PER-LUBANG",
   OR($F67="Railing", $F67="Railing/Balkon"), "PER-M",
   TRUE, ""
)</f>
        <v>PER-M2</v>
      </c>
      <c r="N67" cm="1">
        <f t="array" ref="N67">IF($M67="PER-M2",
  IFERROR(
     _xlfn.IFS(
        $G67="Hollow",
            INDEX('Referensi Harga'!$C:$C,
                  MATCH($F67&amp;$C67,'Referensi Harga'!$A:$A&amp;'Referensi Harga'!$B:$B,0)),
        $G67="Hollow Stainless",
            INDEX('Referensi Harga'!$D:$D,
                  MATCH($F67&amp;$C67,'Referensi Harga'!$A:$A&amp;'Referensi Harga'!$B:$B,0)),
        $G67="Pipa Stainless",
            INDEX('Referensi Harga'!$E:$E,
                  MATCH($F67&amp;$C67,'Referensi Harga'!$A:$A&amp;'Referensi Harga'!$B:$B,0))
     ),0)
  + IFERROR(VLOOKUP($H67,'Profile Size'!$A:$B,2,FALSE),0)
  + IFERROR(VLOOKUP($I67,'Ketebalan Material'!$A:$B,2,FALSE),0),
0)</f>
        <v>700000</v>
      </c>
      <c r="O67">
        <f>IF($M67="PER-M",
  IFERROR(
    IF($G67="Hollow",
       INDEX('Referensi Harga'!$C:$C, MATCH($F67 &amp; "|" &amp; $C67, 'Referensi Harga'!$F:$F, 0)),
    IF($G67="Hollow Stainless",
       INDEX('Referensi Harga'!$D:$D, MATCH($F67 &amp; "|" &amp; $C67, 'Referensi Harga'!$F:$F, 0)),
       INDEX('Referensi Harga'!$E:$E, MATCH($F67 &amp; "|" &amp; $C67, 'Referensi Harga'!$F:$F, 0))
    ))
    + IFERROR(VLOOKUP($H67, 'Profile Size'!$A:$B, 2, FALSE), 0)
    + IFERROR(VLOOKUP($I67, 'Ketebalan Material'!$A:$B, 2, FALSE), 0), 0),
0)</f>
        <v>0</v>
      </c>
      <c r="P67" cm="1">
        <f t="array" ref="P67">IF($M67="PER-LUBANG",
  IFERROR(
     _xlfn.IFS(
        $G67="Hollow",
            INDEX('Referensi Harga'!$C:$C,
                  MATCH($F67&amp;$C67,'Referensi Harga'!$A:$A&amp;'Referensi Harga'!$B:$B,0)),
        $G67="Hollow Stainless",
            INDEX('Referensi Harga'!$D:$D,
                  MATCH($F67&amp;$C67,'Referensi Harga'!$A:$A&amp;'Referensi Harga'!$B:$B,0)),
        $G67="Pipa Stainless",
            INDEX('Referensi Harga'!$E:$E,
                  MATCH($F67&amp;$C67,'Referensi Harga'!$A:$A&amp;'Referensi Harga'!$B:$B,0))
     ),0)
  + IFERROR(VLOOKUP($H67,'Profile Size'!$A:$B,2,FALSE),0)
  + IFERROR(VLOOKUP($I67,'Ketebalan Material'!$A:$B,2,FALSE),0),
0)</f>
        <v>0</v>
      </c>
      <c r="Q67">
        <f>IF($M67="PER-M2",
    IFERROR(
        SUMIFS('Upah Tenaga Ahli'!$C:$C,
               'Upah Tenaga Ahli'!$A:$A,"PER-M2",
               'Upah Tenaga Ahli'!$B:$B,$G67
        ) * $J67 * $K67,
    0),
IF($M67="PER-LUBANG",
    IFERROR(
        SUMIFS('Upah Tenaga Ahli'!$D:$D,
               'Upah Tenaga Ahli'!$A:$A,"PER-LUBANG",
               'Upah Tenaga Ahli'!$B:$B,$G67
        ) * $L67 * $K67,
    0),
IF($M67="PER-M",
    IFERROR(
        SUMIFS('Upah Tenaga Ahli'!$E:$E,
               'Upah Tenaga Ahli'!$A:$A,"PER-M",
               'Upah Tenaga Ahli'!$B:$B,$G67
        ) * $J67 * $K67,
    0),
0)))</f>
        <v>540000</v>
      </c>
      <c r="R67" t="s">
        <v>19</v>
      </c>
      <c r="S67" t="s">
        <v>23</v>
      </c>
      <c r="T67">
        <f>IF($M67="PER-M2",
   ($N67 * $J67 * $K67)
   + IFERROR(VLOOKUP($R67,Finishing!A:B,2,FALSE),0)
   + IFERROR(VLOOKUP($S67,Kerumitan!A:B,2,FALSE),0),
IF($M67="PER-LUBANG",
   ($P67 * $L67 * $K67)
   + IFERROR(VLOOKUP($R67,Finishing!A:B,2,FALSE),0)
   + IFERROR(VLOOKUP($S67,Kerumitan!A:B,2,FALSE),0),
IF($M67="PER-M",
   ($O67 * $J67 * $K67)
   + IFERROR(VLOOKUP($R67,Finishing!A:B,2,FALSE),0)
   + IFERROR(VLOOKUP($S67,Kerumitan!A:B,2,FALSE),0),
0)))</f>
        <v>3830000.0000000005</v>
      </c>
    </row>
    <row r="68" spans="1:20" x14ac:dyDescent="0.45">
      <c r="A68" t="s">
        <v>144</v>
      </c>
      <c r="B68" s="5">
        <v>45046</v>
      </c>
      <c r="C68">
        <f t="shared" si="1"/>
        <v>2023</v>
      </c>
      <c r="D68" t="s">
        <v>133</v>
      </c>
      <c r="E68" t="s">
        <v>108</v>
      </c>
      <c r="F68" t="s">
        <v>8</v>
      </c>
      <c r="G68" t="s">
        <v>14</v>
      </c>
      <c r="H68" t="s">
        <v>612</v>
      </c>
      <c r="I68">
        <v>0.8</v>
      </c>
      <c r="J68">
        <v>0</v>
      </c>
      <c r="K68">
        <v>1</v>
      </c>
      <c r="L68">
        <v>17</v>
      </c>
      <c r="M68" t="str" cm="1">
        <f t="array" ref="M68">_xlfn.IFS(
   OR($F68="Pagar", $F68="Pintu Gerbang", $F68="Pintu Handerson", $F68="Kanopi"), "PER-M2",
   $F68="Teralis", "PER-LUBANG",
   OR($F68="Railing", $F68="Railing/Balkon"), "PER-M",
   TRUE, ""
)</f>
        <v>PER-LUBANG</v>
      </c>
      <c r="N68" cm="1">
        <f t="array" ref="N68">IF($M68="PER-M2",
  IFERROR(
     _xlfn.IFS(
        $G68="Hollow",
            INDEX('Referensi Harga'!$C:$C,
                  MATCH($F68&amp;$C68,'Referensi Harga'!$A:$A&amp;'Referensi Harga'!$B:$B,0)),
        $G68="Hollow Stainless",
            INDEX('Referensi Harga'!$D:$D,
                  MATCH($F68&amp;$C68,'Referensi Harga'!$A:$A&amp;'Referensi Harga'!$B:$B,0)),
        $G68="Pipa Stainless",
            INDEX('Referensi Harga'!$E:$E,
                  MATCH($F68&amp;$C68,'Referensi Harga'!$A:$A&amp;'Referensi Harga'!$B:$B,0))
     ),0)
  + IFERROR(VLOOKUP($H68,'Profile Size'!$A:$B,2,FALSE),0)
  + IFERROR(VLOOKUP($I68,'Ketebalan Material'!$A:$B,2,FALSE),0),
0)</f>
        <v>0</v>
      </c>
      <c r="O68">
        <f>IF($M68="PER-M",
  IFERROR(
    IF($G68="Hollow",
       INDEX('Referensi Harga'!$C:$C, MATCH($F68 &amp; "|" &amp; $C68, 'Referensi Harga'!$F:$F, 0)),
    IF($G68="Hollow Stainless",
       INDEX('Referensi Harga'!$D:$D, MATCH($F68 &amp; "|" &amp; $C68, 'Referensi Harga'!$F:$F, 0)),
       INDEX('Referensi Harga'!$E:$E, MATCH($F68 &amp; "|" &amp; $C68, 'Referensi Harga'!$F:$F, 0))
    ))
    + IFERROR(VLOOKUP($H68, 'Profile Size'!$A:$B, 2, FALSE), 0)
    + IFERROR(VLOOKUP($I68, 'Ketebalan Material'!$A:$B, 2, FALSE), 0), 0),
0)</f>
        <v>0</v>
      </c>
      <c r="P68" cm="1">
        <f t="array" ref="P68">IF($M68="PER-LUBANG",
  IFERROR(
     _xlfn.IFS(
        $G68="Hollow",
            INDEX('Referensi Harga'!$C:$C,
                  MATCH($F68&amp;$C68,'Referensi Harga'!$A:$A&amp;'Referensi Harga'!$B:$B,0)),
        $G68="Hollow Stainless",
            INDEX('Referensi Harga'!$D:$D,
                  MATCH($F68&amp;$C68,'Referensi Harga'!$A:$A&amp;'Referensi Harga'!$B:$B,0)),
        $G68="Pipa Stainless",
            INDEX('Referensi Harga'!$E:$E,
                  MATCH($F68&amp;$C68,'Referensi Harga'!$A:$A&amp;'Referensi Harga'!$B:$B,0))
     ),0)
  + IFERROR(VLOOKUP($H68,'Profile Size'!$A:$B,2,FALSE),0)
  + IFERROR(VLOOKUP($I68,'Ketebalan Material'!$A:$B,2,FALSE),0),
0)</f>
        <v>680000</v>
      </c>
      <c r="Q68">
        <f>IF($M68="PER-M2",
    IFERROR(
        SUMIFS('Upah Tenaga Ahli'!$C:$C,
               'Upah Tenaga Ahli'!$A:$A,"PER-M2",
               'Upah Tenaga Ahli'!$B:$B,$G68
        ) * $J68 * $K68,
    0),
IF($M68="PER-LUBANG",
    IFERROR(
        SUMIFS('Upah Tenaga Ahli'!$D:$D,
               'Upah Tenaga Ahli'!$A:$A,"PER-LUBANG",
               'Upah Tenaga Ahli'!$B:$B,$G68
        ) * $L68 * $K68,
    0),
IF($M68="PER-M",
    IFERROR(
        SUMIFS('Upah Tenaga Ahli'!$E:$E,
               'Upah Tenaga Ahli'!$A:$A,"PER-M",
               'Upah Tenaga Ahli'!$B:$B,$G68
        ) * $J68 * $K68,
    0),
0)))</f>
        <v>2550000</v>
      </c>
      <c r="R68" t="s">
        <v>617</v>
      </c>
      <c r="S68" t="s">
        <v>24</v>
      </c>
      <c r="T68">
        <f>IF($M68="PER-M2",
   ($N68 * $J68 * $K68)
   + IFERROR(VLOOKUP($R68,Finishing!A:B,2,FALSE),0)
   + IFERROR(VLOOKUP($S68,Kerumitan!A:B,2,FALSE),0),
IF($M68="PER-LUBANG",
   ($P68 * $L68 * $K68)
   + IFERROR(VLOOKUP($R68,Finishing!A:B,2,FALSE),0)
   + IFERROR(VLOOKUP($S68,Kerumitan!A:B,2,FALSE),0),
IF($M68="PER-M",
   ($O68 * $J68 * $K68)
   + IFERROR(VLOOKUP($R68,Finishing!A:B,2,FALSE),0)
   + IFERROR(VLOOKUP($S68,Kerumitan!A:B,2,FALSE),0),
0)))</f>
        <v>11660000</v>
      </c>
    </row>
    <row r="69" spans="1:20" x14ac:dyDescent="0.45">
      <c r="A69" t="s">
        <v>145</v>
      </c>
      <c r="B69" s="5">
        <v>45162</v>
      </c>
      <c r="C69">
        <f t="shared" si="1"/>
        <v>2023</v>
      </c>
      <c r="D69" t="s">
        <v>126</v>
      </c>
      <c r="E69" t="s">
        <v>38</v>
      </c>
      <c r="F69" t="s">
        <v>4</v>
      </c>
      <c r="G69" t="s">
        <v>13</v>
      </c>
      <c r="H69" t="s">
        <v>46</v>
      </c>
      <c r="I69">
        <v>1.2</v>
      </c>
      <c r="J69">
        <v>13.67</v>
      </c>
      <c r="K69">
        <v>1</v>
      </c>
      <c r="L69">
        <v>0</v>
      </c>
      <c r="M69" t="str" cm="1">
        <f t="array" ref="M69">_xlfn.IFS(
   OR($F69="Pagar", $F69="Pintu Gerbang", $F69="Pintu Handerson", $F69="Kanopi"), "PER-M2",
   $F69="Teralis", "PER-LUBANG",
   OR($F69="Railing", $F69="Railing/Balkon"), "PER-M",
   TRUE, ""
)</f>
        <v>PER-M2</v>
      </c>
      <c r="N69" cm="1">
        <f t="array" ref="N69">IF($M69="PER-M2",
  IFERROR(
     _xlfn.IFS(
        $G69="Hollow",
            INDEX('Referensi Harga'!$C:$C,
                  MATCH($F69&amp;$C69,'Referensi Harga'!$A:$A&amp;'Referensi Harga'!$B:$B,0)),
        $G69="Hollow Stainless",
            INDEX('Referensi Harga'!$D:$D,
                  MATCH($F69&amp;$C69,'Referensi Harga'!$A:$A&amp;'Referensi Harga'!$B:$B,0)),
        $G69="Pipa Stainless",
            INDEX('Referensi Harga'!$E:$E,
                  MATCH($F69&amp;$C69,'Referensi Harga'!$A:$A&amp;'Referensi Harga'!$B:$B,0))
     ),0)
  + IFERROR(VLOOKUP($H69,'Profile Size'!$A:$B,2,FALSE),0)
  + IFERROR(VLOOKUP($I69,'Ketebalan Material'!$A:$B,2,FALSE),0),
0)</f>
        <v>700000</v>
      </c>
      <c r="O69">
        <f>IF($M69="PER-M",
  IFERROR(
    IF($G69="Hollow",
       INDEX('Referensi Harga'!$C:$C, MATCH($F69 &amp; "|" &amp; $C69, 'Referensi Harga'!$F:$F, 0)),
    IF($G69="Hollow Stainless",
       INDEX('Referensi Harga'!$D:$D, MATCH($F69 &amp; "|" &amp; $C69, 'Referensi Harga'!$F:$F, 0)),
       INDEX('Referensi Harga'!$E:$E, MATCH($F69 &amp; "|" &amp; $C69, 'Referensi Harga'!$F:$F, 0))
    ))
    + IFERROR(VLOOKUP($H69, 'Profile Size'!$A:$B, 2, FALSE), 0)
    + IFERROR(VLOOKUP($I69, 'Ketebalan Material'!$A:$B, 2, FALSE), 0), 0),
0)</f>
        <v>0</v>
      </c>
      <c r="P69" cm="1">
        <f t="array" ref="P69">IF($M69="PER-LUBANG",
  IFERROR(
     _xlfn.IFS(
        $G69="Hollow",
            INDEX('Referensi Harga'!$C:$C,
                  MATCH($F69&amp;$C69,'Referensi Harga'!$A:$A&amp;'Referensi Harga'!$B:$B,0)),
        $G69="Hollow Stainless",
            INDEX('Referensi Harga'!$D:$D,
                  MATCH($F69&amp;$C69,'Referensi Harga'!$A:$A&amp;'Referensi Harga'!$B:$B,0)),
        $G69="Pipa Stainless",
            INDEX('Referensi Harga'!$E:$E,
                  MATCH($F69&amp;$C69,'Referensi Harga'!$A:$A&amp;'Referensi Harga'!$B:$B,0))
     ),0)
  + IFERROR(VLOOKUP($H69,'Profile Size'!$A:$B,2,FALSE),0)
  + IFERROR(VLOOKUP($I69,'Ketebalan Material'!$A:$B,2,FALSE),0),
0)</f>
        <v>0</v>
      </c>
      <c r="Q69">
        <f>IF($M69="PER-M2",
    IFERROR(
        SUMIFS('Upah Tenaga Ahli'!$C:$C,
               'Upah Tenaga Ahli'!$A:$A,"PER-M2",
               'Upah Tenaga Ahli'!$B:$B,$G69
        ) * $J69 * $K69,
    0),
IF($M69="PER-LUBANG",
    IFERROR(
        SUMIFS('Upah Tenaga Ahli'!$D:$D,
               'Upah Tenaga Ahli'!$A:$A,"PER-LUBANG",
               'Upah Tenaga Ahli'!$B:$B,$G69
        ) * $L69 * $K69,
    0),
IF($M69="PER-M",
    IFERROR(
        SUMIFS('Upah Tenaga Ahli'!$E:$E,
               'Upah Tenaga Ahli'!$A:$A,"PER-M",
               'Upah Tenaga Ahli'!$B:$B,$G69
        ) * $J69 * $K69,
    0),
0)))</f>
        <v>1367000</v>
      </c>
      <c r="R69" t="s">
        <v>19</v>
      </c>
      <c r="S69" t="s">
        <v>23</v>
      </c>
      <c r="T69">
        <f>IF($M69="PER-M2",
   ($N69 * $J69 * $K69)
   + IFERROR(VLOOKUP($R69,Finishing!A:B,2,FALSE),0)
   + IFERROR(VLOOKUP($S69,Kerumitan!A:B,2,FALSE),0),
IF($M69="PER-LUBANG",
   ($P69 * $L69 * $K69)
   + IFERROR(VLOOKUP($R69,Finishing!A:B,2,FALSE),0)
   + IFERROR(VLOOKUP($S69,Kerumitan!A:B,2,FALSE),0),
IF($M69="PER-M",
   ($O69 * $J69 * $K69)
   + IFERROR(VLOOKUP($R69,Finishing!A:B,2,FALSE),0)
   + IFERROR(VLOOKUP($S69,Kerumitan!A:B,2,FALSE),0),
0)))</f>
        <v>9619000</v>
      </c>
    </row>
    <row r="70" spans="1:20" x14ac:dyDescent="0.45">
      <c r="A70" t="s">
        <v>146</v>
      </c>
      <c r="B70" s="5">
        <v>45817</v>
      </c>
      <c r="C70">
        <f t="shared" si="1"/>
        <v>2025</v>
      </c>
      <c r="D70" t="s">
        <v>40</v>
      </c>
      <c r="E70" t="s">
        <v>44</v>
      </c>
      <c r="F70" t="s">
        <v>4</v>
      </c>
      <c r="G70" t="s">
        <v>13</v>
      </c>
      <c r="H70" t="s">
        <v>46</v>
      </c>
      <c r="I70">
        <v>1</v>
      </c>
      <c r="J70">
        <v>8.07</v>
      </c>
      <c r="K70">
        <v>1</v>
      </c>
      <c r="L70">
        <v>0</v>
      </c>
      <c r="M70" t="str" cm="1">
        <f t="array" ref="M70">_xlfn.IFS(
   OR($F70="Pagar", $F70="Pintu Gerbang", $F70="Pintu Handerson", $F70="Kanopi"), "PER-M2",
   $F70="Teralis", "PER-LUBANG",
   OR($F70="Railing", $F70="Railing/Balkon"), "PER-M",
   TRUE, ""
)</f>
        <v>PER-M2</v>
      </c>
      <c r="N70" cm="1">
        <f t="array" ref="N70">IF($M70="PER-M2",
  IFERROR(
     _xlfn.IFS(
        $G70="Hollow",
            INDEX('Referensi Harga'!$C:$C,
                  MATCH($F70&amp;$C70,'Referensi Harga'!$A:$A&amp;'Referensi Harga'!$B:$B,0)),
        $G70="Hollow Stainless",
            INDEX('Referensi Harga'!$D:$D,
                  MATCH($F70&amp;$C70,'Referensi Harga'!$A:$A&amp;'Referensi Harga'!$B:$B,0)),
        $G70="Pipa Stainless",
            INDEX('Referensi Harga'!$E:$E,
                  MATCH($F70&amp;$C70,'Referensi Harga'!$A:$A&amp;'Referensi Harga'!$B:$B,0))
     ),0)
  + IFERROR(VLOOKUP($H70,'Profile Size'!$A:$B,2,FALSE),0)
  + IFERROR(VLOOKUP($I70,'Ketebalan Material'!$A:$B,2,FALSE),0),
0)</f>
        <v>700000</v>
      </c>
      <c r="O70">
        <f>IF($M70="PER-M",
  IFERROR(
    IF($G70="Hollow",
       INDEX('Referensi Harga'!$C:$C, MATCH($F70 &amp; "|" &amp; $C70, 'Referensi Harga'!$F:$F, 0)),
    IF($G70="Hollow Stainless",
       INDEX('Referensi Harga'!$D:$D, MATCH($F70 &amp; "|" &amp; $C70, 'Referensi Harga'!$F:$F, 0)),
       INDEX('Referensi Harga'!$E:$E, MATCH($F70 &amp; "|" &amp; $C70, 'Referensi Harga'!$F:$F, 0))
    ))
    + IFERROR(VLOOKUP($H70, 'Profile Size'!$A:$B, 2, FALSE), 0)
    + IFERROR(VLOOKUP($I70, 'Ketebalan Material'!$A:$B, 2, FALSE), 0), 0),
0)</f>
        <v>0</v>
      </c>
      <c r="P70" cm="1">
        <f t="array" ref="P70">IF($M70="PER-LUBANG",
  IFERROR(
     _xlfn.IFS(
        $G70="Hollow",
            INDEX('Referensi Harga'!$C:$C,
                  MATCH($F70&amp;$C70,'Referensi Harga'!$A:$A&amp;'Referensi Harga'!$B:$B,0)),
        $G70="Hollow Stainless",
            INDEX('Referensi Harga'!$D:$D,
                  MATCH($F70&amp;$C70,'Referensi Harga'!$A:$A&amp;'Referensi Harga'!$B:$B,0)),
        $G70="Pipa Stainless",
            INDEX('Referensi Harga'!$E:$E,
                  MATCH($F70&amp;$C70,'Referensi Harga'!$A:$A&amp;'Referensi Harga'!$B:$B,0))
     ),0)
  + IFERROR(VLOOKUP($H70,'Profile Size'!$A:$B,2,FALSE),0)
  + IFERROR(VLOOKUP($I70,'Ketebalan Material'!$A:$B,2,FALSE),0),
0)</f>
        <v>0</v>
      </c>
      <c r="Q70">
        <f>IF($M70="PER-M2",
    IFERROR(
        SUMIFS('Upah Tenaga Ahli'!$C:$C,
               'Upah Tenaga Ahli'!$A:$A,"PER-M2",
               'Upah Tenaga Ahli'!$B:$B,$G70
        ) * $J70 * $K70,
    0),
IF($M70="PER-LUBANG",
    IFERROR(
        SUMIFS('Upah Tenaga Ahli'!$D:$D,
               'Upah Tenaga Ahli'!$A:$A,"PER-LUBANG",
               'Upah Tenaga Ahli'!$B:$B,$G70
        ) * $L70 * $K70,
    0),
IF($M70="PER-M",
    IFERROR(
        SUMIFS('Upah Tenaga Ahli'!$E:$E,
               'Upah Tenaga Ahli'!$A:$A,"PER-M",
               'Upah Tenaga Ahli'!$B:$B,$G70
        ) * $J70 * $K70,
    0),
0)))</f>
        <v>807000</v>
      </c>
      <c r="R70" t="s">
        <v>18</v>
      </c>
      <c r="S70" t="s">
        <v>24</v>
      </c>
      <c r="T70">
        <f>IF($M70="PER-M2",
   ($N70 * $J70 * $K70)
   + IFERROR(VLOOKUP($R70,Finishing!A:B,2,FALSE),0)
   + IFERROR(VLOOKUP($S70,Kerumitan!A:B,2,FALSE),0),
IF($M70="PER-LUBANG",
   ($P70 * $L70 * $K70)
   + IFERROR(VLOOKUP($R70,Finishing!A:B,2,FALSE),0)
   + IFERROR(VLOOKUP($S70,Kerumitan!A:B,2,FALSE),0),
IF($M70="PER-M",
   ($O70 * $J70 * $K70)
   + IFERROR(VLOOKUP($R70,Finishing!A:B,2,FALSE),0)
   + IFERROR(VLOOKUP($S70,Kerumitan!A:B,2,FALSE),0),
0)))</f>
        <v>5749000</v>
      </c>
    </row>
    <row r="71" spans="1:20" x14ac:dyDescent="0.45">
      <c r="A71" t="s">
        <v>147</v>
      </c>
      <c r="B71" s="5">
        <v>44911</v>
      </c>
      <c r="C71">
        <f t="shared" si="1"/>
        <v>2022</v>
      </c>
      <c r="D71" t="s">
        <v>148</v>
      </c>
      <c r="E71" t="s">
        <v>41</v>
      </c>
      <c r="F71" t="s">
        <v>7</v>
      </c>
      <c r="G71" t="s">
        <v>14</v>
      </c>
      <c r="H71" t="s">
        <v>615</v>
      </c>
      <c r="I71">
        <v>1.2</v>
      </c>
      <c r="J71">
        <v>8.19</v>
      </c>
      <c r="K71">
        <v>1</v>
      </c>
      <c r="L71">
        <v>0</v>
      </c>
      <c r="M71" t="str" cm="1">
        <f t="array" ref="M71">_xlfn.IFS(
   OR($F71="Pagar", $F71="Pintu Gerbang", $F71="Pintu Handerson", $F71="Kanopi"), "PER-M2",
   $F71="Teralis", "PER-LUBANG",
   OR($F71="Railing", $F71="Railing/Balkon"), "PER-M",
   TRUE, ""
)</f>
        <v>PER-M2</v>
      </c>
      <c r="N71" cm="1">
        <f t="array" ref="N71">IF($M71="PER-M2",
  IFERROR(
     _xlfn.IFS(
        $G71="Hollow",
            INDEX('Referensi Harga'!$C:$C,
                  MATCH($F71&amp;$C71,'Referensi Harga'!$A:$A&amp;'Referensi Harga'!$B:$B,0)),
        $G71="Hollow Stainless",
            INDEX('Referensi Harga'!$D:$D,
                  MATCH($F71&amp;$C71,'Referensi Harga'!$A:$A&amp;'Referensi Harga'!$B:$B,0)),
        $G71="Pipa Stainless",
            INDEX('Referensi Harga'!$E:$E,
                  MATCH($F71&amp;$C71,'Referensi Harga'!$A:$A&amp;'Referensi Harga'!$B:$B,0))
     ),0)
  + IFERROR(VLOOKUP($H71,'Profile Size'!$A:$B,2,FALSE),0)
  + IFERROR(VLOOKUP($I71,'Ketebalan Material'!$A:$B,2,FALSE),0),
0)</f>
        <v>1300000</v>
      </c>
      <c r="O71">
        <f>IF($M71="PER-M",
  IFERROR(
    IF($G71="Hollow",
       INDEX('Referensi Harga'!$C:$C, MATCH($F71 &amp; "|" &amp; $C71, 'Referensi Harga'!$F:$F, 0)),
    IF($G71="Hollow Stainless",
       INDEX('Referensi Harga'!$D:$D, MATCH($F71 &amp; "|" &amp; $C71, 'Referensi Harga'!$F:$F, 0)),
       INDEX('Referensi Harga'!$E:$E, MATCH($F71 &amp; "|" &amp; $C71, 'Referensi Harga'!$F:$F, 0))
    ))
    + IFERROR(VLOOKUP($H71, 'Profile Size'!$A:$B, 2, FALSE), 0)
    + IFERROR(VLOOKUP($I71, 'Ketebalan Material'!$A:$B, 2, FALSE), 0), 0),
0)</f>
        <v>0</v>
      </c>
      <c r="P71" cm="1">
        <f t="array" ref="P71">IF($M71="PER-LUBANG",
  IFERROR(
     _xlfn.IFS(
        $G71="Hollow",
            INDEX('Referensi Harga'!$C:$C,
                  MATCH($F71&amp;$C71,'Referensi Harga'!$A:$A&amp;'Referensi Harga'!$B:$B,0)),
        $G71="Hollow Stainless",
            INDEX('Referensi Harga'!$D:$D,
                  MATCH($F71&amp;$C71,'Referensi Harga'!$A:$A&amp;'Referensi Harga'!$B:$B,0)),
        $G71="Pipa Stainless",
            INDEX('Referensi Harga'!$E:$E,
                  MATCH($F71&amp;$C71,'Referensi Harga'!$A:$A&amp;'Referensi Harga'!$B:$B,0))
     ),0)
  + IFERROR(VLOOKUP($H71,'Profile Size'!$A:$B,2,FALSE),0)
  + IFERROR(VLOOKUP($I71,'Ketebalan Material'!$A:$B,2,FALSE),0),
0)</f>
        <v>0</v>
      </c>
      <c r="Q71">
        <f>IF($M71="PER-M2",
    IFERROR(
        SUMIFS('Upah Tenaga Ahli'!$C:$C,
               'Upah Tenaga Ahli'!$A:$A,"PER-M2",
               'Upah Tenaga Ahli'!$B:$B,$G71
        ) * $J71 * $K71,
    0),
IF($M71="PER-LUBANG",
    IFERROR(
        SUMIFS('Upah Tenaga Ahli'!$D:$D,
               'Upah Tenaga Ahli'!$A:$A,"PER-LUBANG",
               'Upah Tenaga Ahli'!$B:$B,$G71
        ) * $L71 * $K71,
    0),
IF($M71="PER-M",
    IFERROR(
        SUMIFS('Upah Tenaga Ahli'!$E:$E,
               'Upah Tenaga Ahli'!$A:$A,"PER-M",
               'Upah Tenaga Ahli'!$B:$B,$G71
        ) * $J71 * $K71,
    0),
0)))</f>
        <v>1638000</v>
      </c>
      <c r="R71" t="s">
        <v>617</v>
      </c>
      <c r="S71" t="s">
        <v>24</v>
      </c>
      <c r="T71">
        <f>IF($M71="PER-M2",
   ($N71 * $J71 * $K71)
   + IFERROR(VLOOKUP($R71,Finishing!A:B,2,FALSE),0)
   + IFERROR(VLOOKUP($S71,Kerumitan!A:B,2,FALSE),0),
IF($M71="PER-LUBANG",
   ($P71 * $L71 * $K71)
   + IFERROR(VLOOKUP($R71,Finishing!A:B,2,FALSE),0)
   + IFERROR(VLOOKUP($S71,Kerumitan!A:B,2,FALSE),0),
IF($M71="PER-M",
   ($O71 * $J71 * $K71)
   + IFERROR(VLOOKUP($R71,Finishing!A:B,2,FALSE),0)
   + IFERROR(VLOOKUP($S71,Kerumitan!A:B,2,FALSE),0),
0)))</f>
        <v>10747000</v>
      </c>
    </row>
    <row r="72" spans="1:20" x14ac:dyDescent="0.45">
      <c r="A72" t="s">
        <v>149</v>
      </c>
      <c r="B72" s="5">
        <v>45416</v>
      </c>
      <c r="C72">
        <f t="shared" si="1"/>
        <v>2024</v>
      </c>
      <c r="D72" t="s">
        <v>68</v>
      </c>
      <c r="E72" t="s">
        <v>44</v>
      </c>
      <c r="F72" t="s">
        <v>625</v>
      </c>
      <c r="G72" t="s">
        <v>15</v>
      </c>
      <c r="H72" t="s">
        <v>33</v>
      </c>
      <c r="I72">
        <v>1</v>
      </c>
      <c r="J72">
        <v>3.49</v>
      </c>
      <c r="K72">
        <v>3</v>
      </c>
      <c r="L72">
        <v>0</v>
      </c>
      <c r="M72" t="str" cm="1">
        <f t="array" ref="M72">_xlfn.IFS(
   OR($F72="Pagar", $F72="Pintu Gerbang", $F72="Pintu Handerson", $F72="Kanopi"), "PER-M2",
   $F72="Teralis", "PER-LUBANG",
   OR($F72="Railing", $F72="Railing/Balkon"), "PER-M",
   TRUE, ""
)</f>
        <v>PER-M</v>
      </c>
      <c r="N72" cm="1">
        <f t="array" ref="N72">IF($M72="PER-M2",
  IFERROR(
     _xlfn.IFS(
        $G72="Hollow",
            INDEX('Referensi Harga'!$C:$C,
                  MATCH($F72&amp;$C72,'Referensi Harga'!$A:$A&amp;'Referensi Harga'!$B:$B,0)),
        $G72="Hollow Stainless",
            INDEX('Referensi Harga'!$D:$D,
                  MATCH($F72&amp;$C72,'Referensi Harga'!$A:$A&amp;'Referensi Harga'!$B:$B,0)),
        $G72="Pipa Stainless",
            INDEX('Referensi Harga'!$E:$E,
                  MATCH($F72&amp;$C72,'Referensi Harga'!$A:$A&amp;'Referensi Harga'!$B:$B,0))
     ),0)
  + IFERROR(VLOOKUP($H72,'Profile Size'!$A:$B,2,FALSE),0)
  + IFERROR(VLOOKUP($I72,'Ketebalan Material'!$A:$B,2,FALSE),0),
0)</f>
        <v>0</v>
      </c>
      <c r="O72">
        <f>IF($M72="PER-M",
  IFERROR(
    IF($G72="Hollow",
       INDEX('Referensi Harga'!$C:$C, MATCH($F72 &amp; "|" &amp; $C72, 'Referensi Harga'!$F:$F, 0)),
    IF($G72="Hollow Stainless",
       INDEX('Referensi Harga'!$D:$D, MATCH($F72 &amp; "|" &amp; $C72, 'Referensi Harga'!$F:$F, 0)),
       INDEX('Referensi Harga'!$E:$E, MATCH($F72 &amp; "|" &amp; $C72, 'Referensi Harga'!$F:$F, 0))
    ))
    + IFERROR(VLOOKUP($H72, 'Profile Size'!$A:$B, 2, FALSE), 0)
    + IFERROR(VLOOKUP($I72, 'Ketebalan Material'!$A:$B, 2, FALSE), 0), 0),
0)</f>
        <v>1230000</v>
      </c>
      <c r="P72" cm="1">
        <f t="array" ref="P72">IF($M72="PER-LUBANG",
  IFERROR(
     _xlfn.IFS(
        $G72="Hollow",
            INDEX('Referensi Harga'!$C:$C,
                  MATCH($F72&amp;$C72,'Referensi Harga'!$A:$A&amp;'Referensi Harga'!$B:$B,0)),
        $G72="Hollow Stainless",
            INDEX('Referensi Harga'!$D:$D,
                  MATCH($F72&amp;$C72,'Referensi Harga'!$A:$A&amp;'Referensi Harga'!$B:$B,0)),
        $G72="Pipa Stainless",
            INDEX('Referensi Harga'!$E:$E,
                  MATCH($F72&amp;$C72,'Referensi Harga'!$A:$A&amp;'Referensi Harga'!$B:$B,0))
     ),0)
  + IFERROR(VLOOKUP($H72,'Profile Size'!$A:$B,2,FALSE),0)
  + IFERROR(VLOOKUP($I72,'Ketebalan Material'!$A:$B,2,FALSE),0),
0)</f>
        <v>0</v>
      </c>
      <c r="Q72">
        <f>IF($M72="PER-M2",
    IFERROR(
        SUMIFS('Upah Tenaga Ahli'!$C:$C,
               'Upah Tenaga Ahli'!$A:$A,"PER-M2",
               'Upah Tenaga Ahli'!$B:$B,$G72
        ) * $J72 * $K72,
    0),
IF($M72="PER-LUBANG",
    IFERROR(
        SUMIFS('Upah Tenaga Ahli'!$D:$D,
               'Upah Tenaga Ahli'!$A:$A,"PER-LUBANG",
               'Upah Tenaga Ahli'!$B:$B,$G72
        ) * $L72 * $K72,
    0),
IF($M72="PER-M",
    IFERROR(
        SUMIFS('Upah Tenaga Ahli'!$E:$E,
               'Upah Tenaga Ahli'!$A:$A,"PER-M",
               'Upah Tenaga Ahli'!$B:$B,$G72
        ) * $J72 * $K72,
    0),
0)))</f>
        <v>1570500.0000000002</v>
      </c>
      <c r="R72" t="s">
        <v>617</v>
      </c>
      <c r="S72" t="s">
        <v>23</v>
      </c>
      <c r="T72">
        <f>IF($M72="PER-M2",
   ($N72 * $J72 * $K72)
   + IFERROR(VLOOKUP($R72,Finishing!A:B,2,FALSE),0)
   + IFERROR(VLOOKUP($S72,Kerumitan!A:B,2,FALSE),0),
IF($M72="PER-LUBANG",
   ($P72 * $L72 * $K72)
   + IFERROR(VLOOKUP($R72,Finishing!A:B,2,FALSE),0)
   + IFERROR(VLOOKUP($S72,Kerumitan!A:B,2,FALSE),0),
IF($M72="PER-M",
   ($O72 * $J72 * $K72)
   + IFERROR(VLOOKUP($R72,Finishing!A:B,2,FALSE),0)
   + IFERROR(VLOOKUP($S72,Kerumitan!A:B,2,FALSE),0),
0)))</f>
        <v>12878100</v>
      </c>
    </row>
    <row r="73" spans="1:20" x14ac:dyDescent="0.45">
      <c r="A73" t="s">
        <v>150</v>
      </c>
      <c r="B73" s="5">
        <v>45231</v>
      </c>
      <c r="C73">
        <f t="shared" si="1"/>
        <v>2023</v>
      </c>
      <c r="D73" t="s">
        <v>81</v>
      </c>
      <c r="E73" t="s">
        <v>105</v>
      </c>
      <c r="F73" t="s">
        <v>625</v>
      </c>
      <c r="G73" t="s">
        <v>15</v>
      </c>
      <c r="H73" t="s">
        <v>46</v>
      </c>
      <c r="I73">
        <v>1</v>
      </c>
      <c r="J73">
        <v>4.55</v>
      </c>
      <c r="K73">
        <v>2</v>
      </c>
      <c r="L73">
        <v>0</v>
      </c>
      <c r="M73" t="str" cm="1">
        <f t="array" ref="M73">_xlfn.IFS(
   OR($F73="Pagar", $F73="Pintu Gerbang", $F73="Pintu Handerson", $F73="Kanopi"), "PER-M2",
   $F73="Teralis", "PER-LUBANG",
   OR($F73="Railing", $F73="Railing/Balkon"), "PER-M",
   TRUE, ""
)</f>
        <v>PER-M</v>
      </c>
      <c r="N73" cm="1">
        <f t="array" ref="N73">IF($M73="PER-M2",
  IFERROR(
     _xlfn.IFS(
        $G73="Hollow",
            INDEX('Referensi Harga'!$C:$C,
                  MATCH($F73&amp;$C73,'Referensi Harga'!$A:$A&amp;'Referensi Harga'!$B:$B,0)),
        $G73="Hollow Stainless",
            INDEX('Referensi Harga'!$D:$D,
                  MATCH($F73&amp;$C73,'Referensi Harga'!$A:$A&amp;'Referensi Harga'!$B:$B,0)),
        $G73="Pipa Stainless",
            INDEX('Referensi Harga'!$E:$E,
                  MATCH($F73&amp;$C73,'Referensi Harga'!$A:$A&amp;'Referensi Harga'!$B:$B,0))
     ),0)
  + IFERROR(VLOOKUP($H73,'Profile Size'!$A:$B,2,FALSE),0)
  + IFERROR(VLOOKUP($I73,'Ketebalan Material'!$A:$B,2,FALSE),0),
0)</f>
        <v>0</v>
      </c>
      <c r="O73">
        <f>IF($M73="PER-M",
  IFERROR(
    IF($G73="Hollow",
       INDEX('Referensi Harga'!$C:$C, MATCH($F73 &amp; "|" &amp; $C73, 'Referensi Harga'!$F:$F, 0)),
    IF($G73="Hollow Stainless",
       INDEX('Referensi Harga'!$D:$D, MATCH($F73 &amp; "|" &amp; $C73, 'Referensi Harga'!$F:$F, 0)),
       INDEX('Referensi Harga'!$E:$E, MATCH($F73 &amp; "|" &amp; $C73, 'Referensi Harga'!$F:$F, 0))
    ))
    + IFERROR(VLOOKUP($H73, 'Profile Size'!$A:$B, 2, FALSE), 0)
    + IFERROR(VLOOKUP($I73, 'Ketebalan Material'!$A:$B, 2, FALSE), 0), 0),
0)</f>
        <v>1250000</v>
      </c>
      <c r="P73" cm="1">
        <f t="array" ref="P73">IF($M73="PER-LUBANG",
  IFERROR(
     _xlfn.IFS(
        $G73="Hollow",
            INDEX('Referensi Harga'!$C:$C,
                  MATCH($F73&amp;$C73,'Referensi Harga'!$A:$A&amp;'Referensi Harga'!$B:$B,0)),
        $G73="Hollow Stainless",
            INDEX('Referensi Harga'!$D:$D,
                  MATCH($F73&amp;$C73,'Referensi Harga'!$A:$A&amp;'Referensi Harga'!$B:$B,0)),
        $G73="Pipa Stainless",
            INDEX('Referensi Harga'!$E:$E,
                  MATCH($F73&amp;$C73,'Referensi Harga'!$A:$A&amp;'Referensi Harga'!$B:$B,0))
     ),0)
  + IFERROR(VLOOKUP($H73,'Profile Size'!$A:$B,2,FALSE),0)
  + IFERROR(VLOOKUP($I73,'Ketebalan Material'!$A:$B,2,FALSE),0),
0)</f>
        <v>0</v>
      </c>
      <c r="Q73">
        <f>IF($M73="PER-M2",
    IFERROR(
        SUMIFS('Upah Tenaga Ahli'!$C:$C,
               'Upah Tenaga Ahli'!$A:$A,"PER-M2",
               'Upah Tenaga Ahli'!$B:$B,$G73
        ) * $J73 * $K73,
    0),
IF($M73="PER-LUBANG",
    IFERROR(
        SUMIFS('Upah Tenaga Ahli'!$D:$D,
               'Upah Tenaga Ahli'!$A:$A,"PER-LUBANG",
               'Upah Tenaga Ahli'!$B:$B,$G73
        ) * $L73 * $K73,
    0),
IF($M73="PER-M",
    IFERROR(
        SUMIFS('Upah Tenaga Ahli'!$E:$E,
               'Upah Tenaga Ahli'!$A:$A,"PER-M",
               'Upah Tenaga Ahli'!$B:$B,$G73
        ) * $J73 * $K73,
    0),
0)))</f>
        <v>1365000</v>
      </c>
      <c r="R73" t="s">
        <v>617</v>
      </c>
      <c r="S73" t="s">
        <v>24</v>
      </c>
      <c r="T73">
        <f>IF($M73="PER-M2",
   ($N73 * $J73 * $K73)
   + IFERROR(VLOOKUP($R73,Finishing!A:B,2,FALSE),0)
   + IFERROR(VLOOKUP($S73,Kerumitan!A:B,2,FALSE),0),
IF($M73="PER-LUBANG",
   ($P73 * $L73 * $K73)
   + IFERROR(VLOOKUP($R73,Finishing!A:B,2,FALSE),0)
   + IFERROR(VLOOKUP($S73,Kerumitan!A:B,2,FALSE),0),
IF($M73="PER-M",
   ($O73 * $J73 * $K73)
   + IFERROR(VLOOKUP($R73,Finishing!A:B,2,FALSE),0)
   + IFERROR(VLOOKUP($S73,Kerumitan!A:B,2,FALSE),0),
0)))</f>
        <v>11475000</v>
      </c>
    </row>
    <row r="74" spans="1:20" x14ac:dyDescent="0.45">
      <c r="A74" t="s">
        <v>151</v>
      </c>
      <c r="B74" s="5">
        <v>44591</v>
      </c>
      <c r="C74">
        <f t="shared" si="1"/>
        <v>2022</v>
      </c>
      <c r="D74" t="s">
        <v>53</v>
      </c>
      <c r="E74" t="s">
        <v>44</v>
      </c>
      <c r="F74" t="s">
        <v>625</v>
      </c>
      <c r="G74" t="s">
        <v>14</v>
      </c>
      <c r="H74" t="s">
        <v>33</v>
      </c>
      <c r="I74">
        <v>1</v>
      </c>
      <c r="J74">
        <v>8.86</v>
      </c>
      <c r="K74">
        <v>1</v>
      </c>
      <c r="L74">
        <v>0</v>
      </c>
      <c r="M74" t="str" cm="1">
        <f t="array" ref="M74">_xlfn.IFS(
   OR($F74="Pagar", $F74="Pintu Gerbang", $F74="Pintu Handerson", $F74="Kanopi"), "PER-M2",
   $F74="Teralis", "PER-LUBANG",
   OR($F74="Railing", $F74="Railing/Balkon"), "PER-M",
   TRUE, ""
)</f>
        <v>PER-M</v>
      </c>
      <c r="N74" cm="1">
        <f t="array" ref="N74">IF($M74="PER-M2",
  IFERROR(
     _xlfn.IFS(
        $G74="Hollow",
            INDEX('Referensi Harga'!$C:$C,
                  MATCH($F74&amp;$C74,'Referensi Harga'!$A:$A&amp;'Referensi Harga'!$B:$B,0)),
        $G74="Hollow Stainless",
            INDEX('Referensi Harga'!$D:$D,
                  MATCH($F74&amp;$C74,'Referensi Harga'!$A:$A&amp;'Referensi Harga'!$B:$B,0)),
        $G74="Pipa Stainless",
            INDEX('Referensi Harga'!$E:$E,
                  MATCH($F74&amp;$C74,'Referensi Harga'!$A:$A&amp;'Referensi Harga'!$B:$B,0))
     ),0)
  + IFERROR(VLOOKUP($H74,'Profile Size'!$A:$B,2,FALSE),0)
  + IFERROR(VLOOKUP($I74,'Ketebalan Material'!$A:$B,2,FALSE),0),
0)</f>
        <v>0</v>
      </c>
      <c r="O74">
        <f>IF($M74="PER-M",
  IFERROR(
    IF($G74="Hollow",
       INDEX('Referensi Harga'!$C:$C, MATCH($F74 &amp; "|" &amp; $C74, 'Referensi Harga'!$F:$F, 0)),
    IF($G74="Hollow Stainless",
       INDEX('Referensi Harga'!$D:$D, MATCH($F74 &amp; "|" &amp; $C74, 'Referensi Harga'!$F:$F, 0)),
       INDEX('Referensi Harga'!$E:$E, MATCH($F74 &amp; "|" &amp; $C74, 'Referensi Harga'!$F:$F, 0))
    ))
    + IFERROR(VLOOKUP($H74, 'Profile Size'!$A:$B, 2, FALSE), 0)
    + IFERROR(VLOOKUP($I74, 'Ketebalan Material'!$A:$B, 2, FALSE), 0), 0),
0)</f>
        <v>970000</v>
      </c>
      <c r="P74" cm="1">
        <f t="array" ref="P74">IF($M74="PER-LUBANG",
  IFERROR(
     _xlfn.IFS(
        $G74="Hollow",
            INDEX('Referensi Harga'!$C:$C,
                  MATCH($F74&amp;$C74,'Referensi Harga'!$A:$A&amp;'Referensi Harga'!$B:$B,0)),
        $G74="Hollow Stainless",
            INDEX('Referensi Harga'!$D:$D,
                  MATCH($F74&amp;$C74,'Referensi Harga'!$A:$A&amp;'Referensi Harga'!$B:$B,0)),
        $G74="Pipa Stainless",
            INDEX('Referensi Harga'!$E:$E,
                  MATCH($F74&amp;$C74,'Referensi Harga'!$A:$A&amp;'Referensi Harga'!$B:$B,0))
     ),0)
  + IFERROR(VLOOKUP($H74,'Profile Size'!$A:$B,2,FALSE),0)
  + IFERROR(VLOOKUP($I74,'Ketebalan Material'!$A:$B,2,FALSE),0),
0)</f>
        <v>0</v>
      </c>
      <c r="Q74">
        <f>IF($M74="PER-M2",
    IFERROR(
        SUMIFS('Upah Tenaga Ahli'!$C:$C,
               'Upah Tenaga Ahli'!$A:$A,"PER-M2",
               'Upah Tenaga Ahli'!$B:$B,$G74
        ) * $J74 * $K74,
    0),
IF($M74="PER-LUBANG",
    IFERROR(
        SUMIFS('Upah Tenaga Ahli'!$D:$D,
               'Upah Tenaga Ahli'!$A:$A,"PER-LUBANG",
               'Upah Tenaga Ahli'!$B:$B,$G74
        ) * $L74 * $K74,
    0),
IF($M74="PER-M",
    IFERROR(
        SUMIFS('Upah Tenaga Ahli'!$E:$E,
               'Upah Tenaga Ahli'!$A:$A,"PER-M",
               'Upah Tenaga Ahli'!$B:$B,$G74
        ) * $J74 * $K74,
    0),
0)))</f>
        <v>1772000</v>
      </c>
      <c r="R74" t="s">
        <v>617</v>
      </c>
      <c r="S74" t="s">
        <v>24</v>
      </c>
      <c r="T74">
        <f>IF($M74="PER-M2",
   ($N74 * $J74 * $K74)
   + IFERROR(VLOOKUP($R74,Finishing!A:B,2,FALSE),0)
   + IFERROR(VLOOKUP($S74,Kerumitan!A:B,2,FALSE),0),
IF($M74="PER-LUBANG",
   ($P74 * $L74 * $K74)
   + IFERROR(VLOOKUP($R74,Finishing!A:B,2,FALSE),0)
   + IFERROR(VLOOKUP($S74,Kerumitan!A:B,2,FALSE),0),
IF($M74="PER-M",
   ($O74 * $J74 * $K74)
   + IFERROR(VLOOKUP($R74,Finishing!A:B,2,FALSE),0)
   + IFERROR(VLOOKUP($S74,Kerumitan!A:B,2,FALSE),0),
0)))</f>
        <v>8694200</v>
      </c>
    </row>
    <row r="75" spans="1:20" x14ac:dyDescent="0.45">
      <c r="A75" t="s">
        <v>152</v>
      </c>
      <c r="B75" s="5">
        <v>44028</v>
      </c>
      <c r="C75">
        <f t="shared" si="1"/>
        <v>2020</v>
      </c>
      <c r="D75" t="s">
        <v>133</v>
      </c>
      <c r="E75" t="s">
        <v>91</v>
      </c>
      <c r="F75" t="s">
        <v>625</v>
      </c>
      <c r="G75" t="s">
        <v>13</v>
      </c>
      <c r="H75" t="s">
        <v>46</v>
      </c>
      <c r="I75">
        <v>1.2</v>
      </c>
      <c r="J75">
        <v>3</v>
      </c>
      <c r="K75">
        <v>1</v>
      </c>
      <c r="L75">
        <v>0</v>
      </c>
      <c r="M75" t="str" cm="1">
        <f t="array" ref="M75">_xlfn.IFS(
   OR($F75="Pagar", $F75="Pintu Gerbang", $F75="Pintu Handerson", $F75="Kanopi"), "PER-M2",
   $F75="Teralis", "PER-LUBANG",
   OR($F75="Railing", $F75="Railing/Balkon"), "PER-M",
   TRUE, ""
)</f>
        <v>PER-M</v>
      </c>
      <c r="N75" cm="1">
        <f t="array" ref="N75">IF($M75="PER-M2",
  IFERROR(
     _xlfn.IFS(
        $G75="Hollow",
            INDEX('Referensi Harga'!$C:$C,
                  MATCH($F75&amp;$C75,'Referensi Harga'!$A:$A&amp;'Referensi Harga'!$B:$B,0)),
        $G75="Hollow Stainless",
            INDEX('Referensi Harga'!$D:$D,
                  MATCH($F75&amp;$C75,'Referensi Harga'!$A:$A&amp;'Referensi Harga'!$B:$B,0)),
        $G75="Pipa Stainless",
            INDEX('Referensi Harga'!$E:$E,
                  MATCH($F75&amp;$C75,'Referensi Harga'!$A:$A&amp;'Referensi Harga'!$B:$B,0))
     ),0)
  + IFERROR(VLOOKUP($H75,'Profile Size'!$A:$B,2,FALSE),0)
  + IFERROR(VLOOKUP($I75,'Ketebalan Material'!$A:$B,2,FALSE),0),
0)</f>
        <v>0</v>
      </c>
      <c r="O75">
        <f>IF($M75="PER-M",
  IFERROR(
    IF($G75="Hollow",
       INDEX('Referensi Harga'!$C:$C, MATCH($F75 &amp; "|" &amp; $C75, 'Referensi Harga'!$F:$F, 0)),
    IF($G75="Hollow Stainless",
       INDEX('Referensi Harga'!$D:$D, MATCH($F75 &amp; "|" &amp; $C75, 'Referensi Harga'!$F:$F, 0)),
       INDEX('Referensi Harga'!$E:$E, MATCH($F75 &amp; "|" &amp; $C75, 'Referensi Harga'!$F:$F, 0))
    ))
    + IFERROR(VLOOKUP($H75, 'Profile Size'!$A:$B, 2, FALSE), 0)
    + IFERROR(VLOOKUP($I75, 'Ketebalan Material'!$A:$B, 2, FALSE), 0), 0),
0)</f>
        <v>550000</v>
      </c>
      <c r="P75" cm="1">
        <f t="array" ref="P75">IF($M75="PER-LUBANG",
  IFERROR(
     _xlfn.IFS(
        $G75="Hollow",
            INDEX('Referensi Harga'!$C:$C,
                  MATCH($F75&amp;$C75,'Referensi Harga'!$A:$A&amp;'Referensi Harga'!$B:$B,0)),
        $G75="Hollow Stainless",
            INDEX('Referensi Harga'!$D:$D,
                  MATCH($F75&amp;$C75,'Referensi Harga'!$A:$A&amp;'Referensi Harga'!$B:$B,0)),
        $G75="Pipa Stainless",
            INDEX('Referensi Harga'!$E:$E,
                  MATCH($F75&amp;$C75,'Referensi Harga'!$A:$A&amp;'Referensi Harga'!$B:$B,0))
     ),0)
  + IFERROR(VLOOKUP($H75,'Profile Size'!$A:$B,2,FALSE),0)
  + IFERROR(VLOOKUP($I75,'Ketebalan Material'!$A:$B,2,FALSE),0),
0)</f>
        <v>0</v>
      </c>
      <c r="Q75">
        <f>IF($M75="PER-M2",
    IFERROR(
        SUMIFS('Upah Tenaga Ahli'!$C:$C,
               'Upah Tenaga Ahli'!$A:$A,"PER-M2",
               'Upah Tenaga Ahli'!$B:$B,$G75
        ) * $J75 * $K75,
    0),
IF($M75="PER-LUBANG",
    IFERROR(
        SUMIFS('Upah Tenaga Ahli'!$D:$D,
               'Upah Tenaga Ahli'!$A:$A,"PER-LUBANG",
               'Upah Tenaga Ahli'!$B:$B,$G75
        ) * $L75 * $K75,
    0),
IF($M75="PER-M",
    IFERROR(
        SUMIFS('Upah Tenaga Ahli'!$E:$E,
               'Upah Tenaga Ahli'!$A:$A,"PER-M",
               'Upah Tenaga Ahli'!$B:$B,$G75
        ) * $J75 * $K75,
    0),
0)))</f>
        <v>300000</v>
      </c>
      <c r="R75" t="s">
        <v>19</v>
      </c>
      <c r="S75" t="s">
        <v>23</v>
      </c>
      <c r="T75">
        <f>IF($M75="PER-M2",
   ($N75 * $J75 * $K75)
   + IFERROR(VLOOKUP($R75,Finishing!A:B,2,FALSE),0)
   + IFERROR(VLOOKUP($S75,Kerumitan!A:B,2,FALSE),0),
IF($M75="PER-LUBANG",
   ($P75 * $L75 * $K75)
   + IFERROR(VLOOKUP($R75,Finishing!A:B,2,FALSE),0)
   + IFERROR(VLOOKUP($S75,Kerumitan!A:B,2,FALSE),0),
IF($M75="PER-M",
   ($O75 * $J75 * $K75)
   + IFERROR(VLOOKUP($R75,Finishing!A:B,2,FALSE),0)
   + IFERROR(VLOOKUP($S75,Kerumitan!A:B,2,FALSE),0),
0)))</f>
        <v>1700000</v>
      </c>
    </row>
    <row r="76" spans="1:20" x14ac:dyDescent="0.45">
      <c r="A76" t="s">
        <v>153</v>
      </c>
      <c r="B76" s="5">
        <v>44614</v>
      </c>
      <c r="C76">
        <f t="shared" si="1"/>
        <v>2022</v>
      </c>
      <c r="D76" t="s">
        <v>129</v>
      </c>
      <c r="E76" t="s">
        <v>38</v>
      </c>
      <c r="F76" t="s">
        <v>8</v>
      </c>
      <c r="G76" t="s">
        <v>13</v>
      </c>
      <c r="H76" t="s">
        <v>612</v>
      </c>
      <c r="I76">
        <v>0.8</v>
      </c>
      <c r="J76">
        <v>0</v>
      </c>
      <c r="K76">
        <v>1</v>
      </c>
      <c r="L76">
        <v>22</v>
      </c>
      <c r="M76" t="str" cm="1">
        <f t="array" ref="M76">_xlfn.IFS(
   OR($F76="Pagar", $F76="Pintu Gerbang", $F76="Pintu Handerson", $F76="Kanopi"), "PER-M2",
   $F76="Teralis", "PER-LUBANG",
   OR($F76="Railing", $F76="Railing/Balkon"), "PER-M",
   TRUE, ""
)</f>
        <v>PER-LUBANG</v>
      </c>
      <c r="N76" cm="1">
        <f t="array" ref="N76">IF($M76="PER-M2",
  IFERROR(
     _xlfn.IFS(
        $G76="Hollow",
            INDEX('Referensi Harga'!$C:$C,
                  MATCH($F76&amp;$C76,'Referensi Harga'!$A:$A&amp;'Referensi Harga'!$B:$B,0)),
        $G76="Hollow Stainless",
            INDEX('Referensi Harga'!$D:$D,
                  MATCH($F76&amp;$C76,'Referensi Harga'!$A:$A&amp;'Referensi Harga'!$B:$B,0)),
        $G76="Pipa Stainless",
            INDEX('Referensi Harga'!$E:$E,
                  MATCH($F76&amp;$C76,'Referensi Harga'!$A:$A&amp;'Referensi Harga'!$B:$B,0))
     ),0)
  + IFERROR(VLOOKUP($H76,'Profile Size'!$A:$B,2,FALSE),0)
  + IFERROR(VLOOKUP($I76,'Ketebalan Material'!$A:$B,2,FALSE),0),
0)</f>
        <v>0</v>
      </c>
      <c r="O76">
        <f>IF($M76="PER-M",
  IFERROR(
    IF($G76="Hollow",
       INDEX('Referensi Harga'!$C:$C, MATCH($F76 &amp; "|" &amp; $C76, 'Referensi Harga'!$F:$F, 0)),
    IF($G76="Hollow Stainless",
       INDEX('Referensi Harga'!$D:$D, MATCH($F76 &amp; "|" &amp; $C76, 'Referensi Harga'!$F:$F, 0)),
       INDEX('Referensi Harga'!$E:$E, MATCH($F76 &amp; "|" &amp; $C76, 'Referensi Harga'!$F:$F, 0))
    ))
    + IFERROR(VLOOKUP($H76, 'Profile Size'!$A:$B, 2, FALSE), 0)
    + IFERROR(VLOOKUP($I76, 'Ketebalan Material'!$A:$B, 2, FALSE), 0), 0),
0)</f>
        <v>0</v>
      </c>
      <c r="P76" cm="1">
        <f t="array" ref="P76">IF($M76="PER-LUBANG",
  IFERROR(
     _xlfn.IFS(
        $G76="Hollow",
            INDEX('Referensi Harga'!$C:$C,
                  MATCH($F76&amp;$C76,'Referensi Harga'!$A:$A&amp;'Referensi Harga'!$B:$B,0)),
        $G76="Hollow Stainless",
            INDEX('Referensi Harga'!$D:$D,
                  MATCH($F76&amp;$C76,'Referensi Harga'!$A:$A&amp;'Referensi Harga'!$B:$B,0)),
        $G76="Pipa Stainless",
            INDEX('Referensi Harga'!$E:$E,
                  MATCH($F76&amp;$C76,'Referensi Harga'!$A:$A&amp;'Referensi Harga'!$B:$B,0))
     ),0)
  + IFERROR(VLOOKUP($H76,'Profile Size'!$A:$B,2,FALSE),0)
  + IFERROR(VLOOKUP($I76,'Ketebalan Material'!$A:$B,2,FALSE),0),
0)</f>
        <v>300000</v>
      </c>
      <c r="Q76">
        <f>IF($M76="PER-M2",
    IFERROR(
        SUMIFS('Upah Tenaga Ahli'!$C:$C,
               'Upah Tenaga Ahli'!$A:$A,"PER-M2",
               'Upah Tenaga Ahli'!$B:$B,$G76
        ) * $J76 * $K76,
    0),
IF($M76="PER-LUBANG",
    IFERROR(
        SUMIFS('Upah Tenaga Ahli'!$D:$D,
               'Upah Tenaga Ahli'!$A:$A,"PER-LUBANG",
               'Upah Tenaga Ahli'!$B:$B,$G76
        ) * $L76 * $K76,
    0),
IF($M76="PER-M",
    IFERROR(
        SUMIFS('Upah Tenaga Ahli'!$E:$E,
               'Upah Tenaga Ahli'!$A:$A,"PER-M",
               'Upah Tenaga Ahli'!$B:$B,$G76
        ) * $J76 * $K76,
    0),
0)))</f>
        <v>1650000</v>
      </c>
      <c r="R76" t="s">
        <v>20</v>
      </c>
      <c r="S76" t="s">
        <v>25</v>
      </c>
      <c r="T76">
        <f>IF($M76="PER-M2",
   ($N76 * $J76 * $K76)
   + IFERROR(VLOOKUP($R76,Finishing!A:B,2,FALSE),0)
   + IFERROR(VLOOKUP($S76,Kerumitan!A:B,2,FALSE),0),
IF($M76="PER-LUBANG",
   ($P76 * $L76 * $K76)
   + IFERROR(VLOOKUP($R76,Finishing!A:B,2,FALSE),0)
   + IFERROR(VLOOKUP($S76,Kerumitan!A:B,2,FALSE),0),
IF($M76="PER-M",
   ($O76 * $J76 * $K76)
   + IFERROR(VLOOKUP($R76,Finishing!A:B,2,FALSE),0)
   + IFERROR(VLOOKUP($S76,Kerumitan!A:B,2,FALSE),0),
0)))</f>
        <v>6900000</v>
      </c>
    </row>
    <row r="77" spans="1:20" x14ac:dyDescent="0.45">
      <c r="A77" t="s">
        <v>154</v>
      </c>
      <c r="B77" s="5">
        <v>44331</v>
      </c>
      <c r="C77">
        <f t="shared" si="1"/>
        <v>2021</v>
      </c>
      <c r="D77" t="s">
        <v>53</v>
      </c>
      <c r="E77" t="s">
        <v>87</v>
      </c>
      <c r="F77" t="s">
        <v>625</v>
      </c>
      <c r="G77" t="s">
        <v>13</v>
      </c>
      <c r="H77" t="s">
        <v>33</v>
      </c>
      <c r="I77">
        <v>0.8</v>
      </c>
      <c r="J77">
        <v>5.46</v>
      </c>
      <c r="K77">
        <v>1</v>
      </c>
      <c r="L77">
        <v>0</v>
      </c>
      <c r="M77" t="str" cm="1">
        <f t="array" ref="M77">_xlfn.IFS(
   OR($F77="Pagar", $F77="Pintu Gerbang", $F77="Pintu Handerson", $F77="Kanopi"), "PER-M2",
   $F77="Teralis", "PER-LUBANG",
   OR($F77="Railing", $F77="Railing/Balkon"), "PER-M",
   TRUE, ""
)</f>
        <v>PER-M</v>
      </c>
      <c r="N77" cm="1">
        <f t="array" ref="N77">IF($M77="PER-M2",
  IFERROR(
     _xlfn.IFS(
        $G77="Hollow",
            INDEX('Referensi Harga'!$C:$C,
                  MATCH($F77&amp;$C77,'Referensi Harga'!$A:$A&amp;'Referensi Harga'!$B:$B,0)),
        $G77="Hollow Stainless",
            INDEX('Referensi Harga'!$D:$D,
                  MATCH($F77&amp;$C77,'Referensi Harga'!$A:$A&amp;'Referensi Harga'!$B:$B,0)),
        $G77="Pipa Stainless",
            INDEX('Referensi Harga'!$E:$E,
                  MATCH($F77&amp;$C77,'Referensi Harga'!$A:$A&amp;'Referensi Harga'!$B:$B,0))
     ),0)
  + IFERROR(VLOOKUP($H77,'Profile Size'!$A:$B,2,FALSE),0)
  + IFERROR(VLOOKUP($I77,'Ketebalan Material'!$A:$B,2,FALSE),0),
0)</f>
        <v>0</v>
      </c>
      <c r="O77">
        <f>IF($M77="PER-M",
  IFERROR(
    IF($G77="Hollow",
       INDEX('Referensi Harga'!$C:$C, MATCH($F77 &amp; "|" &amp; $C77, 'Referensi Harga'!$F:$F, 0)),
    IF($G77="Hollow Stainless",
       INDEX('Referensi Harga'!$D:$D, MATCH($F77 &amp; "|" &amp; $C77, 'Referensi Harga'!$F:$F, 0)),
       INDEX('Referensi Harga'!$E:$E, MATCH($F77 &amp; "|" &amp; $C77, 'Referensi Harga'!$F:$F, 0))
    ))
    + IFERROR(VLOOKUP($H77, 'Profile Size'!$A:$B, 2, FALSE), 0)
    + IFERROR(VLOOKUP($I77, 'Ketebalan Material'!$A:$B, 2, FALSE), 0), 0),
0)</f>
        <v>450000</v>
      </c>
      <c r="P77" cm="1">
        <f t="array" ref="P77">IF($M77="PER-LUBANG",
  IFERROR(
     _xlfn.IFS(
        $G77="Hollow",
            INDEX('Referensi Harga'!$C:$C,
                  MATCH($F77&amp;$C77,'Referensi Harga'!$A:$A&amp;'Referensi Harga'!$B:$B,0)),
        $G77="Hollow Stainless",
            INDEX('Referensi Harga'!$D:$D,
                  MATCH($F77&amp;$C77,'Referensi Harga'!$A:$A&amp;'Referensi Harga'!$B:$B,0)),
        $G77="Pipa Stainless",
            INDEX('Referensi Harga'!$E:$E,
                  MATCH($F77&amp;$C77,'Referensi Harga'!$A:$A&amp;'Referensi Harga'!$B:$B,0))
     ),0)
  + IFERROR(VLOOKUP($H77,'Profile Size'!$A:$B,2,FALSE),0)
  + IFERROR(VLOOKUP($I77,'Ketebalan Material'!$A:$B,2,FALSE),0),
0)</f>
        <v>0</v>
      </c>
      <c r="Q77">
        <f>IF($M77="PER-M2",
    IFERROR(
        SUMIFS('Upah Tenaga Ahli'!$C:$C,
               'Upah Tenaga Ahli'!$A:$A,"PER-M2",
               'Upah Tenaga Ahli'!$B:$B,$G77
        ) * $J77 * $K77,
    0),
IF($M77="PER-LUBANG",
    IFERROR(
        SUMIFS('Upah Tenaga Ahli'!$D:$D,
               'Upah Tenaga Ahli'!$A:$A,"PER-LUBANG",
               'Upah Tenaga Ahli'!$B:$B,$G77
        ) * $L77 * $K77,
    0),
IF($M77="PER-M",
    IFERROR(
        SUMIFS('Upah Tenaga Ahli'!$E:$E,
               'Upah Tenaga Ahli'!$A:$A,"PER-M",
               'Upah Tenaga Ahli'!$B:$B,$G77
        ) * $J77 * $K77,
    0),
0)))</f>
        <v>546000</v>
      </c>
      <c r="R77" t="s">
        <v>19</v>
      </c>
      <c r="S77" t="s">
        <v>24</v>
      </c>
      <c r="T77">
        <f>IF($M77="PER-M2",
   ($N77 * $J77 * $K77)
   + IFERROR(VLOOKUP($R77,Finishing!A:B,2,FALSE),0)
   + IFERROR(VLOOKUP($S77,Kerumitan!A:B,2,FALSE),0),
IF($M77="PER-LUBANG",
   ($P77 * $L77 * $K77)
   + IFERROR(VLOOKUP($R77,Finishing!A:B,2,FALSE),0)
   + IFERROR(VLOOKUP($S77,Kerumitan!A:B,2,FALSE),0),
IF($M77="PER-M",
   ($O77 * $J77 * $K77)
   + IFERROR(VLOOKUP($R77,Finishing!A:B,2,FALSE),0)
   + IFERROR(VLOOKUP($S77,Kerumitan!A:B,2,FALSE),0),
0)))</f>
        <v>2607000</v>
      </c>
    </row>
    <row r="78" spans="1:20" x14ac:dyDescent="0.45">
      <c r="A78" t="s">
        <v>155</v>
      </c>
      <c r="B78" s="5">
        <v>44318</v>
      </c>
      <c r="C78">
        <f t="shared" si="1"/>
        <v>2021</v>
      </c>
      <c r="D78" t="s">
        <v>156</v>
      </c>
      <c r="E78" t="s">
        <v>75</v>
      </c>
      <c r="F78" t="s">
        <v>8</v>
      </c>
      <c r="G78" t="s">
        <v>13</v>
      </c>
      <c r="H78" t="s">
        <v>612</v>
      </c>
      <c r="I78">
        <v>1.2</v>
      </c>
      <c r="J78">
        <v>0</v>
      </c>
      <c r="K78">
        <v>1</v>
      </c>
      <c r="L78">
        <v>11</v>
      </c>
      <c r="M78" t="str" cm="1">
        <f t="array" ref="M78">_xlfn.IFS(
   OR($F78="Pagar", $F78="Pintu Gerbang", $F78="Pintu Handerson", $F78="Kanopi"), "PER-M2",
   $F78="Teralis", "PER-LUBANG",
   OR($F78="Railing", $F78="Railing/Balkon"), "PER-M",
   TRUE, ""
)</f>
        <v>PER-LUBANG</v>
      </c>
      <c r="N78" cm="1">
        <f t="array" ref="N78">IF($M78="PER-M2",
  IFERROR(
     _xlfn.IFS(
        $G78="Hollow",
            INDEX('Referensi Harga'!$C:$C,
                  MATCH($F78&amp;$C78,'Referensi Harga'!$A:$A&amp;'Referensi Harga'!$B:$B,0)),
        $G78="Hollow Stainless",
            INDEX('Referensi Harga'!$D:$D,
                  MATCH($F78&amp;$C78,'Referensi Harga'!$A:$A&amp;'Referensi Harga'!$B:$B,0)),
        $G78="Pipa Stainless",
            INDEX('Referensi Harga'!$E:$E,
                  MATCH($F78&amp;$C78,'Referensi Harga'!$A:$A&amp;'Referensi Harga'!$B:$B,0))
     ),0)
  + IFERROR(VLOOKUP($H78,'Profile Size'!$A:$B,2,FALSE),0)
  + IFERROR(VLOOKUP($I78,'Ketebalan Material'!$A:$B,2,FALSE),0),
0)</f>
        <v>0</v>
      </c>
      <c r="O78">
        <f>IF($M78="PER-M",
  IFERROR(
    IF($G78="Hollow",
       INDEX('Referensi Harga'!$C:$C, MATCH($F78 &amp; "|" &amp; $C78, 'Referensi Harga'!$F:$F, 0)),
    IF($G78="Hollow Stainless",
       INDEX('Referensi Harga'!$D:$D, MATCH($F78 &amp; "|" &amp; $C78, 'Referensi Harga'!$F:$F, 0)),
       INDEX('Referensi Harga'!$E:$E, MATCH($F78 &amp; "|" &amp; $C78, 'Referensi Harga'!$F:$F, 0))
    ))
    + IFERROR(VLOOKUP($H78, 'Profile Size'!$A:$B, 2, FALSE), 0)
    + IFERROR(VLOOKUP($I78, 'Ketebalan Material'!$A:$B, 2, FALSE), 0), 0),
0)</f>
        <v>0</v>
      </c>
      <c r="P78" cm="1">
        <f t="array" ref="P78">IF($M78="PER-LUBANG",
  IFERROR(
     _xlfn.IFS(
        $G78="Hollow",
            INDEX('Referensi Harga'!$C:$C,
                  MATCH($F78&amp;$C78,'Referensi Harga'!$A:$A&amp;'Referensi Harga'!$B:$B,0)),
        $G78="Hollow Stainless",
            INDEX('Referensi Harga'!$D:$D,
                  MATCH($F78&amp;$C78,'Referensi Harga'!$A:$A&amp;'Referensi Harga'!$B:$B,0)),
        $G78="Pipa Stainless",
            INDEX('Referensi Harga'!$E:$E,
                  MATCH($F78&amp;$C78,'Referensi Harga'!$A:$A&amp;'Referensi Harga'!$B:$B,0))
     ),0)
  + IFERROR(VLOOKUP($H78,'Profile Size'!$A:$B,2,FALSE),0)
  + IFERROR(VLOOKUP($I78,'Ketebalan Material'!$A:$B,2,FALSE),0),
0)</f>
        <v>400000</v>
      </c>
      <c r="Q78">
        <f>IF($M78="PER-M2",
    IFERROR(
        SUMIFS('Upah Tenaga Ahli'!$C:$C,
               'Upah Tenaga Ahli'!$A:$A,"PER-M2",
               'Upah Tenaga Ahli'!$B:$B,$G78
        ) * $J78 * $K78,
    0),
IF($M78="PER-LUBANG",
    IFERROR(
        SUMIFS('Upah Tenaga Ahli'!$D:$D,
               'Upah Tenaga Ahli'!$A:$A,"PER-LUBANG",
               'Upah Tenaga Ahli'!$B:$B,$G78
        ) * $L78 * $K78,
    0),
IF($M78="PER-M",
    IFERROR(
        SUMIFS('Upah Tenaga Ahli'!$E:$E,
               'Upah Tenaga Ahli'!$A:$A,"PER-M",
               'Upah Tenaga Ahli'!$B:$B,$G78
        ) * $J78 * $K78,
    0),
0)))</f>
        <v>825000</v>
      </c>
      <c r="R78" t="s">
        <v>19</v>
      </c>
      <c r="S78" t="s">
        <v>24</v>
      </c>
      <c r="T78">
        <f>IF($M78="PER-M2",
   ($N78 * $J78 * $K78)
   + IFERROR(VLOOKUP($R78,Finishing!A:B,2,FALSE),0)
   + IFERROR(VLOOKUP($S78,Kerumitan!A:B,2,FALSE),0),
IF($M78="PER-LUBANG",
   ($P78 * $L78 * $K78)
   + IFERROR(VLOOKUP($R78,Finishing!A:B,2,FALSE),0)
   + IFERROR(VLOOKUP($S78,Kerumitan!A:B,2,FALSE),0),
IF($M78="PER-M",
   ($O78 * $J78 * $K78)
   + IFERROR(VLOOKUP($R78,Finishing!A:B,2,FALSE),0)
   + IFERROR(VLOOKUP($S78,Kerumitan!A:B,2,FALSE),0),
0)))</f>
        <v>4550000</v>
      </c>
    </row>
    <row r="79" spans="1:20" x14ac:dyDescent="0.45">
      <c r="A79" t="s">
        <v>157</v>
      </c>
      <c r="B79" s="5">
        <v>44447</v>
      </c>
      <c r="C79">
        <f t="shared" si="1"/>
        <v>2021</v>
      </c>
      <c r="D79" t="s">
        <v>27</v>
      </c>
      <c r="E79" t="s">
        <v>57</v>
      </c>
      <c r="F79" t="s">
        <v>625</v>
      </c>
      <c r="G79" t="s">
        <v>15</v>
      </c>
      <c r="H79" t="s">
        <v>33</v>
      </c>
      <c r="I79">
        <v>1</v>
      </c>
      <c r="J79">
        <v>12.54</v>
      </c>
      <c r="K79">
        <v>3</v>
      </c>
      <c r="L79">
        <v>0</v>
      </c>
      <c r="M79" t="str" cm="1">
        <f t="array" ref="M79">_xlfn.IFS(
   OR($F79="Pagar", $F79="Pintu Gerbang", $F79="Pintu Handerson", $F79="Kanopi"), "PER-M2",
   $F79="Teralis", "PER-LUBANG",
   OR($F79="Railing", $F79="Railing/Balkon"), "PER-M",
   TRUE, ""
)</f>
        <v>PER-M</v>
      </c>
      <c r="N79" cm="1">
        <f t="array" ref="N79">IF($M79="PER-M2",
  IFERROR(
     _xlfn.IFS(
        $G79="Hollow",
            INDEX('Referensi Harga'!$C:$C,
                  MATCH($F79&amp;$C79,'Referensi Harga'!$A:$A&amp;'Referensi Harga'!$B:$B,0)),
        $G79="Hollow Stainless",
            INDEX('Referensi Harga'!$D:$D,
                  MATCH($F79&amp;$C79,'Referensi Harga'!$A:$A&amp;'Referensi Harga'!$B:$B,0)),
        $G79="Pipa Stainless",
            INDEX('Referensi Harga'!$E:$E,
                  MATCH($F79&amp;$C79,'Referensi Harga'!$A:$A&amp;'Referensi Harga'!$B:$B,0))
     ),0)
  + IFERROR(VLOOKUP($H79,'Profile Size'!$A:$B,2,FALSE),0)
  + IFERROR(VLOOKUP($I79,'Ketebalan Material'!$A:$B,2,FALSE),0),
0)</f>
        <v>0</v>
      </c>
      <c r="O79">
        <f>IF($M79="PER-M",
  IFERROR(
    IF($G79="Hollow",
       INDEX('Referensi Harga'!$C:$C, MATCH($F79 &amp; "|" &amp; $C79, 'Referensi Harga'!$F:$F, 0)),
    IF($G79="Hollow Stainless",
       INDEX('Referensi Harga'!$D:$D, MATCH($F79 &amp; "|" &amp; $C79, 'Referensi Harga'!$F:$F, 0)),
       INDEX('Referensi Harga'!$E:$E, MATCH($F79 &amp; "|" &amp; $C79, 'Referensi Harga'!$F:$F, 0))
    ))
    + IFERROR(VLOOKUP($H79, 'Profile Size'!$A:$B, 2, FALSE), 0)
    + IFERROR(VLOOKUP($I79, 'Ketebalan Material'!$A:$B, 2, FALSE), 0), 0),
0)</f>
        <v>1150000</v>
      </c>
      <c r="P79" cm="1">
        <f t="array" ref="P79">IF($M79="PER-LUBANG",
  IFERROR(
     _xlfn.IFS(
        $G79="Hollow",
            INDEX('Referensi Harga'!$C:$C,
                  MATCH($F79&amp;$C79,'Referensi Harga'!$A:$A&amp;'Referensi Harga'!$B:$B,0)),
        $G79="Hollow Stainless",
            INDEX('Referensi Harga'!$D:$D,
                  MATCH($F79&amp;$C79,'Referensi Harga'!$A:$A&amp;'Referensi Harga'!$B:$B,0)),
        $G79="Pipa Stainless",
            INDEX('Referensi Harga'!$E:$E,
                  MATCH($F79&amp;$C79,'Referensi Harga'!$A:$A&amp;'Referensi Harga'!$B:$B,0))
     ),0)
  + IFERROR(VLOOKUP($H79,'Profile Size'!$A:$B,2,FALSE),0)
  + IFERROR(VLOOKUP($I79,'Ketebalan Material'!$A:$B,2,FALSE),0),
0)</f>
        <v>0</v>
      </c>
      <c r="Q79">
        <f>IF($M79="PER-M2",
    IFERROR(
        SUMIFS('Upah Tenaga Ahli'!$C:$C,
               'Upah Tenaga Ahli'!$A:$A,"PER-M2",
               'Upah Tenaga Ahli'!$B:$B,$G79
        ) * $J79 * $K79,
    0),
IF($M79="PER-LUBANG",
    IFERROR(
        SUMIFS('Upah Tenaga Ahli'!$D:$D,
               'Upah Tenaga Ahli'!$A:$A,"PER-LUBANG",
               'Upah Tenaga Ahli'!$B:$B,$G79
        ) * $L79 * $K79,
    0),
IF($M79="PER-M",
    IFERROR(
        SUMIFS('Upah Tenaga Ahli'!$E:$E,
               'Upah Tenaga Ahli'!$A:$A,"PER-M",
               'Upah Tenaga Ahli'!$B:$B,$G79
        ) * $J79 * $K79,
    0),
0)))</f>
        <v>5642999.9999999991</v>
      </c>
      <c r="R79" t="s">
        <v>617</v>
      </c>
      <c r="S79" t="s">
        <v>24</v>
      </c>
      <c r="T79">
        <f>IF($M79="PER-M2",
   ($N79 * $J79 * $K79)
   + IFERROR(VLOOKUP($R79,Finishing!A:B,2,FALSE),0)
   + IFERROR(VLOOKUP($S79,Kerumitan!A:B,2,FALSE),0),
IF($M79="PER-LUBANG",
   ($P79 * $L79 * $K79)
   + IFERROR(VLOOKUP($R79,Finishing!A:B,2,FALSE),0)
   + IFERROR(VLOOKUP($S79,Kerumitan!A:B,2,FALSE),0),
IF($M79="PER-M",
   ($O79 * $J79 * $K79)
   + IFERROR(VLOOKUP($R79,Finishing!A:B,2,FALSE),0)
   + IFERROR(VLOOKUP($S79,Kerumitan!A:B,2,FALSE),0),
0)))</f>
        <v>43362999.999999993</v>
      </c>
    </row>
    <row r="80" spans="1:20" x14ac:dyDescent="0.45">
      <c r="A80" t="s">
        <v>158</v>
      </c>
      <c r="B80" s="5">
        <v>45891</v>
      </c>
      <c r="C80">
        <f t="shared" si="1"/>
        <v>2025</v>
      </c>
      <c r="D80" t="s">
        <v>159</v>
      </c>
      <c r="E80" t="s">
        <v>41</v>
      </c>
      <c r="F80" t="s">
        <v>6</v>
      </c>
      <c r="G80" t="s">
        <v>15</v>
      </c>
      <c r="H80" t="s">
        <v>33</v>
      </c>
      <c r="I80">
        <v>1.2</v>
      </c>
      <c r="J80">
        <v>15.49</v>
      </c>
      <c r="K80">
        <v>2</v>
      </c>
      <c r="L80">
        <v>0</v>
      </c>
      <c r="M80" t="str" cm="1">
        <f t="array" ref="M80">_xlfn.IFS(
   OR($F80="Pagar", $F80="Pintu Gerbang", $F80="Pintu Handerson", $F80="Kanopi"), "PER-M2",
   $F80="Teralis", "PER-LUBANG",
   OR($F80="Railing", $F80="Railing/Balkon"), "PER-M",
   TRUE, ""
)</f>
        <v>PER-M2</v>
      </c>
      <c r="N80" cm="1">
        <f t="array" ref="N80">IF($M80="PER-M2",
  IFERROR(
     _xlfn.IFS(
        $G80="Hollow",
            INDEX('Referensi Harga'!$C:$C,
                  MATCH($F80&amp;$C80,'Referensi Harga'!$A:$A&amp;'Referensi Harga'!$B:$B,0)),
        $G80="Hollow Stainless",
            INDEX('Referensi Harga'!$D:$D,
                  MATCH($F80&amp;$C80,'Referensi Harga'!$A:$A&amp;'Referensi Harga'!$B:$B,0)),
        $G80="Pipa Stainless",
            INDEX('Referensi Harga'!$E:$E,
                  MATCH($F80&amp;$C80,'Referensi Harga'!$A:$A&amp;'Referensi Harga'!$B:$B,0))
     ),0)
  + IFERROR(VLOOKUP($H80,'Profile Size'!$A:$B,2,FALSE),0)
  + IFERROR(VLOOKUP($I80,'Ketebalan Material'!$A:$B,2,FALSE),0),
0)</f>
        <v>900000</v>
      </c>
      <c r="O80">
        <f>IF($M80="PER-M",
  IFERROR(
    IF($G80="Hollow",
       INDEX('Referensi Harga'!$C:$C, MATCH($F80 &amp; "|" &amp; $C80, 'Referensi Harga'!$F:$F, 0)),
    IF($G80="Hollow Stainless",
       INDEX('Referensi Harga'!$D:$D, MATCH($F80 &amp; "|" &amp; $C80, 'Referensi Harga'!$F:$F, 0)),
       INDEX('Referensi Harga'!$E:$E, MATCH($F80 &amp; "|" &amp; $C80, 'Referensi Harga'!$F:$F, 0))
    ))
    + IFERROR(VLOOKUP($H80, 'Profile Size'!$A:$B, 2, FALSE), 0)
    + IFERROR(VLOOKUP($I80, 'Ketebalan Material'!$A:$B, 2, FALSE), 0), 0),
0)</f>
        <v>0</v>
      </c>
      <c r="P80" cm="1">
        <f t="array" ref="P80">IF($M80="PER-LUBANG",
  IFERROR(
     _xlfn.IFS(
        $G80="Hollow",
            INDEX('Referensi Harga'!$C:$C,
                  MATCH($F80&amp;$C80,'Referensi Harga'!$A:$A&amp;'Referensi Harga'!$B:$B,0)),
        $G80="Hollow Stainless",
            INDEX('Referensi Harga'!$D:$D,
                  MATCH($F80&amp;$C80,'Referensi Harga'!$A:$A&amp;'Referensi Harga'!$B:$B,0)),
        $G80="Pipa Stainless",
            INDEX('Referensi Harga'!$E:$E,
                  MATCH($F80&amp;$C80,'Referensi Harga'!$A:$A&amp;'Referensi Harga'!$B:$B,0))
     ),0)
  + IFERROR(VLOOKUP($H80,'Profile Size'!$A:$B,2,FALSE),0)
  + IFERROR(VLOOKUP($I80,'Ketebalan Material'!$A:$B,2,FALSE),0),
0)</f>
        <v>0</v>
      </c>
      <c r="Q80">
        <f>IF($M80="PER-M2",
    IFERROR(
        SUMIFS('Upah Tenaga Ahli'!$C:$C,
               'Upah Tenaga Ahli'!$A:$A,"PER-M2",
               'Upah Tenaga Ahli'!$B:$B,$G80
        ) * $J80 * $K80,
    0),
IF($M80="PER-LUBANG",
    IFERROR(
        SUMIFS('Upah Tenaga Ahli'!$D:$D,
               'Upah Tenaga Ahli'!$A:$A,"PER-LUBANG",
               'Upah Tenaga Ahli'!$B:$B,$G80
        ) * $L80 * $K80,
    0),
IF($M80="PER-M",
    IFERROR(
        SUMIFS('Upah Tenaga Ahli'!$E:$E,
               'Upah Tenaga Ahli'!$A:$A,"PER-M",
               'Upah Tenaga Ahli'!$B:$B,$G80
        ) * $J80 * $K80,
    0),
0)))</f>
        <v>4647000</v>
      </c>
      <c r="R80" t="s">
        <v>617</v>
      </c>
      <c r="S80" t="s">
        <v>24</v>
      </c>
      <c r="T80">
        <f>IF($M80="PER-M2",
   ($N80 * $J80 * $K80)
   + IFERROR(VLOOKUP($R80,Finishing!A:B,2,FALSE),0)
   + IFERROR(VLOOKUP($S80,Kerumitan!A:B,2,FALSE),0),
IF($M80="PER-LUBANG",
   ($P80 * $L80 * $K80)
   + IFERROR(VLOOKUP($R80,Finishing!A:B,2,FALSE),0)
   + IFERROR(VLOOKUP($S80,Kerumitan!A:B,2,FALSE),0),
IF($M80="PER-M",
   ($O80 * $J80 * $K80)
   + IFERROR(VLOOKUP($R80,Finishing!A:B,2,FALSE),0)
   + IFERROR(VLOOKUP($S80,Kerumitan!A:B,2,FALSE),0),
0)))</f>
        <v>27982000</v>
      </c>
    </row>
    <row r="81" spans="1:20" x14ac:dyDescent="0.45">
      <c r="A81" t="s">
        <v>160</v>
      </c>
      <c r="B81" s="5">
        <v>45004</v>
      </c>
      <c r="C81">
        <f t="shared" si="1"/>
        <v>2023</v>
      </c>
      <c r="D81" t="s">
        <v>37</v>
      </c>
      <c r="E81" t="s">
        <v>32</v>
      </c>
      <c r="F81" t="s">
        <v>6</v>
      </c>
      <c r="G81" t="s">
        <v>14</v>
      </c>
      <c r="H81" t="s">
        <v>615</v>
      </c>
      <c r="I81">
        <v>1.2</v>
      </c>
      <c r="J81">
        <v>20.420000000000002</v>
      </c>
      <c r="K81">
        <v>1</v>
      </c>
      <c r="L81">
        <v>0</v>
      </c>
      <c r="M81" t="str" cm="1">
        <f t="array" ref="M81">_xlfn.IFS(
   OR($F81="Pagar", $F81="Pintu Gerbang", $F81="Pintu Handerson", $F81="Kanopi"), "PER-M2",
   $F81="Teralis", "PER-LUBANG",
   OR($F81="Railing", $F81="Railing/Balkon"), "PER-M",
   TRUE, ""
)</f>
        <v>PER-M2</v>
      </c>
      <c r="N81" cm="1">
        <f t="array" ref="N81">IF($M81="PER-M2",
  IFERROR(
     _xlfn.IFS(
        $G81="Hollow",
            INDEX('Referensi Harga'!$C:$C,
                  MATCH($F81&amp;$C81,'Referensi Harga'!$A:$A&amp;'Referensi Harga'!$B:$B,0)),
        $G81="Hollow Stainless",
            INDEX('Referensi Harga'!$D:$D,
                  MATCH($F81&amp;$C81,'Referensi Harga'!$A:$A&amp;'Referensi Harga'!$B:$B,0)),
        $G81="Pipa Stainless",
            INDEX('Referensi Harga'!$E:$E,
                  MATCH($F81&amp;$C81,'Referensi Harga'!$A:$A&amp;'Referensi Harga'!$B:$B,0))
     ),0)
  + IFERROR(VLOOKUP($H81,'Profile Size'!$A:$B,2,FALSE),0)
  + IFERROR(VLOOKUP($I81,'Ketebalan Material'!$A:$B,2,FALSE),0),
0)</f>
        <v>900000</v>
      </c>
      <c r="O81">
        <f>IF($M81="PER-M",
  IFERROR(
    IF($G81="Hollow",
       INDEX('Referensi Harga'!$C:$C, MATCH($F81 &amp; "|" &amp; $C81, 'Referensi Harga'!$F:$F, 0)),
    IF($G81="Hollow Stainless",
       INDEX('Referensi Harga'!$D:$D, MATCH($F81 &amp; "|" &amp; $C81, 'Referensi Harga'!$F:$F, 0)),
       INDEX('Referensi Harga'!$E:$E, MATCH($F81 &amp; "|" &amp; $C81, 'Referensi Harga'!$F:$F, 0))
    ))
    + IFERROR(VLOOKUP($H81, 'Profile Size'!$A:$B, 2, FALSE), 0)
    + IFERROR(VLOOKUP($I81, 'Ketebalan Material'!$A:$B, 2, FALSE), 0), 0),
0)</f>
        <v>0</v>
      </c>
      <c r="P81" cm="1">
        <f t="array" ref="P81">IF($M81="PER-LUBANG",
  IFERROR(
     _xlfn.IFS(
        $G81="Hollow",
            INDEX('Referensi Harga'!$C:$C,
                  MATCH($F81&amp;$C81,'Referensi Harga'!$A:$A&amp;'Referensi Harga'!$B:$B,0)),
        $G81="Hollow Stainless",
            INDEX('Referensi Harga'!$D:$D,
                  MATCH($F81&amp;$C81,'Referensi Harga'!$A:$A&amp;'Referensi Harga'!$B:$B,0)),
        $G81="Pipa Stainless",
            INDEX('Referensi Harga'!$E:$E,
                  MATCH($F81&amp;$C81,'Referensi Harga'!$A:$A&amp;'Referensi Harga'!$B:$B,0))
     ),0)
  + IFERROR(VLOOKUP($H81,'Profile Size'!$A:$B,2,FALSE),0)
  + IFERROR(VLOOKUP($I81,'Ketebalan Material'!$A:$B,2,FALSE),0),
0)</f>
        <v>0</v>
      </c>
      <c r="Q81">
        <f>IF($M81="PER-M2",
    IFERROR(
        SUMIFS('Upah Tenaga Ahli'!$C:$C,
               'Upah Tenaga Ahli'!$A:$A,"PER-M2",
               'Upah Tenaga Ahli'!$B:$B,$G81
        ) * $J81 * $K81,
    0),
IF($M81="PER-LUBANG",
    IFERROR(
        SUMIFS('Upah Tenaga Ahli'!$D:$D,
               'Upah Tenaga Ahli'!$A:$A,"PER-LUBANG",
               'Upah Tenaga Ahli'!$B:$B,$G81
        ) * $L81 * $K81,
    0),
IF($M81="PER-M",
    IFERROR(
        SUMIFS('Upah Tenaga Ahli'!$E:$E,
               'Upah Tenaga Ahli'!$A:$A,"PER-M",
               'Upah Tenaga Ahli'!$B:$B,$G81
        ) * $J81 * $K81,
    0),
0)))</f>
        <v>4084000.0000000005</v>
      </c>
      <c r="R81" t="s">
        <v>617</v>
      </c>
      <c r="S81" t="s">
        <v>23</v>
      </c>
      <c r="T81">
        <f>IF($M81="PER-M2",
   ($N81 * $J81 * $K81)
   + IFERROR(VLOOKUP($R81,Finishing!A:B,2,FALSE),0)
   + IFERROR(VLOOKUP($S81,Kerumitan!A:B,2,FALSE),0),
IF($M81="PER-LUBANG",
   ($P81 * $L81 * $K81)
   + IFERROR(VLOOKUP($R81,Finishing!A:B,2,FALSE),0)
   + IFERROR(VLOOKUP($S81,Kerumitan!A:B,2,FALSE),0),
IF($M81="PER-M",
   ($O81 * $J81 * $K81)
   + IFERROR(VLOOKUP($R81,Finishing!A:B,2,FALSE),0)
   + IFERROR(VLOOKUP($S81,Kerumitan!A:B,2,FALSE),0),
0)))</f>
        <v>18378000</v>
      </c>
    </row>
    <row r="82" spans="1:20" x14ac:dyDescent="0.45">
      <c r="A82" t="s">
        <v>161</v>
      </c>
      <c r="B82" s="5">
        <v>44573</v>
      </c>
      <c r="C82">
        <f t="shared" si="1"/>
        <v>2022</v>
      </c>
      <c r="D82" t="s">
        <v>65</v>
      </c>
      <c r="E82" t="s">
        <v>61</v>
      </c>
      <c r="F82" t="s">
        <v>10</v>
      </c>
      <c r="G82" t="s">
        <v>15</v>
      </c>
      <c r="H82" t="s">
        <v>33</v>
      </c>
      <c r="I82">
        <v>1.2</v>
      </c>
      <c r="J82">
        <v>4.26</v>
      </c>
      <c r="K82">
        <v>2</v>
      </c>
      <c r="L82">
        <v>0</v>
      </c>
      <c r="M82" t="str" cm="1">
        <f t="array" ref="M82">_xlfn.IFS(
   OR($F82="Pagar", $F82="Pintu Gerbang", $F82="Pintu Handerson", $F82="Kanopi"), "PER-M2",
   $F82="Teralis", "PER-LUBANG",
   OR($F82="Railing", $F82="Railing/Balkon"), "PER-M",
   TRUE, ""
)</f>
        <v>PER-M2</v>
      </c>
      <c r="N82" cm="1">
        <f t="array" ref="N82">IF($M82="PER-M2",
  IFERROR(
     _xlfn.IFS(
        $G82="Hollow",
            INDEX('Referensi Harga'!$C:$C,
                  MATCH($F82&amp;$C82,'Referensi Harga'!$A:$A&amp;'Referensi Harga'!$B:$B,0)),
        $G82="Hollow Stainless",
            INDEX('Referensi Harga'!$D:$D,
                  MATCH($F82&amp;$C82,'Referensi Harga'!$A:$A&amp;'Referensi Harga'!$B:$B,0)),
        $G82="Pipa Stainless",
            INDEX('Referensi Harga'!$E:$E,
                  MATCH($F82&amp;$C82,'Referensi Harga'!$A:$A&amp;'Referensi Harga'!$B:$B,0))
     ),0)
  + IFERROR(VLOOKUP($H82,'Profile Size'!$A:$B,2,FALSE),0)
  + IFERROR(VLOOKUP($I82,'Ketebalan Material'!$A:$B,2,FALSE),0),
0)</f>
        <v>1560000</v>
      </c>
      <c r="O82">
        <f>IF($M82="PER-M",
  IFERROR(
    IF($G82="Hollow",
       INDEX('Referensi Harga'!$C:$C, MATCH($F82 &amp; "|" &amp; $C82, 'Referensi Harga'!$F:$F, 0)),
    IF($G82="Hollow Stainless",
       INDEX('Referensi Harga'!$D:$D, MATCH($F82 &amp; "|" &amp; $C82, 'Referensi Harga'!$F:$F, 0)),
       INDEX('Referensi Harga'!$E:$E, MATCH($F82 &amp; "|" &amp; $C82, 'Referensi Harga'!$F:$F, 0))
    ))
    + IFERROR(VLOOKUP($H82, 'Profile Size'!$A:$B, 2, FALSE), 0)
    + IFERROR(VLOOKUP($I82, 'Ketebalan Material'!$A:$B, 2, FALSE), 0), 0),
0)</f>
        <v>0</v>
      </c>
      <c r="P82" cm="1">
        <f t="array" ref="P82">IF($M82="PER-LUBANG",
  IFERROR(
     _xlfn.IFS(
        $G82="Hollow",
            INDEX('Referensi Harga'!$C:$C,
                  MATCH($F82&amp;$C82,'Referensi Harga'!$A:$A&amp;'Referensi Harga'!$B:$B,0)),
        $G82="Hollow Stainless",
            INDEX('Referensi Harga'!$D:$D,
                  MATCH($F82&amp;$C82,'Referensi Harga'!$A:$A&amp;'Referensi Harga'!$B:$B,0)),
        $G82="Pipa Stainless",
            INDEX('Referensi Harga'!$E:$E,
                  MATCH($F82&amp;$C82,'Referensi Harga'!$A:$A&amp;'Referensi Harga'!$B:$B,0))
     ),0)
  + IFERROR(VLOOKUP($H82,'Profile Size'!$A:$B,2,FALSE),0)
  + IFERROR(VLOOKUP($I82,'Ketebalan Material'!$A:$B,2,FALSE),0),
0)</f>
        <v>0</v>
      </c>
      <c r="Q82">
        <f>IF($M82="PER-M2",
    IFERROR(
        SUMIFS('Upah Tenaga Ahli'!$C:$C,
               'Upah Tenaga Ahli'!$A:$A,"PER-M2",
               'Upah Tenaga Ahli'!$B:$B,$G82
        ) * $J82 * $K82,
    0),
IF($M82="PER-LUBANG",
    IFERROR(
        SUMIFS('Upah Tenaga Ahli'!$D:$D,
               'Upah Tenaga Ahli'!$A:$A,"PER-LUBANG",
               'Upah Tenaga Ahli'!$B:$B,$G82
        ) * $L82 * $K82,
    0),
IF($M82="PER-M",
    IFERROR(
        SUMIFS('Upah Tenaga Ahli'!$E:$E,
               'Upah Tenaga Ahli'!$A:$A,"PER-M",
               'Upah Tenaga Ahli'!$B:$B,$G82
        ) * $J82 * $K82,
    0),
0)))</f>
        <v>1278000</v>
      </c>
      <c r="R82" t="s">
        <v>617</v>
      </c>
      <c r="S82" t="s">
        <v>23</v>
      </c>
      <c r="T82">
        <f>IF($M82="PER-M2",
   ($N82 * $J82 * $K82)
   + IFERROR(VLOOKUP($R82,Finishing!A:B,2,FALSE),0)
   + IFERROR(VLOOKUP($S82,Kerumitan!A:B,2,FALSE),0),
IF($M82="PER-LUBANG",
   ($P82 * $L82 * $K82)
   + IFERROR(VLOOKUP($R82,Finishing!A:B,2,FALSE),0)
   + IFERROR(VLOOKUP($S82,Kerumitan!A:B,2,FALSE),0),
IF($M82="PER-M",
   ($O82 * $J82 * $K82)
   + IFERROR(VLOOKUP($R82,Finishing!A:B,2,FALSE),0)
   + IFERROR(VLOOKUP($S82,Kerumitan!A:B,2,FALSE),0),
0)))</f>
        <v>13291200</v>
      </c>
    </row>
    <row r="83" spans="1:20" x14ac:dyDescent="0.45">
      <c r="A83" t="s">
        <v>162</v>
      </c>
      <c r="B83" s="5">
        <v>44978</v>
      </c>
      <c r="C83">
        <f t="shared" si="1"/>
        <v>2023</v>
      </c>
      <c r="D83" t="s">
        <v>163</v>
      </c>
      <c r="E83" t="s">
        <v>121</v>
      </c>
      <c r="F83" t="s">
        <v>7</v>
      </c>
      <c r="G83" t="s">
        <v>15</v>
      </c>
      <c r="H83" t="s">
        <v>46</v>
      </c>
      <c r="I83">
        <v>1</v>
      </c>
      <c r="J83">
        <v>8.81</v>
      </c>
      <c r="K83">
        <v>1</v>
      </c>
      <c r="L83">
        <v>0</v>
      </c>
      <c r="M83" t="str" cm="1">
        <f t="array" ref="M83">_xlfn.IFS(
   OR($F83="Pagar", $F83="Pintu Gerbang", $F83="Pintu Handerson", $F83="Kanopi"), "PER-M2",
   $F83="Teralis", "PER-LUBANG",
   OR($F83="Railing", $F83="Railing/Balkon"), "PER-M",
   TRUE, ""
)</f>
        <v>PER-M2</v>
      </c>
      <c r="N83" cm="1">
        <f t="array" ref="N83">IF($M83="PER-M2",
  IFERROR(
     _xlfn.IFS(
        $G83="Hollow",
            INDEX('Referensi Harga'!$C:$C,
                  MATCH($F83&amp;$C83,'Referensi Harga'!$A:$A&amp;'Referensi Harga'!$B:$B,0)),
        $G83="Hollow Stainless",
            INDEX('Referensi Harga'!$D:$D,
                  MATCH($F83&amp;$C83,'Referensi Harga'!$A:$A&amp;'Referensi Harga'!$B:$B,0)),
        $G83="Pipa Stainless",
            INDEX('Referensi Harga'!$E:$E,
                  MATCH($F83&amp;$C83,'Referensi Harga'!$A:$A&amp;'Referensi Harga'!$B:$B,0))
     ),0)
  + IFERROR(VLOOKUP($H83,'Profile Size'!$A:$B,2,FALSE),0)
  + IFERROR(VLOOKUP($I83,'Ketebalan Material'!$A:$B,2,FALSE),0),
0)</f>
        <v>1400000</v>
      </c>
      <c r="O83">
        <f>IF($M83="PER-M",
  IFERROR(
    IF($G83="Hollow",
       INDEX('Referensi Harga'!$C:$C, MATCH($F83 &amp; "|" &amp; $C83, 'Referensi Harga'!$F:$F, 0)),
    IF($G83="Hollow Stainless",
       INDEX('Referensi Harga'!$D:$D, MATCH($F83 &amp; "|" &amp; $C83, 'Referensi Harga'!$F:$F, 0)),
       INDEX('Referensi Harga'!$E:$E, MATCH($F83 &amp; "|" &amp; $C83, 'Referensi Harga'!$F:$F, 0))
    ))
    + IFERROR(VLOOKUP($H83, 'Profile Size'!$A:$B, 2, FALSE), 0)
    + IFERROR(VLOOKUP($I83, 'Ketebalan Material'!$A:$B, 2, FALSE), 0), 0),
0)</f>
        <v>0</v>
      </c>
      <c r="P83" cm="1">
        <f t="array" ref="P83">IF($M83="PER-LUBANG",
  IFERROR(
     _xlfn.IFS(
        $G83="Hollow",
            INDEX('Referensi Harga'!$C:$C,
                  MATCH($F83&amp;$C83,'Referensi Harga'!$A:$A&amp;'Referensi Harga'!$B:$B,0)),
        $G83="Hollow Stainless",
            INDEX('Referensi Harga'!$D:$D,
                  MATCH($F83&amp;$C83,'Referensi Harga'!$A:$A&amp;'Referensi Harga'!$B:$B,0)),
        $G83="Pipa Stainless",
            INDEX('Referensi Harga'!$E:$E,
                  MATCH($F83&amp;$C83,'Referensi Harga'!$A:$A&amp;'Referensi Harga'!$B:$B,0))
     ),0)
  + IFERROR(VLOOKUP($H83,'Profile Size'!$A:$B,2,FALSE),0)
  + IFERROR(VLOOKUP($I83,'Ketebalan Material'!$A:$B,2,FALSE),0),
0)</f>
        <v>0</v>
      </c>
      <c r="Q83">
        <f>IF($M83="PER-M2",
    IFERROR(
        SUMIFS('Upah Tenaga Ahli'!$C:$C,
               'Upah Tenaga Ahli'!$A:$A,"PER-M2",
               'Upah Tenaga Ahli'!$B:$B,$G83
        ) * $J83 * $K83,
    0),
IF($M83="PER-LUBANG",
    IFERROR(
        SUMIFS('Upah Tenaga Ahli'!$D:$D,
               'Upah Tenaga Ahli'!$A:$A,"PER-LUBANG",
               'Upah Tenaga Ahli'!$B:$B,$G83
        ) * $L83 * $K83,
    0),
IF($M83="PER-M",
    IFERROR(
        SUMIFS('Upah Tenaga Ahli'!$E:$E,
               'Upah Tenaga Ahli'!$A:$A,"PER-M",
               'Upah Tenaga Ahli'!$B:$B,$G83
        ) * $J83 * $K83,
    0),
0)))</f>
        <v>1321500</v>
      </c>
      <c r="R83" t="s">
        <v>617</v>
      </c>
      <c r="S83" t="s">
        <v>23</v>
      </c>
      <c r="T83">
        <f>IF($M83="PER-M2",
   ($N83 * $J83 * $K83)
   + IFERROR(VLOOKUP($R83,Finishing!A:B,2,FALSE),0)
   + IFERROR(VLOOKUP($S83,Kerumitan!A:B,2,FALSE),0),
IF($M83="PER-LUBANG",
   ($P83 * $L83 * $K83)
   + IFERROR(VLOOKUP($R83,Finishing!A:B,2,FALSE),0)
   + IFERROR(VLOOKUP($S83,Kerumitan!A:B,2,FALSE),0),
IF($M83="PER-M",
   ($O83 * $J83 * $K83)
   + IFERROR(VLOOKUP($R83,Finishing!A:B,2,FALSE),0)
   + IFERROR(VLOOKUP($S83,Kerumitan!A:B,2,FALSE),0),
0)))</f>
        <v>12334000</v>
      </c>
    </row>
    <row r="84" spans="1:20" x14ac:dyDescent="0.45">
      <c r="A84" t="s">
        <v>164</v>
      </c>
      <c r="B84" s="5">
        <v>45593</v>
      </c>
      <c r="C84">
        <f t="shared" si="1"/>
        <v>2024</v>
      </c>
      <c r="D84" t="s">
        <v>27</v>
      </c>
      <c r="E84" t="s">
        <v>38</v>
      </c>
      <c r="F84" t="s">
        <v>4</v>
      </c>
      <c r="G84" t="s">
        <v>13</v>
      </c>
      <c r="H84" t="s">
        <v>33</v>
      </c>
      <c r="I84">
        <v>0.8</v>
      </c>
      <c r="J84">
        <v>16.72</v>
      </c>
      <c r="K84">
        <v>1</v>
      </c>
      <c r="L84">
        <v>0</v>
      </c>
      <c r="M84" t="str" cm="1">
        <f t="array" ref="M84">_xlfn.IFS(
   OR($F84="Pagar", $F84="Pintu Gerbang", $F84="Pintu Handerson", $F84="Kanopi"), "PER-M2",
   $F84="Teralis", "PER-LUBANG",
   OR($F84="Railing", $F84="Railing/Balkon"), "PER-M",
   TRUE, ""
)</f>
        <v>PER-M2</v>
      </c>
      <c r="N84" cm="1">
        <f t="array" ref="N84">IF($M84="PER-M2",
  IFERROR(
     _xlfn.IFS(
        $G84="Hollow",
            INDEX('Referensi Harga'!$C:$C,
                  MATCH($F84&amp;$C84,'Referensi Harga'!$A:$A&amp;'Referensi Harga'!$B:$B,0)),
        $G84="Hollow Stainless",
            INDEX('Referensi Harga'!$D:$D,
                  MATCH($F84&amp;$C84,'Referensi Harga'!$A:$A&amp;'Referensi Harga'!$B:$B,0)),
        $G84="Pipa Stainless",
            INDEX('Referensi Harga'!$E:$E,
                  MATCH($F84&amp;$C84,'Referensi Harga'!$A:$A&amp;'Referensi Harga'!$B:$B,0))
     ),0)
  + IFERROR(VLOOKUP($H84,'Profile Size'!$A:$B,2,FALSE),0)
  + IFERROR(VLOOKUP($I84,'Ketebalan Material'!$A:$B,2,FALSE),0),
0)</f>
        <v>550000</v>
      </c>
      <c r="O84">
        <f>IF($M84="PER-M",
  IFERROR(
    IF($G84="Hollow",
       INDEX('Referensi Harga'!$C:$C, MATCH($F84 &amp; "|" &amp; $C84, 'Referensi Harga'!$F:$F, 0)),
    IF($G84="Hollow Stainless",
       INDEX('Referensi Harga'!$D:$D, MATCH($F84 &amp; "|" &amp; $C84, 'Referensi Harga'!$F:$F, 0)),
       INDEX('Referensi Harga'!$E:$E, MATCH($F84 &amp; "|" &amp; $C84, 'Referensi Harga'!$F:$F, 0))
    ))
    + IFERROR(VLOOKUP($H84, 'Profile Size'!$A:$B, 2, FALSE), 0)
    + IFERROR(VLOOKUP($I84, 'Ketebalan Material'!$A:$B, 2, FALSE), 0), 0),
0)</f>
        <v>0</v>
      </c>
      <c r="P84" cm="1">
        <f t="array" ref="P84">IF($M84="PER-LUBANG",
  IFERROR(
     _xlfn.IFS(
        $G84="Hollow",
            INDEX('Referensi Harga'!$C:$C,
                  MATCH($F84&amp;$C84,'Referensi Harga'!$A:$A&amp;'Referensi Harga'!$B:$B,0)),
        $G84="Hollow Stainless",
            INDEX('Referensi Harga'!$D:$D,
                  MATCH($F84&amp;$C84,'Referensi Harga'!$A:$A&amp;'Referensi Harga'!$B:$B,0)),
        $G84="Pipa Stainless",
            INDEX('Referensi Harga'!$E:$E,
                  MATCH($F84&amp;$C84,'Referensi Harga'!$A:$A&amp;'Referensi Harga'!$B:$B,0))
     ),0)
  + IFERROR(VLOOKUP($H84,'Profile Size'!$A:$B,2,FALSE),0)
  + IFERROR(VLOOKUP($I84,'Ketebalan Material'!$A:$B,2,FALSE),0),
0)</f>
        <v>0</v>
      </c>
      <c r="Q84">
        <f>IF($M84="PER-M2",
    IFERROR(
        SUMIFS('Upah Tenaga Ahli'!$C:$C,
               'Upah Tenaga Ahli'!$A:$A,"PER-M2",
               'Upah Tenaga Ahli'!$B:$B,$G84
        ) * $J84 * $K84,
    0),
IF($M84="PER-LUBANG",
    IFERROR(
        SUMIFS('Upah Tenaga Ahli'!$D:$D,
               'Upah Tenaga Ahli'!$A:$A,"PER-LUBANG",
               'Upah Tenaga Ahli'!$B:$B,$G84
        ) * $L84 * $K84,
    0),
IF($M84="PER-M",
    IFERROR(
        SUMIFS('Upah Tenaga Ahli'!$E:$E,
               'Upah Tenaga Ahli'!$A:$A,"PER-M",
               'Upah Tenaga Ahli'!$B:$B,$G84
        ) * $J84 * $K84,
    0),
0)))</f>
        <v>1672000</v>
      </c>
      <c r="R84" t="s">
        <v>20</v>
      </c>
      <c r="S84" t="s">
        <v>23</v>
      </c>
      <c r="T84">
        <f>IF($M84="PER-M2",
   ($N84 * $J84 * $K84)
   + IFERROR(VLOOKUP($R84,Finishing!A:B,2,FALSE),0)
   + IFERROR(VLOOKUP($S84,Kerumitan!A:B,2,FALSE),0),
IF($M84="PER-LUBANG",
   ($P84 * $L84 * $K84)
   + IFERROR(VLOOKUP($R84,Finishing!A:B,2,FALSE),0)
   + IFERROR(VLOOKUP($S84,Kerumitan!A:B,2,FALSE),0),
IF($M84="PER-M",
   ($O84 * $J84 * $K84)
   + IFERROR(VLOOKUP($R84,Finishing!A:B,2,FALSE),0)
   + IFERROR(VLOOKUP($S84,Kerumitan!A:B,2,FALSE),0),
0)))</f>
        <v>9346000</v>
      </c>
    </row>
    <row r="85" spans="1:20" x14ac:dyDescent="0.45">
      <c r="A85" t="s">
        <v>165</v>
      </c>
      <c r="B85" s="5">
        <v>45475</v>
      </c>
      <c r="C85">
        <f t="shared" si="1"/>
        <v>2024</v>
      </c>
      <c r="D85" t="s">
        <v>133</v>
      </c>
      <c r="E85" t="s">
        <v>105</v>
      </c>
      <c r="F85" t="s">
        <v>625</v>
      </c>
      <c r="G85" t="s">
        <v>14</v>
      </c>
      <c r="H85" t="s">
        <v>615</v>
      </c>
      <c r="I85">
        <v>1.2</v>
      </c>
      <c r="J85">
        <v>2.29</v>
      </c>
      <c r="K85">
        <v>2</v>
      </c>
      <c r="L85">
        <v>0</v>
      </c>
      <c r="M85" t="str" cm="1">
        <f t="array" ref="M85">_xlfn.IFS(
   OR($F85="Pagar", $F85="Pintu Gerbang", $F85="Pintu Handerson", $F85="Kanopi"), "PER-M2",
   $F85="Teralis", "PER-LUBANG",
   OR($F85="Railing", $F85="Railing/Balkon"), "PER-M",
   TRUE, ""
)</f>
        <v>PER-M</v>
      </c>
      <c r="N85" cm="1">
        <f t="array" ref="N85">IF($M85="PER-M2",
  IFERROR(
     _xlfn.IFS(
        $G85="Hollow",
            INDEX('Referensi Harga'!$C:$C,
                  MATCH($F85&amp;$C85,'Referensi Harga'!$A:$A&amp;'Referensi Harga'!$B:$B,0)),
        $G85="Hollow Stainless",
            INDEX('Referensi Harga'!$D:$D,
                  MATCH($F85&amp;$C85,'Referensi Harga'!$A:$A&amp;'Referensi Harga'!$B:$B,0)),
        $G85="Pipa Stainless",
            INDEX('Referensi Harga'!$E:$E,
                  MATCH($F85&amp;$C85,'Referensi Harga'!$A:$A&amp;'Referensi Harga'!$B:$B,0))
     ),0)
  + IFERROR(VLOOKUP($H85,'Profile Size'!$A:$B,2,FALSE),0)
  + IFERROR(VLOOKUP($I85,'Ketebalan Material'!$A:$B,2,FALSE),0),
0)</f>
        <v>0</v>
      </c>
      <c r="O85">
        <f>IF($M85="PER-M",
  IFERROR(
    IF($G85="Hollow",
       INDEX('Referensi Harga'!$C:$C, MATCH($F85 &amp; "|" &amp; $C85, 'Referensi Harga'!$F:$F, 0)),
    IF($G85="Hollow Stainless",
       INDEX('Referensi Harga'!$D:$D, MATCH($F85 &amp; "|" &amp; $C85, 'Referensi Harga'!$F:$F, 0)),
       INDEX('Referensi Harga'!$E:$E, MATCH($F85 &amp; "|" &amp; $C85, 'Referensi Harga'!$F:$F, 0))
    ))
    + IFERROR(VLOOKUP($H85, 'Profile Size'!$A:$B, 2, FALSE), 0)
    + IFERROR(VLOOKUP($I85, 'Ketebalan Material'!$A:$B, 2, FALSE), 0), 0),
0)</f>
        <v>1200000</v>
      </c>
      <c r="P85" cm="1">
        <f t="array" ref="P85">IF($M85="PER-LUBANG",
  IFERROR(
     _xlfn.IFS(
        $G85="Hollow",
            INDEX('Referensi Harga'!$C:$C,
                  MATCH($F85&amp;$C85,'Referensi Harga'!$A:$A&amp;'Referensi Harga'!$B:$B,0)),
        $G85="Hollow Stainless",
            INDEX('Referensi Harga'!$D:$D,
                  MATCH($F85&amp;$C85,'Referensi Harga'!$A:$A&amp;'Referensi Harga'!$B:$B,0)),
        $G85="Pipa Stainless",
            INDEX('Referensi Harga'!$E:$E,
                  MATCH($F85&amp;$C85,'Referensi Harga'!$A:$A&amp;'Referensi Harga'!$B:$B,0))
     ),0)
  + IFERROR(VLOOKUP($H85,'Profile Size'!$A:$B,2,FALSE),0)
  + IFERROR(VLOOKUP($I85,'Ketebalan Material'!$A:$B,2,FALSE),0),
0)</f>
        <v>0</v>
      </c>
      <c r="Q85">
        <f>IF($M85="PER-M2",
    IFERROR(
        SUMIFS('Upah Tenaga Ahli'!$C:$C,
               'Upah Tenaga Ahli'!$A:$A,"PER-M2",
               'Upah Tenaga Ahli'!$B:$B,$G85
        ) * $J85 * $K85,
    0),
IF($M85="PER-LUBANG",
    IFERROR(
        SUMIFS('Upah Tenaga Ahli'!$D:$D,
               'Upah Tenaga Ahli'!$A:$A,"PER-LUBANG",
               'Upah Tenaga Ahli'!$B:$B,$G85
        ) * $L85 * $K85,
    0),
IF($M85="PER-M",
    IFERROR(
        SUMIFS('Upah Tenaga Ahli'!$E:$E,
               'Upah Tenaga Ahli'!$A:$A,"PER-M",
               'Upah Tenaga Ahli'!$B:$B,$G85
        ) * $J85 * $K85,
    0),
0)))</f>
        <v>916000</v>
      </c>
      <c r="R85" t="s">
        <v>617</v>
      </c>
      <c r="S85" t="s">
        <v>24</v>
      </c>
      <c r="T85">
        <f>IF($M85="PER-M2",
   ($N85 * $J85 * $K85)
   + IFERROR(VLOOKUP($R85,Finishing!A:B,2,FALSE),0)
   + IFERROR(VLOOKUP($S85,Kerumitan!A:B,2,FALSE),0),
IF($M85="PER-LUBANG",
   ($P85 * $L85 * $K85)
   + IFERROR(VLOOKUP($R85,Finishing!A:B,2,FALSE),0)
   + IFERROR(VLOOKUP($S85,Kerumitan!A:B,2,FALSE),0),
IF($M85="PER-M",
   ($O85 * $J85 * $K85)
   + IFERROR(VLOOKUP($R85,Finishing!A:B,2,FALSE),0)
   + IFERROR(VLOOKUP($S85,Kerumitan!A:B,2,FALSE),0),
0)))</f>
        <v>5596000</v>
      </c>
    </row>
    <row r="86" spans="1:20" x14ac:dyDescent="0.45">
      <c r="A86" t="s">
        <v>166</v>
      </c>
      <c r="B86" s="5">
        <v>43847</v>
      </c>
      <c r="C86">
        <f t="shared" si="1"/>
        <v>2020</v>
      </c>
      <c r="D86" t="s">
        <v>167</v>
      </c>
      <c r="E86" t="s">
        <v>69</v>
      </c>
      <c r="F86" t="s">
        <v>6</v>
      </c>
      <c r="G86" t="s">
        <v>15</v>
      </c>
      <c r="H86" t="s">
        <v>33</v>
      </c>
      <c r="I86">
        <v>1.2</v>
      </c>
      <c r="J86">
        <v>14.92</v>
      </c>
      <c r="K86">
        <v>2</v>
      </c>
      <c r="L86">
        <v>0</v>
      </c>
      <c r="M86" t="str" cm="1">
        <f t="array" ref="M86">_xlfn.IFS(
   OR($F86="Pagar", $F86="Pintu Gerbang", $F86="Pintu Handerson", $F86="Kanopi"), "PER-M2",
   $F86="Teralis", "PER-LUBANG",
   OR($F86="Railing", $F86="Railing/Balkon"), "PER-M",
   TRUE, ""
)</f>
        <v>PER-M2</v>
      </c>
      <c r="N86" cm="1">
        <f t="array" ref="N86">IF($M86="PER-M2",
  IFERROR(
     _xlfn.IFS(
        $G86="Hollow",
            INDEX('Referensi Harga'!$C:$C,
                  MATCH($F86&amp;$C86,'Referensi Harga'!$A:$A&amp;'Referensi Harga'!$B:$B,0)),
        $G86="Hollow Stainless",
            INDEX('Referensi Harga'!$D:$D,
                  MATCH($F86&amp;$C86,'Referensi Harga'!$A:$A&amp;'Referensi Harga'!$B:$B,0)),
        $G86="Pipa Stainless",
            INDEX('Referensi Harga'!$E:$E,
                  MATCH($F86&amp;$C86,'Referensi Harga'!$A:$A&amp;'Referensi Harga'!$B:$B,0))
     ),0)
  + IFERROR(VLOOKUP($H86,'Profile Size'!$A:$B,2,FALSE),0)
  + IFERROR(VLOOKUP($I86,'Ketebalan Material'!$A:$B,2,FALSE),0),
0)</f>
        <v>800000</v>
      </c>
      <c r="O86">
        <f>IF($M86="PER-M",
  IFERROR(
    IF($G86="Hollow",
       INDEX('Referensi Harga'!$C:$C, MATCH($F86 &amp; "|" &amp; $C86, 'Referensi Harga'!$F:$F, 0)),
    IF($G86="Hollow Stainless",
       INDEX('Referensi Harga'!$D:$D, MATCH($F86 &amp; "|" &amp; $C86, 'Referensi Harga'!$F:$F, 0)),
       INDEX('Referensi Harga'!$E:$E, MATCH($F86 &amp; "|" &amp; $C86, 'Referensi Harga'!$F:$F, 0))
    ))
    + IFERROR(VLOOKUP($H86, 'Profile Size'!$A:$B, 2, FALSE), 0)
    + IFERROR(VLOOKUP($I86, 'Ketebalan Material'!$A:$B, 2, FALSE), 0), 0),
0)</f>
        <v>0</v>
      </c>
      <c r="P86" cm="1">
        <f t="array" ref="P86">IF($M86="PER-LUBANG",
  IFERROR(
     _xlfn.IFS(
        $G86="Hollow",
            INDEX('Referensi Harga'!$C:$C,
                  MATCH($F86&amp;$C86,'Referensi Harga'!$A:$A&amp;'Referensi Harga'!$B:$B,0)),
        $G86="Hollow Stainless",
            INDEX('Referensi Harga'!$D:$D,
                  MATCH($F86&amp;$C86,'Referensi Harga'!$A:$A&amp;'Referensi Harga'!$B:$B,0)),
        $G86="Pipa Stainless",
            INDEX('Referensi Harga'!$E:$E,
                  MATCH($F86&amp;$C86,'Referensi Harga'!$A:$A&amp;'Referensi Harga'!$B:$B,0))
     ),0)
  + IFERROR(VLOOKUP($H86,'Profile Size'!$A:$B,2,FALSE),0)
  + IFERROR(VLOOKUP($I86,'Ketebalan Material'!$A:$B,2,FALSE),0),
0)</f>
        <v>0</v>
      </c>
      <c r="Q86">
        <f>IF($M86="PER-M2",
    IFERROR(
        SUMIFS('Upah Tenaga Ahli'!$C:$C,
               'Upah Tenaga Ahli'!$A:$A,"PER-M2",
               'Upah Tenaga Ahli'!$B:$B,$G86
        ) * $J86 * $K86,
    0),
IF($M86="PER-LUBANG",
    IFERROR(
        SUMIFS('Upah Tenaga Ahli'!$D:$D,
               'Upah Tenaga Ahli'!$A:$A,"PER-LUBANG",
               'Upah Tenaga Ahli'!$B:$B,$G86
        ) * $L86 * $K86,
    0),
IF($M86="PER-M",
    IFERROR(
        SUMIFS('Upah Tenaga Ahli'!$E:$E,
               'Upah Tenaga Ahli'!$A:$A,"PER-M",
               'Upah Tenaga Ahli'!$B:$B,$G86
        ) * $J86 * $K86,
    0),
0)))</f>
        <v>4476000</v>
      </c>
      <c r="R86" t="s">
        <v>617</v>
      </c>
      <c r="S86" t="s">
        <v>25</v>
      </c>
      <c r="T86">
        <f>IF($M86="PER-M2",
   ($N86 * $J86 * $K86)
   + IFERROR(VLOOKUP($R86,Finishing!A:B,2,FALSE),0)
   + IFERROR(VLOOKUP($S86,Kerumitan!A:B,2,FALSE),0),
IF($M86="PER-LUBANG",
   ($P86 * $L86 * $K86)
   + IFERROR(VLOOKUP($R86,Finishing!A:B,2,FALSE),0)
   + IFERROR(VLOOKUP($S86,Kerumitan!A:B,2,FALSE),0),
IF($M86="PER-M",
   ($O86 * $J86 * $K86)
   + IFERROR(VLOOKUP($R86,Finishing!A:B,2,FALSE),0)
   + IFERROR(VLOOKUP($S86,Kerumitan!A:B,2,FALSE),0),
0)))</f>
        <v>24022000</v>
      </c>
    </row>
    <row r="87" spans="1:20" x14ac:dyDescent="0.45">
      <c r="A87" t="s">
        <v>168</v>
      </c>
      <c r="B87" s="5">
        <v>45038</v>
      </c>
      <c r="C87">
        <f t="shared" si="1"/>
        <v>2023</v>
      </c>
      <c r="D87" t="s">
        <v>169</v>
      </c>
      <c r="E87" t="s">
        <v>87</v>
      </c>
      <c r="F87" t="s">
        <v>10</v>
      </c>
      <c r="G87" t="s">
        <v>15</v>
      </c>
      <c r="H87" t="s">
        <v>33</v>
      </c>
      <c r="I87">
        <v>1.2</v>
      </c>
      <c r="J87">
        <v>4.49</v>
      </c>
      <c r="K87">
        <v>1</v>
      </c>
      <c r="L87">
        <v>0</v>
      </c>
      <c r="M87" t="str" cm="1">
        <f t="array" ref="M87">_xlfn.IFS(
   OR($F87="Pagar", $F87="Pintu Gerbang", $F87="Pintu Handerson", $F87="Kanopi"), "PER-M2",
   $F87="Teralis", "PER-LUBANG",
   OR($F87="Railing", $F87="Railing/Balkon"), "PER-M",
   TRUE, ""
)</f>
        <v>PER-M2</v>
      </c>
      <c r="N87" cm="1">
        <f t="array" ref="N87">IF($M87="PER-M2",
  IFERROR(
     _xlfn.IFS(
        $G87="Hollow",
            INDEX('Referensi Harga'!$C:$C,
                  MATCH($F87&amp;$C87,'Referensi Harga'!$A:$A&amp;'Referensi Harga'!$B:$B,0)),
        $G87="Hollow Stainless",
            INDEX('Referensi Harga'!$D:$D,
                  MATCH($F87&amp;$C87,'Referensi Harga'!$A:$A&amp;'Referensi Harga'!$B:$B,0)),
        $G87="Pipa Stainless",
            INDEX('Referensi Harga'!$E:$E,
                  MATCH($F87&amp;$C87,'Referensi Harga'!$A:$A&amp;'Referensi Harga'!$B:$B,0))
     ),0)
  + IFERROR(VLOOKUP($H87,'Profile Size'!$A:$B,2,FALSE),0)
  + IFERROR(VLOOKUP($I87,'Ketebalan Material'!$A:$B,2,FALSE),0),
0)</f>
        <v>1600000</v>
      </c>
      <c r="O87">
        <f>IF($M87="PER-M",
  IFERROR(
    IF($G87="Hollow",
       INDEX('Referensi Harga'!$C:$C, MATCH($F87 &amp; "|" &amp; $C87, 'Referensi Harga'!$F:$F, 0)),
    IF($G87="Hollow Stainless",
       INDEX('Referensi Harga'!$D:$D, MATCH($F87 &amp; "|" &amp; $C87, 'Referensi Harga'!$F:$F, 0)),
       INDEX('Referensi Harga'!$E:$E, MATCH($F87 &amp; "|" &amp; $C87, 'Referensi Harga'!$F:$F, 0))
    ))
    + IFERROR(VLOOKUP($H87, 'Profile Size'!$A:$B, 2, FALSE), 0)
    + IFERROR(VLOOKUP($I87, 'Ketebalan Material'!$A:$B, 2, FALSE), 0), 0),
0)</f>
        <v>0</v>
      </c>
      <c r="P87" cm="1">
        <f t="array" ref="P87">IF($M87="PER-LUBANG",
  IFERROR(
     _xlfn.IFS(
        $G87="Hollow",
            INDEX('Referensi Harga'!$C:$C,
                  MATCH($F87&amp;$C87,'Referensi Harga'!$A:$A&amp;'Referensi Harga'!$B:$B,0)),
        $G87="Hollow Stainless",
            INDEX('Referensi Harga'!$D:$D,
                  MATCH($F87&amp;$C87,'Referensi Harga'!$A:$A&amp;'Referensi Harga'!$B:$B,0)),
        $G87="Pipa Stainless",
            INDEX('Referensi Harga'!$E:$E,
                  MATCH($F87&amp;$C87,'Referensi Harga'!$A:$A&amp;'Referensi Harga'!$B:$B,0))
     ),0)
  + IFERROR(VLOOKUP($H87,'Profile Size'!$A:$B,2,FALSE),0)
  + IFERROR(VLOOKUP($I87,'Ketebalan Material'!$A:$B,2,FALSE),0),
0)</f>
        <v>0</v>
      </c>
      <c r="Q87">
        <f>IF($M87="PER-M2",
    IFERROR(
        SUMIFS('Upah Tenaga Ahli'!$C:$C,
               'Upah Tenaga Ahli'!$A:$A,"PER-M2",
               'Upah Tenaga Ahli'!$B:$B,$G87
        ) * $J87 * $K87,
    0),
IF($M87="PER-LUBANG",
    IFERROR(
        SUMIFS('Upah Tenaga Ahli'!$D:$D,
               'Upah Tenaga Ahli'!$A:$A,"PER-LUBANG",
               'Upah Tenaga Ahli'!$B:$B,$G87
        ) * $L87 * $K87,
    0),
IF($M87="PER-M",
    IFERROR(
        SUMIFS('Upah Tenaga Ahli'!$E:$E,
               'Upah Tenaga Ahli'!$A:$A,"PER-M",
               'Upah Tenaga Ahli'!$B:$B,$G87
        ) * $J87 * $K87,
    0),
0)))</f>
        <v>673500</v>
      </c>
      <c r="R87" t="s">
        <v>617</v>
      </c>
      <c r="S87" t="s">
        <v>23</v>
      </c>
      <c r="T87">
        <f>IF($M87="PER-M2",
   ($N87 * $J87 * $K87)
   + IFERROR(VLOOKUP($R87,Finishing!A:B,2,FALSE),0)
   + IFERROR(VLOOKUP($S87,Kerumitan!A:B,2,FALSE),0),
IF($M87="PER-LUBANG",
   ($P87 * $L87 * $K87)
   + IFERROR(VLOOKUP($R87,Finishing!A:B,2,FALSE),0)
   + IFERROR(VLOOKUP($S87,Kerumitan!A:B,2,FALSE),0),
IF($M87="PER-M",
   ($O87 * $J87 * $K87)
   + IFERROR(VLOOKUP($R87,Finishing!A:B,2,FALSE),0)
   + IFERROR(VLOOKUP($S87,Kerumitan!A:B,2,FALSE),0),
0)))</f>
        <v>7184000</v>
      </c>
    </row>
    <row r="88" spans="1:20" x14ac:dyDescent="0.45">
      <c r="A88" t="s">
        <v>170</v>
      </c>
      <c r="B88" s="5">
        <v>43947</v>
      </c>
      <c r="C88">
        <f t="shared" si="1"/>
        <v>2020</v>
      </c>
      <c r="D88" t="s">
        <v>171</v>
      </c>
      <c r="E88" t="s">
        <v>87</v>
      </c>
      <c r="F88" t="s">
        <v>6</v>
      </c>
      <c r="G88" t="s">
        <v>13</v>
      </c>
      <c r="H88" t="s">
        <v>46</v>
      </c>
      <c r="I88">
        <v>1</v>
      </c>
      <c r="J88">
        <v>23.98</v>
      </c>
      <c r="K88">
        <v>2</v>
      </c>
      <c r="L88">
        <v>0</v>
      </c>
      <c r="M88" t="str" cm="1">
        <f t="array" ref="M88">_xlfn.IFS(
   OR($F88="Pagar", $F88="Pintu Gerbang", $F88="Pintu Handerson", $F88="Kanopi"), "PER-M2",
   $F88="Teralis", "PER-LUBANG",
   OR($F88="Railing", $F88="Railing/Balkon"), "PER-M",
   TRUE, ""
)</f>
        <v>PER-M2</v>
      </c>
      <c r="N88" cm="1">
        <f t="array" ref="N88">IF($M88="PER-M2",
  IFERROR(
     _xlfn.IFS(
        $G88="Hollow",
            INDEX('Referensi Harga'!$C:$C,
                  MATCH($F88&amp;$C88,'Referensi Harga'!$A:$A&amp;'Referensi Harga'!$B:$B,0)),
        $G88="Hollow Stainless",
            INDEX('Referensi Harga'!$D:$D,
                  MATCH($F88&amp;$C88,'Referensi Harga'!$A:$A&amp;'Referensi Harga'!$B:$B,0)),
        $G88="Pipa Stainless",
            INDEX('Referensi Harga'!$E:$E,
                  MATCH($F88&amp;$C88,'Referensi Harga'!$A:$A&amp;'Referensi Harga'!$B:$B,0))
     ),0)
  + IFERROR(VLOOKUP($H88,'Profile Size'!$A:$B,2,FALSE),0)
  + IFERROR(VLOOKUP($I88,'Ketebalan Material'!$A:$B,2,FALSE),0),
0)</f>
        <v>450000</v>
      </c>
      <c r="O88">
        <f>IF($M88="PER-M",
  IFERROR(
    IF($G88="Hollow",
       INDEX('Referensi Harga'!$C:$C, MATCH($F88 &amp; "|" &amp; $C88, 'Referensi Harga'!$F:$F, 0)),
    IF($G88="Hollow Stainless",
       INDEX('Referensi Harga'!$D:$D, MATCH($F88 &amp; "|" &amp; $C88, 'Referensi Harga'!$F:$F, 0)),
       INDEX('Referensi Harga'!$E:$E, MATCH($F88 &amp; "|" &amp; $C88, 'Referensi Harga'!$F:$F, 0))
    ))
    + IFERROR(VLOOKUP($H88, 'Profile Size'!$A:$B, 2, FALSE), 0)
    + IFERROR(VLOOKUP($I88, 'Ketebalan Material'!$A:$B, 2, FALSE), 0), 0),
0)</f>
        <v>0</v>
      </c>
      <c r="P88" cm="1">
        <f t="array" ref="P88">IF($M88="PER-LUBANG",
  IFERROR(
     _xlfn.IFS(
        $G88="Hollow",
            INDEX('Referensi Harga'!$C:$C,
                  MATCH($F88&amp;$C88,'Referensi Harga'!$A:$A&amp;'Referensi Harga'!$B:$B,0)),
        $G88="Hollow Stainless",
            INDEX('Referensi Harga'!$D:$D,
                  MATCH($F88&amp;$C88,'Referensi Harga'!$A:$A&amp;'Referensi Harga'!$B:$B,0)),
        $G88="Pipa Stainless",
            INDEX('Referensi Harga'!$E:$E,
                  MATCH($F88&amp;$C88,'Referensi Harga'!$A:$A&amp;'Referensi Harga'!$B:$B,0))
     ),0)
  + IFERROR(VLOOKUP($H88,'Profile Size'!$A:$B,2,FALSE),0)
  + IFERROR(VLOOKUP($I88,'Ketebalan Material'!$A:$B,2,FALSE),0),
0)</f>
        <v>0</v>
      </c>
      <c r="Q88">
        <f>IF($M88="PER-M2",
    IFERROR(
        SUMIFS('Upah Tenaga Ahli'!$C:$C,
               'Upah Tenaga Ahli'!$A:$A,"PER-M2",
               'Upah Tenaga Ahli'!$B:$B,$G88
        ) * $J88 * $K88,
    0),
IF($M88="PER-LUBANG",
    IFERROR(
        SUMIFS('Upah Tenaga Ahli'!$D:$D,
               'Upah Tenaga Ahli'!$A:$A,"PER-LUBANG",
               'Upah Tenaga Ahli'!$B:$B,$G88
        ) * $L88 * $K88,
    0),
IF($M88="PER-M",
    IFERROR(
        SUMIFS('Upah Tenaga Ahli'!$E:$E,
               'Upah Tenaga Ahli'!$A:$A,"PER-M",
               'Upah Tenaga Ahli'!$B:$B,$G88
        ) * $J88 * $K88,
    0),
0)))</f>
        <v>4796000</v>
      </c>
      <c r="R88" t="s">
        <v>18</v>
      </c>
      <c r="S88" t="s">
        <v>24</v>
      </c>
      <c r="T88">
        <f>IF($M88="PER-M2",
   ($N88 * $J88 * $K88)
   + IFERROR(VLOOKUP($R88,Finishing!A:B,2,FALSE),0)
   + IFERROR(VLOOKUP($S88,Kerumitan!A:B,2,FALSE),0),
IF($M88="PER-LUBANG",
   ($P88 * $L88 * $K88)
   + IFERROR(VLOOKUP($R88,Finishing!A:B,2,FALSE),0)
   + IFERROR(VLOOKUP($S88,Kerumitan!A:B,2,FALSE),0),
IF($M88="PER-M",
   ($O88 * $J88 * $K88)
   + IFERROR(VLOOKUP($R88,Finishing!A:B,2,FALSE),0)
   + IFERROR(VLOOKUP($S88,Kerumitan!A:B,2,FALSE),0),
0)))</f>
        <v>21682000</v>
      </c>
    </row>
    <row r="89" spans="1:20" x14ac:dyDescent="0.45">
      <c r="A89" t="s">
        <v>172</v>
      </c>
      <c r="B89" s="5">
        <v>43866</v>
      </c>
      <c r="C89">
        <f t="shared" si="1"/>
        <v>2020</v>
      </c>
      <c r="D89" t="s">
        <v>53</v>
      </c>
      <c r="E89" t="s">
        <v>108</v>
      </c>
      <c r="F89" t="s">
        <v>625</v>
      </c>
      <c r="G89" t="s">
        <v>15</v>
      </c>
      <c r="H89" t="s">
        <v>33</v>
      </c>
      <c r="I89">
        <v>1.2</v>
      </c>
      <c r="J89">
        <v>7.66</v>
      </c>
      <c r="K89">
        <v>2</v>
      </c>
      <c r="L89">
        <v>0</v>
      </c>
      <c r="M89" t="str" cm="1">
        <f t="array" ref="M89">_xlfn.IFS(
   OR($F89="Pagar", $F89="Pintu Gerbang", $F89="Pintu Handerson", $F89="Kanopi"), "PER-M2",
   $F89="Teralis", "PER-LUBANG",
   OR($F89="Railing", $F89="Railing/Balkon"), "PER-M",
   TRUE, ""
)</f>
        <v>PER-M</v>
      </c>
      <c r="N89" cm="1">
        <f t="array" ref="N89">IF($M89="PER-M2",
  IFERROR(
     _xlfn.IFS(
        $G89="Hollow",
            INDEX('Referensi Harga'!$C:$C,
                  MATCH($F89&amp;$C89,'Referensi Harga'!$A:$A&amp;'Referensi Harga'!$B:$B,0)),
        $G89="Hollow Stainless",
            INDEX('Referensi Harga'!$D:$D,
                  MATCH($F89&amp;$C89,'Referensi Harga'!$A:$A&amp;'Referensi Harga'!$B:$B,0)),
        $G89="Pipa Stainless",
            INDEX('Referensi Harga'!$E:$E,
                  MATCH($F89&amp;$C89,'Referensi Harga'!$A:$A&amp;'Referensi Harga'!$B:$B,0))
     ),0)
  + IFERROR(VLOOKUP($H89,'Profile Size'!$A:$B,2,FALSE),0)
  + IFERROR(VLOOKUP($I89,'Ketebalan Material'!$A:$B,2,FALSE),0),
0)</f>
        <v>0</v>
      </c>
      <c r="O89">
        <f>IF($M89="PER-M",
  IFERROR(
    IF($G89="Hollow",
       INDEX('Referensi Harga'!$C:$C, MATCH($F89 &amp; "|" &amp; $C89, 'Referensi Harga'!$F:$F, 0)),
    IF($G89="Hollow Stainless",
       INDEX('Referensi Harga'!$D:$D, MATCH($F89 &amp; "|" &amp; $C89, 'Referensi Harga'!$F:$F, 0)),
       INDEX('Referensi Harga'!$E:$E, MATCH($F89 &amp; "|" &amp; $C89, 'Referensi Harga'!$F:$F, 0))
    ))
    + IFERROR(VLOOKUP($H89, 'Profile Size'!$A:$B, 2, FALSE), 0)
    + IFERROR(VLOOKUP($I89, 'Ketebalan Material'!$A:$B, 2, FALSE), 0), 0),
0)</f>
        <v>1150000</v>
      </c>
      <c r="P89" cm="1">
        <f t="array" ref="P89">IF($M89="PER-LUBANG",
  IFERROR(
     _xlfn.IFS(
        $G89="Hollow",
            INDEX('Referensi Harga'!$C:$C,
                  MATCH($F89&amp;$C89,'Referensi Harga'!$A:$A&amp;'Referensi Harga'!$B:$B,0)),
        $G89="Hollow Stainless",
            INDEX('Referensi Harga'!$D:$D,
                  MATCH($F89&amp;$C89,'Referensi Harga'!$A:$A&amp;'Referensi Harga'!$B:$B,0)),
        $G89="Pipa Stainless",
            INDEX('Referensi Harga'!$E:$E,
                  MATCH($F89&amp;$C89,'Referensi Harga'!$A:$A&amp;'Referensi Harga'!$B:$B,0))
     ),0)
  + IFERROR(VLOOKUP($H89,'Profile Size'!$A:$B,2,FALSE),0)
  + IFERROR(VLOOKUP($I89,'Ketebalan Material'!$A:$B,2,FALSE),0),
0)</f>
        <v>0</v>
      </c>
      <c r="Q89">
        <f>IF($M89="PER-M2",
    IFERROR(
        SUMIFS('Upah Tenaga Ahli'!$C:$C,
               'Upah Tenaga Ahli'!$A:$A,"PER-M2",
               'Upah Tenaga Ahli'!$B:$B,$G89
        ) * $J89 * $K89,
    0),
IF($M89="PER-LUBANG",
    IFERROR(
        SUMIFS('Upah Tenaga Ahli'!$D:$D,
               'Upah Tenaga Ahli'!$A:$A,"PER-LUBANG",
               'Upah Tenaga Ahli'!$B:$B,$G89
        ) * $L89 * $K89,
    0),
IF($M89="PER-M",
    IFERROR(
        SUMIFS('Upah Tenaga Ahli'!$E:$E,
               'Upah Tenaga Ahli'!$A:$A,"PER-M",
               'Upah Tenaga Ahli'!$B:$B,$G89
        ) * $J89 * $K89,
    0),
0)))</f>
        <v>2298000</v>
      </c>
      <c r="R89" t="s">
        <v>617</v>
      </c>
      <c r="S89" t="s">
        <v>23</v>
      </c>
      <c r="T89">
        <f>IF($M89="PER-M2",
   ($N89 * $J89 * $K89)
   + IFERROR(VLOOKUP($R89,Finishing!A:B,2,FALSE),0)
   + IFERROR(VLOOKUP($S89,Kerumitan!A:B,2,FALSE),0),
IF($M89="PER-LUBANG",
   ($P89 * $L89 * $K89)
   + IFERROR(VLOOKUP($R89,Finishing!A:B,2,FALSE),0)
   + IFERROR(VLOOKUP($S89,Kerumitan!A:B,2,FALSE),0),
IF($M89="PER-M",
   ($O89 * $J89 * $K89)
   + IFERROR(VLOOKUP($R89,Finishing!A:B,2,FALSE),0)
   + IFERROR(VLOOKUP($S89,Kerumitan!A:B,2,FALSE),0),
0)))</f>
        <v>17618000</v>
      </c>
    </row>
    <row r="90" spans="1:20" x14ac:dyDescent="0.45">
      <c r="A90" t="s">
        <v>173</v>
      </c>
      <c r="B90" s="5">
        <v>44838</v>
      </c>
      <c r="C90">
        <f t="shared" si="1"/>
        <v>2022</v>
      </c>
      <c r="D90" t="s">
        <v>139</v>
      </c>
      <c r="E90" t="s">
        <v>105</v>
      </c>
      <c r="F90" t="s">
        <v>6</v>
      </c>
      <c r="G90" t="s">
        <v>13</v>
      </c>
      <c r="H90" t="s">
        <v>46</v>
      </c>
      <c r="I90">
        <v>0.8</v>
      </c>
      <c r="J90">
        <v>15.23</v>
      </c>
      <c r="K90">
        <v>2</v>
      </c>
      <c r="L90">
        <v>0</v>
      </c>
      <c r="M90" t="str" cm="1">
        <f t="array" ref="M90">_xlfn.IFS(
   OR($F90="Pagar", $F90="Pintu Gerbang", $F90="Pintu Handerson", $F90="Kanopi"), "PER-M2",
   $F90="Teralis", "PER-LUBANG",
   OR($F90="Railing", $F90="Railing/Balkon"), "PER-M",
   TRUE, ""
)</f>
        <v>PER-M2</v>
      </c>
      <c r="N90" cm="1">
        <f t="array" ref="N90">IF($M90="PER-M2",
  IFERROR(
     _xlfn.IFS(
        $G90="Hollow",
            INDEX('Referensi Harga'!$C:$C,
                  MATCH($F90&amp;$C90,'Referensi Harga'!$A:$A&amp;'Referensi Harga'!$B:$B,0)),
        $G90="Hollow Stainless",
            INDEX('Referensi Harga'!$D:$D,
                  MATCH($F90&amp;$C90,'Referensi Harga'!$A:$A&amp;'Referensi Harga'!$B:$B,0)),
        $G90="Pipa Stainless",
            INDEX('Referensi Harga'!$E:$E,
                  MATCH($F90&amp;$C90,'Referensi Harga'!$A:$A&amp;'Referensi Harga'!$B:$B,0))
     ),0)
  + IFERROR(VLOOKUP($H90,'Profile Size'!$A:$B,2,FALSE),0)
  + IFERROR(VLOOKUP($I90,'Ketebalan Material'!$A:$B,2,FALSE),0),
0)</f>
        <v>400000</v>
      </c>
      <c r="O90">
        <f>IF($M90="PER-M",
  IFERROR(
    IF($G90="Hollow",
       INDEX('Referensi Harga'!$C:$C, MATCH($F90 &amp; "|" &amp; $C90, 'Referensi Harga'!$F:$F, 0)),
    IF($G90="Hollow Stainless",
       INDEX('Referensi Harga'!$D:$D, MATCH($F90 &amp; "|" &amp; $C90, 'Referensi Harga'!$F:$F, 0)),
       INDEX('Referensi Harga'!$E:$E, MATCH($F90 &amp; "|" &amp; $C90, 'Referensi Harga'!$F:$F, 0))
    ))
    + IFERROR(VLOOKUP($H90, 'Profile Size'!$A:$B, 2, FALSE), 0)
    + IFERROR(VLOOKUP($I90, 'Ketebalan Material'!$A:$B, 2, FALSE), 0), 0),
0)</f>
        <v>0</v>
      </c>
      <c r="P90" cm="1">
        <f t="array" ref="P90">IF($M90="PER-LUBANG",
  IFERROR(
     _xlfn.IFS(
        $G90="Hollow",
            INDEX('Referensi Harga'!$C:$C,
                  MATCH($F90&amp;$C90,'Referensi Harga'!$A:$A&amp;'Referensi Harga'!$B:$B,0)),
        $G90="Hollow Stainless",
            INDEX('Referensi Harga'!$D:$D,
                  MATCH($F90&amp;$C90,'Referensi Harga'!$A:$A&amp;'Referensi Harga'!$B:$B,0)),
        $G90="Pipa Stainless",
            INDEX('Referensi Harga'!$E:$E,
                  MATCH($F90&amp;$C90,'Referensi Harga'!$A:$A&amp;'Referensi Harga'!$B:$B,0))
     ),0)
  + IFERROR(VLOOKUP($H90,'Profile Size'!$A:$B,2,FALSE),0)
  + IFERROR(VLOOKUP($I90,'Ketebalan Material'!$A:$B,2,FALSE),0),
0)</f>
        <v>0</v>
      </c>
      <c r="Q90">
        <f>IF($M90="PER-M2",
    IFERROR(
        SUMIFS('Upah Tenaga Ahli'!$C:$C,
               'Upah Tenaga Ahli'!$A:$A,"PER-M2",
               'Upah Tenaga Ahli'!$B:$B,$G90
        ) * $J90 * $K90,
    0),
IF($M90="PER-LUBANG",
    IFERROR(
        SUMIFS('Upah Tenaga Ahli'!$D:$D,
               'Upah Tenaga Ahli'!$A:$A,"PER-LUBANG",
               'Upah Tenaga Ahli'!$B:$B,$G90
        ) * $L90 * $K90,
    0),
IF($M90="PER-M",
    IFERROR(
        SUMIFS('Upah Tenaga Ahli'!$E:$E,
               'Upah Tenaga Ahli'!$A:$A,"PER-M",
               'Upah Tenaga Ahli'!$B:$B,$G90
        ) * $J90 * $K90,
    0),
0)))</f>
        <v>3046000</v>
      </c>
      <c r="R90" t="s">
        <v>20</v>
      </c>
      <c r="S90" t="s">
        <v>24</v>
      </c>
      <c r="T90">
        <f>IF($M90="PER-M2",
   ($N90 * $J90 * $K90)
   + IFERROR(VLOOKUP($R90,Finishing!A:B,2,FALSE),0)
   + IFERROR(VLOOKUP($S90,Kerumitan!A:B,2,FALSE),0),
IF($M90="PER-LUBANG",
   ($P90 * $L90 * $K90)
   + IFERROR(VLOOKUP($R90,Finishing!A:B,2,FALSE),0)
   + IFERROR(VLOOKUP($S90,Kerumitan!A:B,2,FALSE),0),
IF($M90="PER-M",
   ($O90 * $J90 * $K90)
   + IFERROR(VLOOKUP($R90,Finishing!A:B,2,FALSE),0)
   + IFERROR(VLOOKUP($S90,Kerumitan!A:B,2,FALSE),0),
0)))</f>
        <v>12434000</v>
      </c>
    </row>
    <row r="91" spans="1:20" x14ac:dyDescent="0.45">
      <c r="A91" t="s">
        <v>174</v>
      </c>
      <c r="B91" s="5">
        <v>44809</v>
      </c>
      <c r="C91">
        <f t="shared" si="1"/>
        <v>2022</v>
      </c>
      <c r="D91" t="s">
        <v>49</v>
      </c>
      <c r="E91" t="s">
        <v>41</v>
      </c>
      <c r="F91" t="s">
        <v>625</v>
      </c>
      <c r="G91" t="s">
        <v>14</v>
      </c>
      <c r="H91" t="s">
        <v>615</v>
      </c>
      <c r="I91">
        <v>1</v>
      </c>
      <c r="J91">
        <v>8.75</v>
      </c>
      <c r="K91">
        <v>2</v>
      </c>
      <c r="L91">
        <v>0</v>
      </c>
      <c r="M91" t="str" cm="1">
        <f t="array" ref="M91">_xlfn.IFS(
   OR($F91="Pagar", $F91="Pintu Gerbang", $F91="Pintu Handerson", $F91="Kanopi"), "PER-M2",
   $F91="Teralis", "PER-LUBANG",
   OR($F91="Railing", $F91="Railing/Balkon"), "PER-M",
   TRUE, ""
)</f>
        <v>PER-M</v>
      </c>
      <c r="N91" cm="1">
        <f t="array" ref="N91">IF($M91="PER-M2",
  IFERROR(
     _xlfn.IFS(
        $G91="Hollow",
            INDEX('Referensi Harga'!$C:$C,
                  MATCH($F91&amp;$C91,'Referensi Harga'!$A:$A&amp;'Referensi Harga'!$B:$B,0)),
        $G91="Hollow Stainless",
            INDEX('Referensi Harga'!$D:$D,
                  MATCH($F91&amp;$C91,'Referensi Harga'!$A:$A&amp;'Referensi Harga'!$B:$B,0)),
        $G91="Pipa Stainless",
            INDEX('Referensi Harga'!$E:$E,
                  MATCH($F91&amp;$C91,'Referensi Harga'!$A:$A&amp;'Referensi Harga'!$B:$B,0))
     ),0)
  + IFERROR(VLOOKUP($H91,'Profile Size'!$A:$B,2,FALSE),0)
  + IFERROR(VLOOKUP($I91,'Ketebalan Material'!$A:$B,2,FALSE),0),
0)</f>
        <v>0</v>
      </c>
      <c r="O91">
        <f>IF($M91="PER-M",
  IFERROR(
    IF($G91="Hollow",
       INDEX('Referensi Harga'!$C:$C, MATCH($F91 &amp; "|" &amp; $C91, 'Referensi Harga'!$F:$F, 0)),
    IF($G91="Hollow Stainless",
       INDEX('Referensi Harga'!$D:$D, MATCH($F91 &amp; "|" &amp; $C91, 'Referensi Harga'!$F:$F, 0)),
       INDEX('Referensi Harga'!$E:$E, MATCH($F91 &amp; "|" &amp; $C91, 'Referensi Harga'!$F:$F, 0))
    ))
    + IFERROR(VLOOKUP($H91, 'Profile Size'!$A:$B, 2, FALSE), 0)
    + IFERROR(VLOOKUP($I91, 'Ketebalan Material'!$A:$B, 2, FALSE), 0), 0),
0)</f>
        <v>1070000</v>
      </c>
      <c r="P91" cm="1">
        <f t="array" ref="P91">IF($M91="PER-LUBANG",
  IFERROR(
     _xlfn.IFS(
        $G91="Hollow",
            INDEX('Referensi Harga'!$C:$C,
                  MATCH($F91&amp;$C91,'Referensi Harga'!$A:$A&amp;'Referensi Harga'!$B:$B,0)),
        $G91="Hollow Stainless",
            INDEX('Referensi Harga'!$D:$D,
                  MATCH($F91&amp;$C91,'Referensi Harga'!$A:$A&amp;'Referensi Harga'!$B:$B,0)),
        $G91="Pipa Stainless",
            INDEX('Referensi Harga'!$E:$E,
                  MATCH($F91&amp;$C91,'Referensi Harga'!$A:$A&amp;'Referensi Harga'!$B:$B,0))
     ),0)
  + IFERROR(VLOOKUP($H91,'Profile Size'!$A:$B,2,FALSE),0)
  + IFERROR(VLOOKUP($I91,'Ketebalan Material'!$A:$B,2,FALSE),0),
0)</f>
        <v>0</v>
      </c>
      <c r="Q91">
        <f>IF($M91="PER-M2",
    IFERROR(
        SUMIFS('Upah Tenaga Ahli'!$C:$C,
               'Upah Tenaga Ahli'!$A:$A,"PER-M2",
               'Upah Tenaga Ahli'!$B:$B,$G91
        ) * $J91 * $K91,
    0),
IF($M91="PER-LUBANG",
    IFERROR(
        SUMIFS('Upah Tenaga Ahli'!$D:$D,
               'Upah Tenaga Ahli'!$A:$A,"PER-LUBANG",
               'Upah Tenaga Ahli'!$B:$B,$G91
        ) * $L91 * $K91,
    0),
IF($M91="PER-M",
    IFERROR(
        SUMIFS('Upah Tenaga Ahli'!$E:$E,
               'Upah Tenaga Ahli'!$A:$A,"PER-M",
               'Upah Tenaga Ahli'!$B:$B,$G91
        ) * $J91 * $K91,
    0),
0)))</f>
        <v>3500000</v>
      </c>
      <c r="R91" t="s">
        <v>617</v>
      </c>
      <c r="S91" t="s">
        <v>23</v>
      </c>
      <c r="T91">
        <f>IF($M91="PER-M2",
   ($N91 * $J91 * $K91)
   + IFERROR(VLOOKUP($R91,Finishing!A:B,2,FALSE),0)
   + IFERROR(VLOOKUP($S91,Kerumitan!A:B,2,FALSE),0),
IF($M91="PER-LUBANG",
   ($P91 * $L91 * $K91)
   + IFERROR(VLOOKUP($R91,Finishing!A:B,2,FALSE),0)
   + IFERROR(VLOOKUP($S91,Kerumitan!A:B,2,FALSE),0),
IF($M91="PER-M",
   ($O91 * $J91 * $K91)
   + IFERROR(VLOOKUP($R91,Finishing!A:B,2,FALSE),0)
   + IFERROR(VLOOKUP($S91,Kerumitan!A:B,2,FALSE),0),
0)))</f>
        <v>18725000</v>
      </c>
    </row>
    <row r="92" spans="1:20" x14ac:dyDescent="0.45">
      <c r="A92" t="s">
        <v>175</v>
      </c>
      <c r="B92" s="5">
        <v>44343</v>
      </c>
      <c r="C92">
        <f t="shared" si="1"/>
        <v>2021</v>
      </c>
      <c r="D92" t="s">
        <v>129</v>
      </c>
      <c r="E92" t="s">
        <v>105</v>
      </c>
      <c r="F92" t="s">
        <v>10</v>
      </c>
      <c r="G92" t="s">
        <v>13</v>
      </c>
      <c r="H92" t="s">
        <v>35</v>
      </c>
      <c r="I92">
        <v>1</v>
      </c>
      <c r="J92">
        <v>3.63</v>
      </c>
      <c r="K92">
        <v>2</v>
      </c>
      <c r="L92">
        <v>0</v>
      </c>
      <c r="M92" t="str" cm="1">
        <f t="array" ref="M92">_xlfn.IFS(
   OR($F92="Pagar", $F92="Pintu Gerbang", $F92="Pintu Handerson", $F92="Kanopi"), "PER-M2",
   $F92="Teralis", "PER-LUBANG",
   OR($F92="Railing", $F92="Railing/Balkon"), "PER-M",
   TRUE, ""
)</f>
        <v>PER-M2</v>
      </c>
      <c r="N92" cm="1">
        <f t="array" ref="N92">IF($M92="PER-M2",
  IFERROR(
     _xlfn.IFS(
        $G92="Hollow",
            INDEX('Referensi Harga'!$C:$C,
                  MATCH($F92&amp;$C92,'Referensi Harga'!$A:$A&amp;'Referensi Harga'!$B:$B,0)),
        $G92="Hollow Stainless",
            INDEX('Referensi Harga'!$D:$D,
                  MATCH($F92&amp;$C92,'Referensi Harga'!$A:$A&amp;'Referensi Harga'!$B:$B,0)),
        $G92="Pipa Stainless",
            INDEX('Referensi Harga'!$E:$E,
                  MATCH($F92&amp;$C92,'Referensi Harga'!$A:$A&amp;'Referensi Harga'!$B:$B,0))
     ),0)
  + IFERROR(VLOOKUP($H92,'Profile Size'!$A:$B,2,FALSE),0)
  + IFERROR(VLOOKUP($I92,'Ketebalan Material'!$A:$B,2,FALSE),0),
0)</f>
        <v>950000</v>
      </c>
      <c r="O92">
        <f>IF($M92="PER-M",
  IFERROR(
    IF($G92="Hollow",
       INDEX('Referensi Harga'!$C:$C, MATCH($F92 &amp; "|" &amp; $C92, 'Referensi Harga'!$F:$F, 0)),
    IF($G92="Hollow Stainless",
       INDEX('Referensi Harga'!$D:$D, MATCH($F92 &amp; "|" &amp; $C92, 'Referensi Harga'!$F:$F, 0)),
       INDEX('Referensi Harga'!$E:$E, MATCH($F92 &amp; "|" &amp; $C92, 'Referensi Harga'!$F:$F, 0))
    ))
    + IFERROR(VLOOKUP($H92, 'Profile Size'!$A:$B, 2, FALSE), 0)
    + IFERROR(VLOOKUP($I92, 'Ketebalan Material'!$A:$B, 2, FALSE), 0), 0),
0)</f>
        <v>0</v>
      </c>
      <c r="P92" cm="1">
        <f t="array" ref="P92">IF($M92="PER-LUBANG",
  IFERROR(
     _xlfn.IFS(
        $G92="Hollow",
            INDEX('Referensi Harga'!$C:$C,
                  MATCH($F92&amp;$C92,'Referensi Harga'!$A:$A&amp;'Referensi Harga'!$B:$B,0)),
        $G92="Hollow Stainless",
            INDEX('Referensi Harga'!$D:$D,
                  MATCH($F92&amp;$C92,'Referensi Harga'!$A:$A&amp;'Referensi Harga'!$B:$B,0)),
        $G92="Pipa Stainless",
            INDEX('Referensi Harga'!$E:$E,
                  MATCH($F92&amp;$C92,'Referensi Harga'!$A:$A&amp;'Referensi Harga'!$B:$B,0))
     ),0)
  + IFERROR(VLOOKUP($H92,'Profile Size'!$A:$B,2,FALSE),0)
  + IFERROR(VLOOKUP($I92,'Ketebalan Material'!$A:$B,2,FALSE),0),
0)</f>
        <v>0</v>
      </c>
      <c r="Q92">
        <f>IF($M92="PER-M2",
    IFERROR(
        SUMIFS('Upah Tenaga Ahli'!$C:$C,
               'Upah Tenaga Ahli'!$A:$A,"PER-M2",
               'Upah Tenaga Ahli'!$B:$B,$G92
        ) * $J92 * $K92,
    0),
IF($M92="PER-LUBANG",
    IFERROR(
        SUMIFS('Upah Tenaga Ahli'!$D:$D,
               'Upah Tenaga Ahli'!$A:$A,"PER-LUBANG",
               'Upah Tenaga Ahli'!$B:$B,$G92
        ) * $L92 * $K92,
    0),
IF($M92="PER-M",
    IFERROR(
        SUMIFS('Upah Tenaga Ahli'!$E:$E,
               'Upah Tenaga Ahli'!$A:$A,"PER-M",
               'Upah Tenaga Ahli'!$B:$B,$G92
        ) * $J92 * $K92,
    0),
0)))</f>
        <v>726000</v>
      </c>
      <c r="R92" t="s">
        <v>19</v>
      </c>
      <c r="S92" t="s">
        <v>23</v>
      </c>
      <c r="T92">
        <f>IF($M92="PER-M2",
   ($N92 * $J92 * $K92)
   + IFERROR(VLOOKUP($R92,Finishing!A:B,2,FALSE),0)
   + IFERROR(VLOOKUP($S92,Kerumitan!A:B,2,FALSE),0),
IF($M92="PER-LUBANG",
   ($P92 * $L92 * $K92)
   + IFERROR(VLOOKUP($R92,Finishing!A:B,2,FALSE),0)
   + IFERROR(VLOOKUP($S92,Kerumitan!A:B,2,FALSE),0),
IF($M92="PER-M",
   ($O92 * $J92 * $K92)
   + IFERROR(VLOOKUP($R92,Finishing!A:B,2,FALSE),0)
   + IFERROR(VLOOKUP($S92,Kerumitan!A:B,2,FALSE),0),
0)))</f>
        <v>6947000</v>
      </c>
    </row>
    <row r="93" spans="1:20" x14ac:dyDescent="0.45">
      <c r="A93" t="s">
        <v>176</v>
      </c>
      <c r="B93" s="5">
        <v>44623</v>
      </c>
      <c r="C93">
        <f t="shared" si="1"/>
        <v>2022</v>
      </c>
      <c r="D93" t="s">
        <v>81</v>
      </c>
      <c r="E93" t="s">
        <v>61</v>
      </c>
      <c r="F93" t="s">
        <v>4</v>
      </c>
      <c r="G93" t="s">
        <v>14</v>
      </c>
      <c r="H93" t="s">
        <v>615</v>
      </c>
      <c r="I93">
        <v>1.2</v>
      </c>
      <c r="J93">
        <v>20.73</v>
      </c>
      <c r="K93">
        <v>1</v>
      </c>
      <c r="L93">
        <v>0</v>
      </c>
      <c r="M93" t="str" cm="1">
        <f t="array" ref="M93">_xlfn.IFS(
   OR($F93="Pagar", $F93="Pintu Gerbang", $F93="Pintu Handerson", $F93="Kanopi"), "PER-M2",
   $F93="Teralis", "PER-LUBANG",
   OR($F93="Railing", $F93="Railing/Balkon"), "PER-M",
   TRUE, ""
)</f>
        <v>PER-M2</v>
      </c>
      <c r="N93" cm="1">
        <f t="array" ref="N93">IF($M93="PER-M2",
  IFERROR(
     _xlfn.IFS(
        $G93="Hollow",
            INDEX('Referensi Harga'!$C:$C,
                  MATCH($F93&amp;$C93,'Referensi Harga'!$A:$A&amp;'Referensi Harga'!$B:$B,0)),
        $G93="Hollow Stainless",
            INDEX('Referensi Harga'!$D:$D,
                  MATCH($F93&amp;$C93,'Referensi Harga'!$A:$A&amp;'Referensi Harga'!$B:$B,0)),
        $G93="Pipa Stainless",
            INDEX('Referensi Harga'!$E:$E,
                  MATCH($F93&amp;$C93,'Referensi Harga'!$A:$A&amp;'Referensi Harga'!$B:$B,0))
     ),0)
  + IFERROR(VLOOKUP($H93,'Profile Size'!$A:$B,2,FALSE),0)
  + IFERROR(VLOOKUP($I93,'Ketebalan Material'!$A:$B,2,FALSE),0),
0)</f>
        <v>1120000</v>
      </c>
      <c r="O93">
        <f>IF($M93="PER-M",
  IFERROR(
    IF($G93="Hollow",
       INDEX('Referensi Harga'!$C:$C, MATCH($F93 &amp; "|" &amp; $C93, 'Referensi Harga'!$F:$F, 0)),
    IF($G93="Hollow Stainless",
       INDEX('Referensi Harga'!$D:$D, MATCH($F93 &amp; "|" &amp; $C93, 'Referensi Harga'!$F:$F, 0)),
       INDEX('Referensi Harga'!$E:$E, MATCH($F93 &amp; "|" &amp; $C93, 'Referensi Harga'!$F:$F, 0))
    ))
    + IFERROR(VLOOKUP($H93, 'Profile Size'!$A:$B, 2, FALSE), 0)
    + IFERROR(VLOOKUP($I93, 'Ketebalan Material'!$A:$B, 2, FALSE), 0), 0),
0)</f>
        <v>0</v>
      </c>
      <c r="P93" cm="1">
        <f t="array" ref="P93">IF($M93="PER-LUBANG",
  IFERROR(
     _xlfn.IFS(
        $G93="Hollow",
            INDEX('Referensi Harga'!$C:$C,
                  MATCH($F93&amp;$C93,'Referensi Harga'!$A:$A&amp;'Referensi Harga'!$B:$B,0)),
        $G93="Hollow Stainless",
            INDEX('Referensi Harga'!$D:$D,
                  MATCH($F93&amp;$C93,'Referensi Harga'!$A:$A&amp;'Referensi Harga'!$B:$B,0)),
        $G93="Pipa Stainless",
            INDEX('Referensi Harga'!$E:$E,
                  MATCH($F93&amp;$C93,'Referensi Harga'!$A:$A&amp;'Referensi Harga'!$B:$B,0))
     ),0)
  + IFERROR(VLOOKUP($H93,'Profile Size'!$A:$B,2,FALSE),0)
  + IFERROR(VLOOKUP($I93,'Ketebalan Material'!$A:$B,2,FALSE),0),
0)</f>
        <v>0</v>
      </c>
      <c r="Q93">
        <f>IF($M93="PER-M2",
    IFERROR(
        SUMIFS('Upah Tenaga Ahli'!$C:$C,
               'Upah Tenaga Ahli'!$A:$A,"PER-M2",
               'Upah Tenaga Ahli'!$B:$B,$G93
        ) * $J93 * $K93,
    0),
IF($M93="PER-LUBANG",
    IFERROR(
        SUMIFS('Upah Tenaga Ahli'!$D:$D,
               'Upah Tenaga Ahli'!$A:$A,"PER-LUBANG",
               'Upah Tenaga Ahli'!$B:$B,$G93
        ) * $L93 * $K93,
    0),
IF($M93="PER-M",
    IFERROR(
        SUMIFS('Upah Tenaga Ahli'!$E:$E,
               'Upah Tenaga Ahli'!$A:$A,"PER-M",
               'Upah Tenaga Ahli'!$B:$B,$G93
        ) * $J93 * $K93,
    0),
0)))</f>
        <v>4146000</v>
      </c>
      <c r="R93" t="s">
        <v>617</v>
      </c>
      <c r="S93" t="s">
        <v>23</v>
      </c>
      <c r="T93">
        <f>IF($M93="PER-M2",
   ($N93 * $J93 * $K93)
   + IFERROR(VLOOKUP($R93,Finishing!A:B,2,FALSE),0)
   + IFERROR(VLOOKUP($S93,Kerumitan!A:B,2,FALSE),0),
IF($M93="PER-LUBANG",
   ($P93 * $L93 * $K93)
   + IFERROR(VLOOKUP($R93,Finishing!A:B,2,FALSE),0)
   + IFERROR(VLOOKUP($S93,Kerumitan!A:B,2,FALSE),0),
IF($M93="PER-M",
   ($O93 * $J93 * $K93)
   + IFERROR(VLOOKUP($R93,Finishing!A:B,2,FALSE),0)
   + IFERROR(VLOOKUP($S93,Kerumitan!A:B,2,FALSE),0),
0)))</f>
        <v>23217600</v>
      </c>
    </row>
    <row r="94" spans="1:20" x14ac:dyDescent="0.45">
      <c r="A94" t="s">
        <v>177</v>
      </c>
      <c r="B94" s="5">
        <v>43585</v>
      </c>
      <c r="C94">
        <f t="shared" si="1"/>
        <v>2019</v>
      </c>
      <c r="D94" t="s">
        <v>27</v>
      </c>
      <c r="E94" t="s">
        <v>108</v>
      </c>
      <c r="F94" t="s">
        <v>10</v>
      </c>
      <c r="G94" t="s">
        <v>13</v>
      </c>
      <c r="H94" t="s">
        <v>35</v>
      </c>
      <c r="I94">
        <v>0.8</v>
      </c>
      <c r="J94">
        <v>2.2799999999999998</v>
      </c>
      <c r="K94">
        <v>1</v>
      </c>
      <c r="L94">
        <v>0</v>
      </c>
      <c r="M94" t="str" cm="1">
        <f t="array" ref="M94">_xlfn.IFS(
   OR($F94="Pagar", $F94="Pintu Gerbang", $F94="Pintu Handerson", $F94="Kanopi"), "PER-M2",
   $F94="Teralis", "PER-LUBANG",
   OR($F94="Railing", $F94="Railing/Balkon"), "PER-M",
   TRUE, ""
)</f>
        <v>PER-M2</v>
      </c>
      <c r="N94" cm="1">
        <f t="array" ref="N94">IF($M94="PER-M2",
  IFERROR(
     _xlfn.IFS(
        $G94="Hollow",
            INDEX('Referensi Harga'!$C:$C,
                  MATCH($F94&amp;$C94,'Referensi Harga'!$A:$A&amp;'Referensi Harga'!$B:$B,0)),
        $G94="Hollow Stainless",
            INDEX('Referensi Harga'!$D:$D,
                  MATCH($F94&amp;$C94,'Referensi Harga'!$A:$A&amp;'Referensi Harga'!$B:$B,0)),
        $G94="Pipa Stainless",
            INDEX('Referensi Harga'!$E:$E,
                  MATCH($F94&amp;$C94,'Referensi Harga'!$A:$A&amp;'Referensi Harga'!$B:$B,0))
     ),0)
  + IFERROR(VLOOKUP($H94,'Profile Size'!$A:$B,2,FALSE),0)
  + IFERROR(VLOOKUP($I94,'Ketebalan Material'!$A:$B,2,FALSE),0),
0)</f>
        <v>850000</v>
      </c>
      <c r="O94">
        <f>IF($M94="PER-M",
  IFERROR(
    IF($G94="Hollow",
       INDEX('Referensi Harga'!$C:$C, MATCH($F94 &amp; "|" &amp; $C94, 'Referensi Harga'!$F:$F, 0)),
    IF($G94="Hollow Stainless",
       INDEX('Referensi Harga'!$D:$D, MATCH($F94 &amp; "|" &amp; $C94, 'Referensi Harga'!$F:$F, 0)),
       INDEX('Referensi Harga'!$E:$E, MATCH($F94 &amp; "|" &amp; $C94, 'Referensi Harga'!$F:$F, 0))
    ))
    + IFERROR(VLOOKUP($H94, 'Profile Size'!$A:$B, 2, FALSE), 0)
    + IFERROR(VLOOKUP($I94, 'Ketebalan Material'!$A:$B, 2, FALSE), 0), 0),
0)</f>
        <v>0</v>
      </c>
      <c r="P94" cm="1">
        <f t="array" ref="P94">IF($M94="PER-LUBANG",
  IFERROR(
     _xlfn.IFS(
        $G94="Hollow",
            INDEX('Referensi Harga'!$C:$C,
                  MATCH($F94&amp;$C94,'Referensi Harga'!$A:$A&amp;'Referensi Harga'!$B:$B,0)),
        $G94="Hollow Stainless",
            INDEX('Referensi Harga'!$D:$D,
                  MATCH($F94&amp;$C94,'Referensi Harga'!$A:$A&amp;'Referensi Harga'!$B:$B,0)),
        $G94="Pipa Stainless",
            INDEX('Referensi Harga'!$E:$E,
                  MATCH($F94&amp;$C94,'Referensi Harga'!$A:$A&amp;'Referensi Harga'!$B:$B,0))
     ),0)
  + IFERROR(VLOOKUP($H94,'Profile Size'!$A:$B,2,FALSE),0)
  + IFERROR(VLOOKUP($I94,'Ketebalan Material'!$A:$B,2,FALSE),0),
0)</f>
        <v>0</v>
      </c>
      <c r="Q94">
        <f>IF($M94="PER-M2",
    IFERROR(
        SUMIFS('Upah Tenaga Ahli'!$C:$C,
               'Upah Tenaga Ahli'!$A:$A,"PER-M2",
               'Upah Tenaga Ahli'!$B:$B,$G94
        ) * $J94 * $K94,
    0),
IF($M94="PER-LUBANG",
    IFERROR(
        SUMIFS('Upah Tenaga Ahli'!$D:$D,
               'Upah Tenaga Ahli'!$A:$A,"PER-LUBANG",
               'Upah Tenaga Ahli'!$B:$B,$G94
        ) * $L94 * $K94,
    0),
IF($M94="PER-M",
    IFERROR(
        SUMIFS('Upah Tenaga Ahli'!$E:$E,
               'Upah Tenaga Ahli'!$A:$A,"PER-M",
               'Upah Tenaga Ahli'!$B:$B,$G94
        ) * $J94 * $K94,
    0),
0)))</f>
        <v>227999.99999999997</v>
      </c>
      <c r="R94" t="s">
        <v>19</v>
      </c>
      <c r="S94" t="s">
        <v>23</v>
      </c>
      <c r="T94">
        <f>IF($M94="PER-M2",
   ($N94 * $J94 * $K94)
   + IFERROR(VLOOKUP($R94,Finishing!A:B,2,FALSE),0)
   + IFERROR(VLOOKUP($S94,Kerumitan!A:B,2,FALSE),0),
IF($M94="PER-LUBANG",
   ($P94 * $L94 * $K94)
   + IFERROR(VLOOKUP($R94,Finishing!A:B,2,FALSE),0)
   + IFERROR(VLOOKUP($S94,Kerumitan!A:B,2,FALSE),0),
IF($M94="PER-M",
   ($O94 * $J94 * $K94)
   + IFERROR(VLOOKUP($R94,Finishing!A:B,2,FALSE),0)
   + IFERROR(VLOOKUP($S94,Kerumitan!A:B,2,FALSE),0),
0)))</f>
        <v>1987999.9999999998</v>
      </c>
    </row>
    <row r="95" spans="1:20" x14ac:dyDescent="0.45">
      <c r="A95" t="s">
        <v>178</v>
      </c>
      <c r="B95" s="5">
        <v>44159</v>
      </c>
      <c r="C95">
        <f t="shared" si="1"/>
        <v>2020</v>
      </c>
      <c r="D95" t="s">
        <v>179</v>
      </c>
      <c r="E95" t="s">
        <v>44</v>
      </c>
      <c r="F95" t="s">
        <v>4</v>
      </c>
      <c r="G95" t="s">
        <v>13</v>
      </c>
      <c r="H95" t="s">
        <v>46</v>
      </c>
      <c r="I95">
        <v>0.8</v>
      </c>
      <c r="J95">
        <v>18.739999999999998</v>
      </c>
      <c r="K95">
        <v>1</v>
      </c>
      <c r="L95">
        <v>0</v>
      </c>
      <c r="M95" t="str" cm="1">
        <f t="array" ref="M95">_xlfn.IFS(
   OR($F95="Pagar", $F95="Pintu Gerbang", $F95="Pintu Handerson", $F95="Kanopi"), "PER-M2",
   $F95="Teralis", "PER-LUBANG",
   OR($F95="Railing", $F95="Railing/Balkon"), "PER-M",
   TRUE, ""
)</f>
        <v>PER-M2</v>
      </c>
      <c r="N95" cm="1">
        <f t="array" ref="N95">IF($M95="PER-M2",
  IFERROR(
     _xlfn.IFS(
        $G95="Hollow",
            INDEX('Referensi Harga'!$C:$C,
                  MATCH($F95&amp;$C95,'Referensi Harga'!$A:$A&amp;'Referensi Harga'!$B:$B,0)),
        $G95="Hollow Stainless",
            INDEX('Referensi Harga'!$D:$D,
                  MATCH($F95&amp;$C95,'Referensi Harga'!$A:$A&amp;'Referensi Harga'!$B:$B,0)),
        $G95="Pipa Stainless",
            INDEX('Referensi Harga'!$E:$E,
                  MATCH($F95&amp;$C95,'Referensi Harga'!$A:$A&amp;'Referensi Harga'!$B:$B,0))
     ),0)
  + IFERROR(VLOOKUP($H95,'Profile Size'!$A:$B,2,FALSE),0)
  + IFERROR(VLOOKUP($I95,'Ketebalan Material'!$A:$B,2,FALSE),0),
0)</f>
        <v>550000</v>
      </c>
      <c r="O95">
        <f>IF($M95="PER-M",
  IFERROR(
    IF($G95="Hollow",
       INDEX('Referensi Harga'!$C:$C, MATCH($F95 &amp; "|" &amp; $C95, 'Referensi Harga'!$F:$F, 0)),
    IF($G95="Hollow Stainless",
       INDEX('Referensi Harga'!$D:$D, MATCH($F95 &amp; "|" &amp; $C95, 'Referensi Harga'!$F:$F, 0)),
       INDEX('Referensi Harga'!$E:$E, MATCH($F95 &amp; "|" &amp; $C95, 'Referensi Harga'!$F:$F, 0))
    ))
    + IFERROR(VLOOKUP($H95, 'Profile Size'!$A:$B, 2, FALSE), 0)
    + IFERROR(VLOOKUP($I95, 'Ketebalan Material'!$A:$B, 2, FALSE), 0), 0),
0)</f>
        <v>0</v>
      </c>
      <c r="P95" cm="1">
        <f t="array" ref="P95">IF($M95="PER-LUBANG",
  IFERROR(
     _xlfn.IFS(
        $G95="Hollow",
            INDEX('Referensi Harga'!$C:$C,
                  MATCH($F95&amp;$C95,'Referensi Harga'!$A:$A&amp;'Referensi Harga'!$B:$B,0)),
        $G95="Hollow Stainless",
            INDEX('Referensi Harga'!$D:$D,
                  MATCH($F95&amp;$C95,'Referensi Harga'!$A:$A&amp;'Referensi Harga'!$B:$B,0)),
        $G95="Pipa Stainless",
            INDEX('Referensi Harga'!$E:$E,
                  MATCH($F95&amp;$C95,'Referensi Harga'!$A:$A&amp;'Referensi Harga'!$B:$B,0))
     ),0)
  + IFERROR(VLOOKUP($H95,'Profile Size'!$A:$B,2,FALSE),0)
  + IFERROR(VLOOKUP($I95,'Ketebalan Material'!$A:$B,2,FALSE),0),
0)</f>
        <v>0</v>
      </c>
      <c r="Q95">
        <f>IF($M95="PER-M2",
    IFERROR(
        SUMIFS('Upah Tenaga Ahli'!$C:$C,
               'Upah Tenaga Ahli'!$A:$A,"PER-M2",
               'Upah Tenaga Ahli'!$B:$B,$G95
        ) * $J95 * $K95,
    0),
IF($M95="PER-LUBANG",
    IFERROR(
        SUMIFS('Upah Tenaga Ahli'!$D:$D,
               'Upah Tenaga Ahli'!$A:$A,"PER-LUBANG",
               'Upah Tenaga Ahli'!$B:$B,$G95
        ) * $L95 * $K95,
    0),
IF($M95="PER-M",
    IFERROR(
        SUMIFS('Upah Tenaga Ahli'!$E:$E,
               'Upah Tenaga Ahli'!$A:$A,"PER-M",
               'Upah Tenaga Ahli'!$B:$B,$G95
        ) * $J95 * $K95,
    0),
0)))</f>
        <v>1873999.9999999998</v>
      </c>
      <c r="R95" t="s">
        <v>18</v>
      </c>
      <c r="S95" t="s">
        <v>24</v>
      </c>
      <c r="T95">
        <f>IF($M95="PER-M2",
   ($N95 * $J95 * $K95)
   + IFERROR(VLOOKUP($R95,Finishing!A:B,2,FALSE),0)
   + IFERROR(VLOOKUP($S95,Kerumitan!A:B,2,FALSE),0),
IF($M95="PER-LUBANG",
   ($P95 * $L95 * $K95)
   + IFERROR(VLOOKUP($R95,Finishing!A:B,2,FALSE),0)
   + IFERROR(VLOOKUP($S95,Kerumitan!A:B,2,FALSE),0),
IF($M95="PER-M",
   ($O95 * $J95 * $K95)
   + IFERROR(VLOOKUP($R95,Finishing!A:B,2,FALSE),0)
   + IFERROR(VLOOKUP($S95,Kerumitan!A:B,2,FALSE),0),
0)))</f>
        <v>10407000</v>
      </c>
    </row>
    <row r="96" spans="1:20" x14ac:dyDescent="0.45">
      <c r="A96" t="s">
        <v>180</v>
      </c>
      <c r="B96" s="5">
        <v>43570</v>
      </c>
      <c r="C96">
        <f t="shared" si="1"/>
        <v>2019</v>
      </c>
      <c r="D96" t="s">
        <v>93</v>
      </c>
      <c r="E96" t="s">
        <v>61</v>
      </c>
      <c r="F96" t="s">
        <v>8</v>
      </c>
      <c r="G96" t="s">
        <v>15</v>
      </c>
      <c r="H96" t="s">
        <v>612</v>
      </c>
      <c r="I96">
        <v>1.2</v>
      </c>
      <c r="J96">
        <v>0</v>
      </c>
      <c r="K96">
        <v>1</v>
      </c>
      <c r="L96">
        <v>20</v>
      </c>
      <c r="M96" t="str" cm="1">
        <f t="array" ref="M96">_xlfn.IFS(
   OR($F96="Pagar", $F96="Pintu Gerbang", $F96="Pintu Handerson", $F96="Kanopi"), "PER-M2",
   $F96="Teralis", "PER-LUBANG",
   OR($F96="Railing", $F96="Railing/Balkon"), "PER-M",
   TRUE, ""
)</f>
        <v>PER-LUBANG</v>
      </c>
      <c r="N96" cm="1">
        <f t="array" ref="N96">IF($M96="PER-M2",
  IFERROR(
     _xlfn.IFS(
        $G96="Hollow",
            INDEX('Referensi Harga'!$C:$C,
                  MATCH($F96&amp;$C96,'Referensi Harga'!$A:$A&amp;'Referensi Harga'!$B:$B,0)),
        $G96="Hollow Stainless",
            INDEX('Referensi Harga'!$D:$D,
                  MATCH($F96&amp;$C96,'Referensi Harga'!$A:$A&amp;'Referensi Harga'!$B:$B,0)),
        $G96="Pipa Stainless",
            INDEX('Referensi Harga'!$E:$E,
                  MATCH($F96&amp;$C96,'Referensi Harga'!$A:$A&amp;'Referensi Harga'!$B:$B,0))
     ),0)
  + IFERROR(VLOOKUP($H96,'Profile Size'!$A:$B,2,FALSE),0)
  + IFERROR(VLOOKUP($I96,'Ketebalan Material'!$A:$B,2,FALSE),0),
0)</f>
        <v>0</v>
      </c>
      <c r="O96">
        <f>IF($M96="PER-M",
  IFERROR(
    IF($G96="Hollow",
       INDEX('Referensi Harga'!$C:$C, MATCH($F96 &amp; "|" &amp; $C96, 'Referensi Harga'!$F:$F, 0)),
    IF($G96="Hollow Stainless",
       INDEX('Referensi Harga'!$D:$D, MATCH($F96 &amp; "|" &amp; $C96, 'Referensi Harga'!$F:$F, 0)),
       INDEX('Referensi Harga'!$E:$E, MATCH($F96 &amp; "|" &amp; $C96, 'Referensi Harga'!$F:$F, 0))
    ))
    + IFERROR(VLOOKUP($H96, 'Profile Size'!$A:$B, 2, FALSE), 0)
    + IFERROR(VLOOKUP($I96, 'Ketebalan Material'!$A:$B, 2, FALSE), 0), 0),
0)</f>
        <v>0</v>
      </c>
      <c r="P96" cm="1">
        <f t="array" ref="P96">IF($M96="PER-LUBANG",
  IFERROR(
     _xlfn.IFS(
        $G96="Hollow",
            INDEX('Referensi Harga'!$C:$C,
                  MATCH($F96&amp;$C96,'Referensi Harga'!$A:$A&amp;'Referensi Harga'!$B:$B,0)),
        $G96="Hollow Stainless",
            INDEX('Referensi Harga'!$D:$D,
                  MATCH($F96&amp;$C96,'Referensi Harga'!$A:$A&amp;'Referensi Harga'!$B:$B,0)),
        $G96="Pipa Stainless",
            INDEX('Referensi Harga'!$E:$E,
                  MATCH($F96&amp;$C96,'Referensi Harga'!$A:$A&amp;'Referensi Harga'!$B:$B,0))
     ),0)
  + IFERROR(VLOOKUP($H96,'Profile Size'!$A:$B,2,FALSE),0)
  + IFERROR(VLOOKUP($I96,'Ketebalan Material'!$A:$B,2,FALSE),0),
0)</f>
        <v>750000</v>
      </c>
      <c r="Q96">
        <f>IF($M96="PER-M2",
    IFERROR(
        SUMIFS('Upah Tenaga Ahli'!$C:$C,
               'Upah Tenaga Ahli'!$A:$A,"PER-M2",
               'Upah Tenaga Ahli'!$B:$B,$G96
        ) * $J96 * $K96,
    0),
IF($M96="PER-LUBANG",
    IFERROR(
        SUMIFS('Upah Tenaga Ahli'!$D:$D,
               'Upah Tenaga Ahli'!$A:$A,"PER-LUBANG",
               'Upah Tenaga Ahli'!$B:$B,$G96
        ) * $L96 * $K96,
    0),
IF($M96="PER-M",
    IFERROR(
        SUMIFS('Upah Tenaga Ahli'!$E:$E,
               'Upah Tenaga Ahli'!$A:$A,"PER-M",
               'Upah Tenaga Ahli'!$B:$B,$G96
        ) * $J96 * $K96,
    0),
0)))</f>
        <v>3000000</v>
      </c>
      <c r="R96" t="s">
        <v>617</v>
      </c>
      <c r="S96" t="s">
        <v>25</v>
      </c>
      <c r="T96">
        <f>IF($M96="PER-M2",
   ($N96 * $J96 * $K96)
   + IFERROR(VLOOKUP($R96,Finishing!A:B,2,FALSE),0)
   + IFERROR(VLOOKUP($S96,Kerumitan!A:B,2,FALSE),0),
IF($M96="PER-LUBANG",
   ($P96 * $L96 * $K96)
   + IFERROR(VLOOKUP($R96,Finishing!A:B,2,FALSE),0)
   + IFERROR(VLOOKUP($S96,Kerumitan!A:B,2,FALSE),0),
IF($M96="PER-M",
   ($O96 * $J96 * $K96)
   + IFERROR(VLOOKUP($R96,Finishing!A:B,2,FALSE),0)
   + IFERROR(VLOOKUP($S96,Kerumitan!A:B,2,FALSE),0),
0)))</f>
        <v>15150000</v>
      </c>
    </row>
    <row r="97" spans="1:20" x14ac:dyDescent="0.45">
      <c r="A97" t="s">
        <v>181</v>
      </c>
      <c r="B97" s="5">
        <v>43729</v>
      </c>
      <c r="C97">
        <f t="shared" si="1"/>
        <v>2019</v>
      </c>
      <c r="D97" t="s">
        <v>110</v>
      </c>
      <c r="E97" t="s">
        <v>121</v>
      </c>
      <c r="F97" t="s">
        <v>8</v>
      </c>
      <c r="G97" t="s">
        <v>15</v>
      </c>
      <c r="H97" t="s">
        <v>612</v>
      </c>
      <c r="I97">
        <v>1.2</v>
      </c>
      <c r="J97">
        <v>0</v>
      </c>
      <c r="K97">
        <v>1</v>
      </c>
      <c r="L97">
        <v>15</v>
      </c>
      <c r="M97" t="str" cm="1">
        <f t="array" ref="M97">_xlfn.IFS(
   OR($F97="Pagar", $F97="Pintu Gerbang", $F97="Pintu Handerson", $F97="Kanopi"), "PER-M2",
   $F97="Teralis", "PER-LUBANG",
   OR($F97="Railing", $F97="Railing/Balkon"), "PER-M",
   TRUE, ""
)</f>
        <v>PER-LUBANG</v>
      </c>
      <c r="N97" cm="1">
        <f t="array" ref="N97">IF($M97="PER-M2",
  IFERROR(
     _xlfn.IFS(
        $G97="Hollow",
            INDEX('Referensi Harga'!$C:$C,
                  MATCH($F97&amp;$C97,'Referensi Harga'!$A:$A&amp;'Referensi Harga'!$B:$B,0)),
        $G97="Hollow Stainless",
            INDEX('Referensi Harga'!$D:$D,
                  MATCH($F97&amp;$C97,'Referensi Harga'!$A:$A&amp;'Referensi Harga'!$B:$B,0)),
        $G97="Pipa Stainless",
            INDEX('Referensi Harga'!$E:$E,
                  MATCH($F97&amp;$C97,'Referensi Harga'!$A:$A&amp;'Referensi Harga'!$B:$B,0))
     ),0)
  + IFERROR(VLOOKUP($H97,'Profile Size'!$A:$B,2,FALSE),0)
  + IFERROR(VLOOKUP($I97,'Ketebalan Material'!$A:$B,2,FALSE),0),
0)</f>
        <v>0</v>
      </c>
      <c r="O97">
        <f>IF($M97="PER-M",
  IFERROR(
    IF($G97="Hollow",
       INDEX('Referensi Harga'!$C:$C, MATCH($F97 &amp; "|" &amp; $C97, 'Referensi Harga'!$F:$F, 0)),
    IF($G97="Hollow Stainless",
       INDEX('Referensi Harga'!$D:$D, MATCH($F97 &amp; "|" &amp; $C97, 'Referensi Harga'!$F:$F, 0)),
       INDEX('Referensi Harga'!$E:$E, MATCH($F97 &amp; "|" &amp; $C97, 'Referensi Harga'!$F:$F, 0))
    ))
    + IFERROR(VLOOKUP($H97, 'Profile Size'!$A:$B, 2, FALSE), 0)
    + IFERROR(VLOOKUP($I97, 'Ketebalan Material'!$A:$B, 2, FALSE), 0), 0),
0)</f>
        <v>0</v>
      </c>
      <c r="P97" cm="1">
        <f t="array" ref="P97">IF($M97="PER-LUBANG",
  IFERROR(
     _xlfn.IFS(
        $G97="Hollow",
            INDEX('Referensi Harga'!$C:$C,
                  MATCH($F97&amp;$C97,'Referensi Harga'!$A:$A&amp;'Referensi Harga'!$B:$B,0)),
        $G97="Hollow Stainless",
            INDEX('Referensi Harga'!$D:$D,
                  MATCH($F97&amp;$C97,'Referensi Harga'!$A:$A&amp;'Referensi Harga'!$B:$B,0)),
        $G97="Pipa Stainless",
            INDEX('Referensi Harga'!$E:$E,
                  MATCH($F97&amp;$C97,'Referensi Harga'!$A:$A&amp;'Referensi Harga'!$B:$B,0))
     ),0)
  + IFERROR(VLOOKUP($H97,'Profile Size'!$A:$B,2,FALSE),0)
  + IFERROR(VLOOKUP($I97,'Ketebalan Material'!$A:$B,2,FALSE),0),
0)</f>
        <v>750000</v>
      </c>
      <c r="Q97">
        <f>IF($M97="PER-M2",
    IFERROR(
        SUMIFS('Upah Tenaga Ahli'!$C:$C,
               'Upah Tenaga Ahli'!$A:$A,"PER-M2",
               'Upah Tenaga Ahli'!$B:$B,$G97
        ) * $J97 * $K97,
    0),
IF($M97="PER-LUBANG",
    IFERROR(
        SUMIFS('Upah Tenaga Ahli'!$D:$D,
               'Upah Tenaga Ahli'!$A:$A,"PER-LUBANG",
               'Upah Tenaga Ahli'!$B:$B,$G97
        ) * $L97 * $K97,
    0),
IF($M97="PER-M",
    IFERROR(
        SUMIFS('Upah Tenaga Ahli'!$E:$E,
               'Upah Tenaga Ahli'!$A:$A,"PER-M",
               'Upah Tenaga Ahli'!$B:$B,$G97
        ) * $J97 * $K97,
    0),
0)))</f>
        <v>2250000</v>
      </c>
      <c r="R97" t="s">
        <v>617</v>
      </c>
      <c r="S97" t="s">
        <v>24</v>
      </c>
      <c r="T97">
        <f>IF($M97="PER-M2",
   ($N97 * $J97 * $K97)
   + IFERROR(VLOOKUP($R97,Finishing!A:B,2,FALSE),0)
   + IFERROR(VLOOKUP($S97,Kerumitan!A:B,2,FALSE),0),
IF($M97="PER-LUBANG",
   ($P97 * $L97 * $K97)
   + IFERROR(VLOOKUP($R97,Finishing!A:B,2,FALSE),0)
   + IFERROR(VLOOKUP($S97,Kerumitan!A:B,2,FALSE),0),
IF($M97="PER-M",
   ($O97 * $J97 * $K97)
   + IFERROR(VLOOKUP($R97,Finishing!A:B,2,FALSE),0)
   + IFERROR(VLOOKUP($S97,Kerumitan!A:B,2,FALSE),0),
0)))</f>
        <v>11350000</v>
      </c>
    </row>
    <row r="98" spans="1:20" x14ac:dyDescent="0.45">
      <c r="A98" t="s">
        <v>182</v>
      </c>
      <c r="B98" s="5">
        <v>43477</v>
      </c>
      <c r="C98">
        <f t="shared" si="1"/>
        <v>2019</v>
      </c>
      <c r="D98" t="s">
        <v>139</v>
      </c>
      <c r="E98" t="s">
        <v>54</v>
      </c>
      <c r="F98" t="s">
        <v>6</v>
      </c>
      <c r="G98" t="s">
        <v>15</v>
      </c>
      <c r="H98" t="s">
        <v>46</v>
      </c>
      <c r="I98">
        <v>1</v>
      </c>
      <c r="J98">
        <v>17.59</v>
      </c>
      <c r="K98">
        <v>2</v>
      </c>
      <c r="L98">
        <v>0</v>
      </c>
      <c r="M98" t="str" cm="1">
        <f t="array" ref="M98">_xlfn.IFS(
   OR($F98="Pagar", $F98="Pintu Gerbang", $F98="Pintu Handerson", $F98="Kanopi"), "PER-M2",
   $F98="Teralis", "PER-LUBANG",
   OR($F98="Railing", $F98="Railing/Balkon"), "PER-M",
   TRUE, ""
)</f>
        <v>PER-M2</v>
      </c>
      <c r="N98" cm="1">
        <f t="array" ref="N98">IF($M98="PER-M2",
  IFERROR(
     _xlfn.IFS(
        $G98="Hollow",
            INDEX('Referensi Harga'!$C:$C,
                  MATCH($F98&amp;$C98,'Referensi Harga'!$A:$A&amp;'Referensi Harga'!$B:$B,0)),
        $G98="Hollow Stainless",
            INDEX('Referensi Harga'!$D:$D,
                  MATCH($F98&amp;$C98,'Referensi Harga'!$A:$A&amp;'Referensi Harga'!$B:$B,0)),
        $G98="Pipa Stainless",
            INDEX('Referensi Harga'!$E:$E,
                  MATCH($F98&amp;$C98,'Referensi Harga'!$A:$A&amp;'Referensi Harga'!$B:$B,0))
     ),0)
  + IFERROR(VLOOKUP($H98,'Profile Size'!$A:$B,2,FALSE),0)
  + IFERROR(VLOOKUP($I98,'Ketebalan Material'!$A:$B,2,FALSE),0),
0)</f>
        <v>750000</v>
      </c>
      <c r="O98">
        <f>IF($M98="PER-M",
  IFERROR(
    IF($G98="Hollow",
       INDEX('Referensi Harga'!$C:$C, MATCH($F98 &amp; "|" &amp; $C98, 'Referensi Harga'!$F:$F, 0)),
    IF($G98="Hollow Stainless",
       INDEX('Referensi Harga'!$D:$D, MATCH($F98 &amp; "|" &amp; $C98, 'Referensi Harga'!$F:$F, 0)),
       INDEX('Referensi Harga'!$E:$E, MATCH($F98 &amp; "|" &amp; $C98, 'Referensi Harga'!$F:$F, 0))
    ))
    + IFERROR(VLOOKUP($H98, 'Profile Size'!$A:$B, 2, FALSE), 0)
    + IFERROR(VLOOKUP($I98, 'Ketebalan Material'!$A:$B, 2, FALSE), 0), 0),
0)</f>
        <v>0</v>
      </c>
      <c r="P98" cm="1">
        <f t="array" ref="P98">IF($M98="PER-LUBANG",
  IFERROR(
     _xlfn.IFS(
        $G98="Hollow",
            INDEX('Referensi Harga'!$C:$C,
                  MATCH($F98&amp;$C98,'Referensi Harga'!$A:$A&amp;'Referensi Harga'!$B:$B,0)),
        $G98="Hollow Stainless",
            INDEX('Referensi Harga'!$D:$D,
                  MATCH($F98&amp;$C98,'Referensi Harga'!$A:$A&amp;'Referensi Harga'!$B:$B,0)),
        $G98="Pipa Stainless",
            INDEX('Referensi Harga'!$E:$E,
                  MATCH($F98&amp;$C98,'Referensi Harga'!$A:$A&amp;'Referensi Harga'!$B:$B,0))
     ),0)
  + IFERROR(VLOOKUP($H98,'Profile Size'!$A:$B,2,FALSE),0)
  + IFERROR(VLOOKUP($I98,'Ketebalan Material'!$A:$B,2,FALSE),0),
0)</f>
        <v>0</v>
      </c>
      <c r="Q98">
        <f>IF($M98="PER-M2",
    IFERROR(
        SUMIFS('Upah Tenaga Ahli'!$C:$C,
               'Upah Tenaga Ahli'!$A:$A,"PER-M2",
               'Upah Tenaga Ahli'!$B:$B,$G98
        ) * $J98 * $K98,
    0),
IF($M98="PER-LUBANG",
    IFERROR(
        SUMIFS('Upah Tenaga Ahli'!$D:$D,
               'Upah Tenaga Ahli'!$A:$A,"PER-LUBANG",
               'Upah Tenaga Ahli'!$B:$B,$G98
        ) * $L98 * $K98,
    0),
IF($M98="PER-M",
    IFERROR(
        SUMIFS('Upah Tenaga Ahli'!$E:$E,
               'Upah Tenaga Ahli'!$A:$A,"PER-M",
               'Upah Tenaga Ahli'!$B:$B,$G98
        ) * $J98 * $K98,
    0),
0)))</f>
        <v>5277000</v>
      </c>
      <c r="R98" t="s">
        <v>617</v>
      </c>
      <c r="S98" t="s">
        <v>23</v>
      </c>
      <c r="T98">
        <f>IF($M98="PER-M2",
   ($N98 * $J98 * $K98)
   + IFERROR(VLOOKUP($R98,Finishing!A:B,2,FALSE),0)
   + IFERROR(VLOOKUP($S98,Kerumitan!A:B,2,FALSE),0),
IF($M98="PER-LUBANG",
   ($P98 * $L98 * $K98)
   + IFERROR(VLOOKUP($R98,Finishing!A:B,2,FALSE),0)
   + IFERROR(VLOOKUP($S98,Kerumitan!A:B,2,FALSE),0),
IF($M98="PER-M",
   ($O98 * $J98 * $K98)
   + IFERROR(VLOOKUP($R98,Finishing!A:B,2,FALSE),0)
   + IFERROR(VLOOKUP($S98,Kerumitan!A:B,2,FALSE),0),
0)))</f>
        <v>26385000</v>
      </c>
    </row>
    <row r="99" spans="1:20" x14ac:dyDescent="0.45">
      <c r="A99" t="s">
        <v>183</v>
      </c>
      <c r="B99" s="5">
        <v>45747</v>
      </c>
      <c r="C99">
        <f t="shared" si="1"/>
        <v>2025</v>
      </c>
      <c r="D99" t="s">
        <v>40</v>
      </c>
      <c r="E99" t="s">
        <v>38</v>
      </c>
      <c r="F99" t="s">
        <v>6</v>
      </c>
      <c r="G99" t="s">
        <v>13</v>
      </c>
      <c r="H99" t="s">
        <v>33</v>
      </c>
      <c r="I99">
        <v>0.8</v>
      </c>
      <c r="J99">
        <v>20.13</v>
      </c>
      <c r="K99">
        <v>2</v>
      </c>
      <c r="L99">
        <v>0</v>
      </c>
      <c r="M99" t="str" cm="1">
        <f t="array" ref="M99">_xlfn.IFS(
   OR($F99="Pagar", $F99="Pintu Gerbang", $F99="Pintu Handerson", $F99="Kanopi"), "PER-M2",
   $F99="Teralis", "PER-LUBANG",
   OR($F99="Railing", $F99="Railing/Balkon"), "PER-M",
   TRUE, ""
)</f>
        <v>PER-M2</v>
      </c>
      <c r="N99" cm="1">
        <f t="array" ref="N99">IF($M99="PER-M2",
  IFERROR(
     _xlfn.IFS(
        $G99="Hollow",
            INDEX('Referensi Harga'!$C:$C,
                  MATCH($F99&amp;$C99,'Referensi Harga'!$A:$A&amp;'Referensi Harga'!$B:$B,0)),
        $G99="Hollow Stainless",
            INDEX('Referensi Harga'!$D:$D,
                  MATCH($F99&amp;$C99,'Referensi Harga'!$A:$A&amp;'Referensi Harga'!$B:$B,0)),
        $G99="Pipa Stainless",
            INDEX('Referensi Harga'!$E:$E,
                  MATCH($F99&amp;$C99,'Referensi Harga'!$A:$A&amp;'Referensi Harga'!$B:$B,0))
     ),0)
  + IFERROR(VLOOKUP($H99,'Profile Size'!$A:$B,2,FALSE),0)
  + IFERROR(VLOOKUP($I99,'Ketebalan Material'!$A:$B,2,FALSE),0),
0)</f>
        <v>450000</v>
      </c>
      <c r="O99">
        <f>IF($M99="PER-M",
  IFERROR(
    IF($G99="Hollow",
       INDEX('Referensi Harga'!$C:$C, MATCH($F99 &amp; "|" &amp; $C99, 'Referensi Harga'!$F:$F, 0)),
    IF($G99="Hollow Stainless",
       INDEX('Referensi Harga'!$D:$D, MATCH($F99 &amp; "|" &amp; $C99, 'Referensi Harga'!$F:$F, 0)),
       INDEX('Referensi Harga'!$E:$E, MATCH($F99 &amp; "|" &amp; $C99, 'Referensi Harga'!$F:$F, 0))
    ))
    + IFERROR(VLOOKUP($H99, 'Profile Size'!$A:$B, 2, FALSE), 0)
    + IFERROR(VLOOKUP($I99, 'Ketebalan Material'!$A:$B, 2, FALSE), 0), 0),
0)</f>
        <v>0</v>
      </c>
      <c r="P99" cm="1">
        <f t="array" ref="P99">IF($M99="PER-LUBANG",
  IFERROR(
     _xlfn.IFS(
        $G99="Hollow",
            INDEX('Referensi Harga'!$C:$C,
                  MATCH($F99&amp;$C99,'Referensi Harga'!$A:$A&amp;'Referensi Harga'!$B:$B,0)),
        $G99="Hollow Stainless",
            INDEX('Referensi Harga'!$D:$D,
                  MATCH($F99&amp;$C99,'Referensi Harga'!$A:$A&amp;'Referensi Harga'!$B:$B,0)),
        $G99="Pipa Stainless",
            INDEX('Referensi Harga'!$E:$E,
                  MATCH($F99&amp;$C99,'Referensi Harga'!$A:$A&amp;'Referensi Harga'!$B:$B,0))
     ),0)
  + IFERROR(VLOOKUP($H99,'Profile Size'!$A:$B,2,FALSE),0)
  + IFERROR(VLOOKUP($I99,'Ketebalan Material'!$A:$B,2,FALSE),0),
0)</f>
        <v>0</v>
      </c>
      <c r="Q99">
        <f>IF($M99="PER-M2",
    IFERROR(
        SUMIFS('Upah Tenaga Ahli'!$C:$C,
               'Upah Tenaga Ahli'!$A:$A,"PER-M2",
               'Upah Tenaga Ahli'!$B:$B,$G99
        ) * $J99 * $K99,
    0),
IF($M99="PER-LUBANG",
    IFERROR(
        SUMIFS('Upah Tenaga Ahli'!$D:$D,
               'Upah Tenaga Ahli'!$A:$A,"PER-LUBANG",
               'Upah Tenaga Ahli'!$B:$B,$G99
        ) * $L99 * $K99,
    0),
IF($M99="PER-M",
    IFERROR(
        SUMIFS('Upah Tenaga Ahli'!$E:$E,
               'Upah Tenaga Ahli'!$A:$A,"PER-M",
               'Upah Tenaga Ahli'!$B:$B,$G99
        ) * $J99 * $K99,
    0),
0)))</f>
        <v>4026000</v>
      </c>
      <c r="R99" t="s">
        <v>18</v>
      </c>
      <c r="S99" t="s">
        <v>23</v>
      </c>
      <c r="T99">
        <f>IF($M99="PER-M2",
   ($N99 * $J99 * $K99)
   + IFERROR(VLOOKUP($R99,Finishing!A:B,2,FALSE),0)
   + IFERROR(VLOOKUP($S99,Kerumitan!A:B,2,FALSE),0),
IF($M99="PER-LUBANG",
   ($P99 * $L99 * $K99)
   + IFERROR(VLOOKUP($R99,Finishing!A:B,2,FALSE),0)
   + IFERROR(VLOOKUP($S99,Kerumitan!A:B,2,FALSE),0),
IF($M99="PER-M",
   ($O99 * $J99 * $K99)
   + IFERROR(VLOOKUP($R99,Finishing!A:B,2,FALSE),0)
   + IFERROR(VLOOKUP($S99,Kerumitan!A:B,2,FALSE),0),
0)))</f>
        <v>18117000</v>
      </c>
    </row>
    <row r="100" spans="1:20" x14ac:dyDescent="0.45">
      <c r="A100" t="s">
        <v>184</v>
      </c>
      <c r="B100" s="5">
        <v>45333</v>
      </c>
      <c r="C100">
        <f t="shared" si="1"/>
        <v>2024</v>
      </c>
      <c r="D100" t="s">
        <v>117</v>
      </c>
      <c r="E100" t="s">
        <v>121</v>
      </c>
      <c r="F100" t="s">
        <v>4</v>
      </c>
      <c r="G100" t="s">
        <v>15</v>
      </c>
      <c r="H100" t="s">
        <v>35</v>
      </c>
      <c r="I100">
        <v>1.2</v>
      </c>
      <c r="J100">
        <v>17.46</v>
      </c>
      <c r="K100">
        <v>1</v>
      </c>
      <c r="L100">
        <v>0</v>
      </c>
      <c r="M100" t="str" cm="1">
        <f t="array" ref="M100">_xlfn.IFS(
   OR($F100="Pagar", $F100="Pintu Gerbang", $F100="Pintu Handerson", $F100="Kanopi"), "PER-M2",
   $F100="Teralis", "PER-LUBANG",
   OR($F100="Railing", $F100="Railing/Balkon"), "PER-M",
   TRUE, ""
)</f>
        <v>PER-M2</v>
      </c>
      <c r="N100" cm="1">
        <f t="array" ref="N100">IF($M100="PER-M2",
  IFERROR(
     _xlfn.IFS(
        $G100="Hollow",
            INDEX('Referensi Harga'!$C:$C,
                  MATCH($F100&amp;$C100,'Referensi Harga'!$A:$A&amp;'Referensi Harga'!$B:$B,0)),
        $G100="Hollow Stainless",
            INDEX('Referensi Harga'!$D:$D,
                  MATCH($F100&amp;$C100,'Referensi Harga'!$A:$A&amp;'Referensi Harga'!$B:$B,0)),
        $G100="Pipa Stainless",
            INDEX('Referensi Harga'!$E:$E,
                  MATCH($F100&amp;$C100,'Referensi Harga'!$A:$A&amp;'Referensi Harga'!$B:$B,0))
     ),0)
  + IFERROR(VLOOKUP($H100,'Profile Size'!$A:$B,2,FALSE),0)
  + IFERROR(VLOOKUP($I100,'Ketebalan Material'!$A:$B,2,FALSE),0),
0)</f>
        <v>1380000</v>
      </c>
      <c r="O100">
        <f>IF($M100="PER-M",
  IFERROR(
    IF($G100="Hollow",
       INDEX('Referensi Harga'!$C:$C, MATCH($F100 &amp; "|" &amp; $C100, 'Referensi Harga'!$F:$F, 0)),
    IF($G100="Hollow Stainless",
       INDEX('Referensi Harga'!$D:$D, MATCH($F100 &amp; "|" &amp; $C100, 'Referensi Harga'!$F:$F, 0)),
       INDEX('Referensi Harga'!$E:$E, MATCH($F100 &amp; "|" &amp; $C100, 'Referensi Harga'!$F:$F, 0))
    ))
    + IFERROR(VLOOKUP($H100, 'Profile Size'!$A:$B, 2, FALSE), 0)
    + IFERROR(VLOOKUP($I100, 'Ketebalan Material'!$A:$B, 2, FALSE), 0), 0),
0)</f>
        <v>0</v>
      </c>
      <c r="P100" cm="1">
        <f t="array" ref="P100">IF($M100="PER-LUBANG",
  IFERROR(
     _xlfn.IFS(
        $G100="Hollow",
            INDEX('Referensi Harga'!$C:$C,
                  MATCH($F100&amp;$C100,'Referensi Harga'!$A:$A&amp;'Referensi Harga'!$B:$B,0)),
        $G100="Hollow Stainless",
            INDEX('Referensi Harga'!$D:$D,
                  MATCH($F100&amp;$C100,'Referensi Harga'!$A:$A&amp;'Referensi Harga'!$B:$B,0)),
        $G100="Pipa Stainless",
            INDEX('Referensi Harga'!$E:$E,
                  MATCH($F100&amp;$C100,'Referensi Harga'!$A:$A&amp;'Referensi Harga'!$B:$B,0))
     ),0)
  + IFERROR(VLOOKUP($H100,'Profile Size'!$A:$B,2,FALSE),0)
  + IFERROR(VLOOKUP($I100,'Ketebalan Material'!$A:$B,2,FALSE),0),
0)</f>
        <v>0</v>
      </c>
      <c r="Q100">
        <f>IF($M100="PER-M2",
    IFERROR(
        SUMIFS('Upah Tenaga Ahli'!$C:$C,
               'Upah Tenaga Ahli'!$A:$A,"PER-M2",
               'Upah Tenaga Ahli'!$B:$B,$G100
        ) * $J100 * $K100,
    0),
IF($M100="PER-LUBANG",
    IFERROR(
        SUMIFS('Upah Tenaga Ahli'!$D:$D,
               'Upah Tenaga Ahli'!$A:$A,"PER-LUBANG",
               'Upah Tenaga Ahli'!$B:$B,$G100
        ) * $L100 * $K100,
    0),
IF($M100="PER-M",
    IFERROR(
        SUMIFS('Upah Tenaga Ahli'!$E:$E,
               'Upah Tenaga Ahli'!$A:$A,"PER-M",
               'Upah Tenaga Ahli'!$B:$B,$G100
        ) * $J100 * $K100,
    0),
0)))</f>
        <v>2619000</v>
      </c>
      <c r="R100" t="s">
        <v>617</v>
      </c>
      <c r="S100" t="s">
        <v>25</v>
      </c>
      <c r="T100">
        <f>IF($M100="PER-M2",
   ($N100 * $J100 * $K100)
   + IFERROR(VLOOKUP($R100,Finishing!A:B,2,FALSE),0)
   + IFERROR(VLOOKUP($S100,Kerumitan!A:B,2,FALSE),0),
IF($M100="PER-LUBANG",
   ($P100 * $L100 * $K100)
   + IFERROR(VLOOKUP($R100,Finishing!A:B,2,FALSE),0)
   + IFERROR(VLOOKUP($S100,Kerumitan!A:B,2,FALSE),0),
IF($M100="PER-M",
   ($O100 * $J100 * $K100)
   + IFERROR(VLOOKUP($R100,Finishing!A:B,2,FALSE),0)
   + IFERROR(VLOOKUP($S100,Kerumitan!A:B,2,FALSE),0),
0)))</f>
        <v>24244800</v>
      </c>
    </row>
    <row r="101" spans="1:20" x14ac:dyDescent="0.45">
      <c r="A101" t="s">
        <v>185</v>
      </c>
      <c r="B101" s="5">
        <v>44319</v>
      </c>
      <c r="C101">
        <f t="shared" si="1"/>
        <v>2021</v>
      </c>
      <c r="D101" t="s">
        <v>126</v>
      </c>
      <c r="E101" t="s">
        <v>69</v>
      </c>
      <c r="F101" t="s">
        <v>4</v>
      </c>
      <c r="G101" t="s">
        <v>15</v>
      </c>
      <c r="H101" t="s">
        <v>46</v>
      </c>
      <c r="I101">
        <v>1.2</v>
      </c>
      <c r="J101">
        <v>14.66</v>
      </c>
      <c r="K101">
        <v>1</v>
      </c>
      <c r="L101">
        <v>0</v>
      </c>
      <c r="M101" t="str" cm="1">
        <f t="array" ref="M101">_xlfn.IFS(
   OR($F101="Pagar", $F101="Pintu Gerbang", $F101="Pintu Handerson", $F101="Kanopi"), "PER-M2",
   $F101="Teralis", "PER-LUBANG",
   OR($F101="Railing", $F101="Railing/Balkon"), "PER-M",
   TRUE, ""
)</f>
        <v>PER-M2</v>
      </c>
      <c r="N101" cm="1">
        <f t="array" ref="N101">IF($M101="PER-M2",
  IFERROR(
     _xlfn.IFS(
        $G101="Hollow",
            INDEX('Referensi Harga'!$C:$C,
                  MATCH($F101&amp;$C101,'Referensi Harga'!$A:$A&amp;'Referensi Harga'!$B:$B,0)),
        $G101="Hollow Stainless",
            INDEX('Referensi Harga'!$D:$D,
                  MATCH($F101&amp;$C101,'Referensi Harga'!$A:$A&amp;'Referensi Harga'!$B:$B,0)),
        $G101="Pipa Stainless",
            INDEX('Referensi Harga'!$E:$E,
                  MATCH($F101&amp;$C101,'Referensi Harga'!$A:$A&amp;'Referensi Harga'!$B:$B,0))
     ),0)
  + IFERROR(VLOOKUP($H101,'Profile Size'!$A:$B,2,FALSE),0)
  + IFERROR(VLOOKUP($I101,'Ketebalan Material'!$A:$B,2,FALSE),0),
0)</f>
        <v>1250000</v>
      </c>
      <c r="O101">
        <f>IF($M101="PER-M",
  IFERROR(
    IF($G101="Hollow",
       INDEX('Referensi Harga'!$C:$C, MATCH($F101 &amp; "|" &amp; $C101, 'Referensi Harga'!$F:$F, 0)),
    IF($G101="Hollow Stainless",
       INDEX('Referensi Harga'!$D:$D, MATCH($F101 &amp; "|" &amp; $C101, 'Referensi Harga'!$F:$F, 0)),
       INDEX('Referensi Harga'!$E:$E, MATCH($F101 &amp; "|" &amp; $C101, 'Referensi Harga'!$F:$F, 0))
    ))
    + IFERROR(VLOOKUP($H101, 'Profile Size'!$A:$B, 2, FALSE), 0)
    + IFERROR(VLOOKUP($I101, 'Ketebalan Material'!$A:$B, 2, FALSE), 0), 0),
0)</f>
        <v>0</v>
      </c>
      <c r="P101" cm="1">
        <f t="array" ref="P101">IF($M101="PER-LUBANG",
  IFERROR(
     _xlfn.IFS(
        $G101="Hollow",
            INDEX('Referensi Harga'!$C:$C,
                  MATCH($F101&amp;$C101,'Referensi Harga'!$A:$A&amp;'Referensi Harga'!$B:$B,0)),
        $G101="Hollow Stainless",
            INDEX('Referensi Harga'!$D:$D,
                  MATCH($F101&amp;$C101,'Referensi Harga'!$A:$A&amp;'Referensi Harga'!$B:$B,0)),
        $G101="Pipa Stainless",
            INDEX('Referensi Harga'!$E:$E,
                  MATCH($F101&amp;$C101,'Referensi Harga'!$A:$A&amp;'Referensi Harga'!$B:$B,0))
     ),0)
  + IFERROR(VLOOKUP($H101,'Profile Size'!$A:$B,2,FALSE),0)
  + IFERROR(VLOOKUP($I101,'Ketebalan Material'!$A:$B,2,FALSE),0),
0)</f>
        <v>0</v>
      </c>
      <c r="Q101">
        <f>IF($M101="PER-M2",
    IFERROR(
        SUMIFS('Upah Tenaga Ahli'!$C:$C,
               'Upah Tenaga Ahli'!$A:$A,"PER-M2",
               'Upah Tenaga Ahli'!$B:$B,$G101
        ) * $J101 * $K101,
    0),
IF($M101="PER-LUBANG",
    IFERROR(
        SUMIFS('Upah Tenaga Ahli'!$D:$D,
               'Upah Tenaga Ahli'!$A:$A,"PER-LUBANG",
               'Upah Tenaga Ahli'!$B:$B,$G101
        ) * $L101 * $K101,
    0),
IF($M101="PER-M",
    IFERROR(
        SUMIFS('Upah Tenaga Ahli'!$E:$E,
               'Upah Tenaga Ahli'!$A:$A,"PER-M",
               'Upah Tenaga Ahli'!$B:$B,$G101
        ) * $J101 * $K101,
    0),
0)))</f>
        <v>2199000</v>
      </c>
      <c r="R101" t="s">
        <v>617</v>
      </c>
      <c r="S101" t="s">
        <v>23</v>
      </c>
      <c r="T101">
        <f>IF($M101="PER-M2",
   ($N101 * $J101 * $K101)
   + IFERROR(VLOOKUP($R101,Finishing!A:B,2,FALSE),0)
   + IFERROR(VLOOKUP($S101,Kerumitan!A:B,2,FALSE),0),
IF($M101="PER-LUBANG",
   ($P101 * $L101 * $K101)
   + IFERROR(VLOOKUP($R101,Finishing!A:B,2,FALSE),0)
   + IFERROR(VLOOKUP($S101,Kerumitan!A:B,2,FALSE),0),
IF($M101="PER-M",
   ($O101 * $J101 * $K101)
   + IFERROR(VLOOKUP($R101,Finishing!A:B,2,FALSE),0)
   + IFERROR(VLOOKUP($S101,Kerumitan!A:B,2,FALSE),0),
0)))</f>
        <v>18325000</v>
      </c>
    </row>
    <row r="102" spans="1:20" x14ac:dyDescent="0.45">
      <c r="A102" t="s">
        <v>186</v>
      </c>
      <c r="B102" s="5">
        <v>45514</v>
      </c>
      <c r="C102">
        <f t="shared" si="1"/>
        <v>2024</v>
      </c>
      <c r="D102" t="s">
        <v>53</v>
      </c>
      <c r="E102" t="s">
        <v>87</v>
      </c>
      <c r="F102" t="s">
        <v>625</v>
      </c>
      <c r="G102" t="s">
        <v>14</v>
      </c>
      <c r="H102" t="s">
        <v>615</v>
      </c>
      <c r="I102">
        <v>1.2</v>
      </c>
      <c r="J102">
        <v>2.08</v>
      </c>
      <c r="K102">
        <v>2</v>
      </c>
      <c r="L102">
        <v>0</v>
      </c>
      <c r="M102" t="str" cm="1">
        <f t="array" ref="M102">_xlfn.IFS(
   OR($F102="Pagar", $F102="Pintu Gerbang", $F102="Pintu Handerson", $F102="Kanopi"), "PER-M2",
   $F102="Teralis", "PER-LUBANG",
   OR($F102="Railing", $F102="Railing/Balkon"), "PER-M",
   TRUE, ""
)</f>
        <v>PER-M</v>
      </c>
      <c r="N102" cm="1">
        <f t="array" ref="N102">IF($M102="PER-M2",
  IFERROR(
     _xlfn.IFS(
        $G102="Hollow",
            INDEX('Referensi Harga'!$C:$C,
                  MATCH($F102&amp;$C102,'Referensi Harga'!$A:$A&amp;'Referensi Harga'!$B:$B,0)),
        $G102="Hollow Stainless",
            INDEX('Referensi Harga'!$D:$D,
                  MATCH($F102&amp;$C102,'Referensi Harga'!$A:$A&amp;'Referensi Harga'!$B:$B,0)),
        $G102="Pipa Stainless",
            INDEX('Referensi Harga'!$E:$E,
                  MATCH($F102&amp;$C102,'Referensi Harga'!$A:$A&amp;'Referensi Harga'!$B:$B,0))
     ),0)
  + IFERROR(VLOOKUP($H102,'Profile Size'!$A:$B,2,FALSE),0)
  + IFERROR(VLOOKUP($I102,'Ketebalan Material'!$A:$B,2,FALSE),0),
0)</f>
        <v>0</v>
      </c>
      <c r="O102">
        <f>IF($M102="PER-M",
  IFERROR(
    IF($G102="Hollow",
       INDEX('Referensi Harga'!$C:$C, MATCH($F102 &amp; "|" &amp; $C102, 'Referensi Harga'!$F:$F, 0)),
    IF($G102="Hollow Stainless",
       INDEX('Referensi Harga'!$D:$D, MATCH($F102 &amp; "|" &amp; $C102, 'Referensi Harga'!$F:$F, 0)),
       INDEX('Referensi Harga'!$E:$E, MATCH($F102 &amp; "|" &amp; $C102, 'Referensi Harga'!$F:$F, 0))
    ))
    + IFERROR(VLOOKUP($H102, 'Profile Size'!$A:$B, 2, FALSE), 0)
    + IFERROR(VLOOKUP($I102, 'Ketebalan Material'!$A:$B, 2, FALSE), 0), 0),
0)</f>
        <v>1200000</v>
      </c>
      <c r="P102" cm="1">
        <f t="array" ref="P102">IF($M102="PER-LUBANG",
  IFERROR(
     _xlfn.IFS(
        $G102="Hollow",
            INDEX('Referensi Harga'!$C:$C,
                  MATCH($F102&amp;$C102,'Referensi Harga'!$A:$A&amp;'Referensi Harga'!$B:$B,0)),
        $G102="Hollow Stainless",
            INDEX('Referensi Harga'!$D:$D,
                  MATCH($F102&amp;$C102,'Referensi Harga'!$A:$A&amp;'Referensi Harga'!$B:$B,0)),
        $G102="Pipa Stainless",
            INDEX('Referensi Harga'!$E:$E,
                  MATCH($F102&amp;$C102,'Referensi Harga'!$A:$A&amp;'Referensi Harga'!$B:$B,0))
     ),0)
  + IFERROR(VLOOKUP($H102,'Profile Size'!$A:$B,2,FALSE),0)
  + IFERROR(VLOOKUP($I102,'Ketebalan Material'!$A:$B,2,FALSE),0),
0)</f>
        <v>0</v>
      </c>
      <c r="Q102">
        <f>IF($M102="PER-M2",
    IFERROR(
        SUMIFS('Upah Tenaga Ahli'!$C:$C,
               'Upah Tenaga Ahli'!$A:$A,"PER-M2",
               'Upah Tenaga Ahli'!$B:$B,$G102
        ) * $J102 * $K102,
    0),
IF($M102="PER-LUBANG",
    IFERROR(
        SUMIFS('Upah Tenaga Ahli'!$D:$D,
               'Upah Tenaga Ahli'!$A:$A,"PER-LUBANG",
               'Upah Tenaga Ahli'!$B:$B,$G102
        ) * $L102 * $K102,
    0),
IF($M102="PER-M",
    IFERROR(
        SUMIFS('Upah Tenaga Ahli'!$E:$E,
               'Upah Tenaga Ahli'!$A:$A,"PER-M",
               'Upah Tenaga Ahli'!$B:$B,$G102
        ) * $J102 * $K102,
    0),
0)))</f>
        <v>832000</v>
      </c>
      <c r="R102" t="s">
        <v>617</v>
      </c>
      <c r="S102" t="s">
        <v>24</v>
      </c>
      <c r="T102">
        <f>IF($M102="PER-M2",
   ($N102 * $J102 * $K102)
   + IFERROR(VLOOKUP($R102,Finishing!A:B,2,FALSE),0)
   + IFERROR(VLOOKUP($S102,Kerumitan!A:B,2,FALSE),0),
IF($M102="PER-LUBANG",
   ($P102 * $L102 * $K102)
   + IFERROR(VLOOKUP($R102,Finishing!A:B,2,FALSE),0)
   + IFERROR(VLOOKUP($S102,Kerumitan!A:B,2,FALSE),0),
IF($M102="PER-M",
   ($O102 * $J102 * $K102)
   + IFERROR(VLOOKUP($R102,Finishing!A:B,2,FALSE),0)
   + IFERROR(VLOOKUP($S102,Kerumitan!A:B,2,FALSE),0),
0)))</f>
        <v>5092000</v>
      </c>
    </row>
    <row r="103" spans="1:20" x14ac:dyDescent="0.45">
      <c r="A103" t="s">
        <v>187</v>
      </c>
      <c r="B103" s="5">
        <v>44584</v>
      </c>
      <c r="C103">
        <f t="shared" si="1"/>
        <v>2022</v>
      </c>
      <c r="D103" t="s">
        <v>40</v>
      </c>
      <c r="E103" t="s">
        <v>57</v>
      </c>
      <c r="F103" t="s">
        <v>625</v>
      </c>
      <c r="G103" t="s">
        <v>15</v>
      </c>
      <c r="H103" t="s">
        <v>46</v>
      </c>
      <c r="I103">
        <v>1</v>
      </c>
      <c r="J103">
        <v>11.83</v>
      </c>
      <c r="K103">
        <v>3</v>
      </c>
      <c r="L103">
        <v>0</v>
      </c>
      <c r="M103" t="str" cm="1">
        <f t="array" ref="M103">_xlfn.IFS(
   OR($F103="Pagar", $F103="Pintu Gerbang", $F103="Pintu Handerson", $F103="Kanopi"), "PER-M2",
   $F103="Teralis", "PER-LUBANG",
   OR($F103="Railing", $F103="Railing/Balkon"), "PER-M",
   TRUE, ""
)</f>
        <v>PER-M</v>
      </c>
      <c r="N103" cm="1">
        <f t="array" ref="N103">IF($M103="PER-M2",
  IFERROR(
     _xlfn.IFS(
        $G103="Hollow",
            INDEX('Referensi Harga'!$C:$C,
                  MATCH($F103&amp;$C103,'Referensi Harga'!$A:$A&amp;'Referensi Harga'!$B:$B,0)),
        $G103="Hollow Stainless",
            INDEX('Referensi Harga'!$D:$D,
                  MATCH($F103&amp;$C103,'Referensi Harga'!$A:$A&amp;'Referensi Harga'!$B:$B,0)),
        $G103="Pipa Stainless",
            INDEX('Referensi Harga'!$E:$E,
                  MATCH($F103&amp;$C103,'Referensi Harga'!$A:$A&amp;'Referensi Harga'!$B:$B,0))
     ),0)
  + IFERROR(VLOOKUP($H103,'Profile Size'!$A:$B,2,FALSE),0)
  + IFERROR(VLOOKUP($I103,'Ketebalan Material'!$A:$B,2,FALSE),0),
0)</f>
        <v>0</v>
      </c>
      <c r="O103">
        <f>IF($M103="PER-M",
  IFERROR(
    IF($G103="Hollow",
       INDEX('Referensi Harga'!$C:$C, MATCH($F103 &amp; "|" &amp; $C103, 'Referensi Harga'!$F:$F, 0)),
    IF($G103="Hollow Stainless",
       INDEX('Referensi Harga'!$D:$D, MATCH($F103 &amp; "|" &amp; $C103, 'Referensi Harga'!$F:$F, 0)),
       INDEX('Referensi Harga'!$E:$E, MATCH($F103 &amp; "|" &amp; $C103, 'Referensi Harga'!$F:$F, 0))
    ))
    + IFERROR(VLOOKUP($H103, 'Profile Size'!$A:$B, 2, FALSE), 0)
    + IFERROR(VLOOKUP($I103, 'Ketebalan Material'!$A:$B, 2, FALSE), 0), 0),
0)</f>
        <v>1220000</v>
      </c>
      <c r="P103" cm="1">
        <f t="array" ref="P103">IF($M103="PER-LUBANG",
  IFERROR(
     _xlfn.IFS(
        $G103="Hollow",
            INDEX('Referensi Harga'!$C:$C,
                  MATCH($F103&amp;$C103,'Referensi Harga'!$A:$A&amp;'Referensi Harga'!$B:$B,0)),
        $G103="Hollow Stainless",
            INDEX('Referensi Harga'!$D:$D,
                  MATCH($F103&amp;$C103,'Referensi Harga'!$A:$A&amp;'Referensi Harga'!$B:$B,0)),
        $G103="Pipa Stainless",
            INDEX('Referensi Harga'!$E:$E,
                  MATCH($F103&amp;$C103,'Referensi Harga'!$A:$A&amp;'Referensi Harga'!$B:$B,0))
     ),0)
  + IFERROR(VLOOKUP($H103,'Profile Size'!$A:$B,2,FALSE),0)
  + IFERROR(VLOOKUP($I103,'Ketebalan Material'!$A:$B,2,FALSE),0),
0)</f>
        <v>0</v>
      </c>
      <c r="Q103">
        <f>IF($M103="PER-M2",
    IFERROR(
        SUMIFS('Upah Tenaga Ahli'!$C:$C,
               'Upah Tenaga Ahli'!$A:$A,"PER-M2",
               'Upah Tenaga Ahli'!$B:$B,$G103
        ) * $J103 * $K103,
    0),
IF($M103="PER-LUBANG",
    IFERROR(
        SUMIFS('Upah Tenaga Ahli'!$D:$D,
               'Upah Tenaga Ahli'!$A:$A,"PER-LUBANG",
               'Upah Tenaga Ahli'!$B:$B,$G103
        ) * $L103 * $K103,
    0),
IF($M103="PER-M",
    IFERROR(
        SUMIFS('Upah Tenaga Ahli'!$E:$E,
               'Upah Tenaga Ahli'!$A:$A,"PER-M",
               'Upah Tenaga Ahli'!$B:$B,$G103
        ) * $J103 * $K103,
    0),
0)))</f>
        <v>5323500</v>
      </c>
      <c r="R103" t="s">
        <v>617</v>
      </c>
      <c r="S103" t="s">
        <v>23</v>
      </c>
      <c r="T103">
        <f>IF($M103="PER-M2",
   ($N103 * $J103 * $K103)
   + IFERROR(VLOOKUP($R103,Finishing!A:B,2,FALSE),0)
   + IFERROR(VLOOKUP($S103,Kerumitan!A:B,2,FALSE),0),
IF($M103="PER-LUBANG",
   ($P103 * $L103 * $K103)
   + IFERROR(VLOOKUP($R103,Finishing!A:B,2,FALSE),0)
   + IFERROR(VLOOKUP($S103,Kerumitan!A:B,2,FALSE),0),
IF($M103="PER-M",
   ($O103 * $J103 * $K103)
   + IFERROR(VLOOKUP($R103,Finishing!A:B,2,FALSE),0)
   + IFERROR(VLOOKUP($S103,Kerumitan!A:B,2,FALSE),0),
0)))</f>
        <v>43297800</v>
      </c>
    </row>
    <row r="104" spans="1:20" x14ac:dyDescent="0.45">
      <c r="A104" t="s">
        <v>188</v>
      </c>
      <c r="B104" s="5">
        <v>44585</v>
      </c>
      <c r="C104">
        <f t="shared" si="1"/>
        <v>2022</v>
      </c>
      <c r="D104" t="s">
        <v>123</v>
      </c>
      <c r="E104" t="s">
        <v>54</v>
      </c>
      <c r="F104" t="s">
        <v>625</v>
      </c>
      <c r="G104" t="s">
        <v>13</v>
      </c>
      <c r="H104" t="s">
        <v>46</v>
      </c>
      <c r="I104">
        <v>1</v>
      </c>
      <c r="J104">
        <v>3.01</v>
      </c>
      <c r="K104">
        <v>3</v>
      </c>
      <c r="L104">
        <v>0</v>
      </c>
      <c r="M104" t="str" cm="1">
        <f t="array" ref="M104">_xlfn.IFS(
   OR($F104="Pagar", $F104="Pintu Gerbang", $F104="Pintu Handerson", $F104="Kanopi"), "PER-M2",
   $F104="Teralis", "PER-LUBANG",
   OR($F104="Railing", $F104="Railing/Balkon"), "PER-M",
   TRUE, ""
)</f>
        <v>PER-M</v>
      </c>
      <c r="N104" cm="1">
        <f t="array" ref="N104">IF($M104="PER-M2",
  IFERROR(
     _xlfn.IFS(
        $G104="Hollow",
            INDEX('Referensi Harga'!$C:$C,
                  MATCH($F104&amp;$C104,'Referensi Harga'!$A:$A&amp;'Referensi Harga'!$B:$B,0)),
        $G104="Hollow Stainless",
            INDEX('Referensi Harga'!$D:$D,
                  MATCH($F104&amp;$C104,'Referensi Harga'!$A:$A&amp;'Referensi Harga'!$B:$B,0)),
        $G104="Pipa Stainless",
            INDEX('Referensi Harga'!$E:$E,
                  MATCH($F104&amp;$C104,'Referensi Harga'!$A:$A&amp;'Referensi Harga'!$B:$B,0))
     ),0)
  + IFERROR(VLOOKUP($H104,'Profile Size'!$A:$B,2,FALSE),0)
  + IFERROR(VLOOKUP($I104,'Ketebalan Material'!$A:$B,2,FALSE),0),
0)</f>
        <v>0</v>
      </c>
      <c r="O104">
        <f>IF($M104="PER-M",
  IFERROR(
    IF($G104="Hollow",
       INDEX('Referensi Harga'!$C:$C, MATCH($F104 &amp; "|" &amp; $C104, 'Referensi Harga'!$F:$F, 0)),
    IF($G104="Hollow Stainless",
       INDEX('Referensi Harga'!$D:$D, MATCH($F104 &amp; "|" &amp; $C104, 'Referensi Harga'!$F:$F, 0)),
       INDEX('Referensi Harga'!$E:$E, MATCH($F104 &amp; "|" &amp; $C104, 'Referensi Harga'!$F:$F, 0))
    ))
    + IFERROR(VLOOKUP($H104, 'Profile Size'!$A:$B, 2, FALSE), 0)
    + IFERROR(VLOOKUP($I104, 'Ketebalan Material'!$A:$B, 2, FALSE), 0), 0),
0)</f>
        <v>550000</v>
      </c>
      <c r="P104" cm="1">
        <f t="array" ref="P104">IF($M104="PER-LUBANG",
  IFERROR(
     _xlfn.IFS(
        $G104="Hollow",
            INDEX('Referensi Harga'!$C:$C,
                  MATCH($F104&amp;$C104,'Referensi Harga'!$A:$A&amp;'Referensi Harga'!$B:$B,0)),
        $G104="Hollow Stainless",
            INDEX('Referensi Harga'!$D:$D,
                  MATCH($F104&amp;$C104,'Referensi Harga'!$A:$A&amp;'Referensi Harga'!$B:$B,0)),
        $G104="Pipa Stainless",
            INDEX('Referensi Harga'!$E:$E,
                  MATCH($F104&amp;$C104,'Referensi Harga'!$A:$A&amp;'Referensi Harga'!$B:$B,0))
     ),0)
  + IFERROR(VLOOKUP($H104,'Profile Size'!$A:$B,2,FALSE),0)
  + IFERROR(VLOOKUP($I104,'Ketebalan Material'!$A:$B,2,FALSE),0),
0)</f>
        <v>0</v>
      </c>
      <c r="Q104">
        <f>IF($M104="PER-M2",
    IFERROR(
        SUMIFS('Upah Tenaga Ahli'!$C:$C,
               'Upah Tenaga Ahli'!$A:$A,"PER-M2",
               'Upah Tenaga Ahli'!$B:$B,$G104
        ) * $J104 * $K104,
    0),
IF($M104="PER-LUBANG",
    IFERROR(
        SUMIFS('Upah Tenaga Ahli'!$D:$D,
               'Upah Tenaga Ahli'!$A:$A,"PER-LUBANG",
               'Upah Tenaga Ahli'!$B:$B,$G104
        ) * $L104 * $K104,
    0),
IF($M104="PER-M",
    IFERROR(
        SUMIFS('Upah Tenaga Ahli'!$E:$E,
               'Upah Tenaga Ahli'!$A:$A,"PER-M",
               'Upah Tenaga Ahli'!$B:$B,$G104
        ) * $J104 * $K104,
    0),
0)))</f>
        <v>903000</v>
      </c>
      <c r="R104" t="s">
        <v>18</v>
      </c>
      <c r="S104" t="s">
        <v>24</v>
      </c>
      <c r="T104">
        <f>IF($M104="PER-M2",
   ($N104 * $J104 * $K104)
   + IFERROR(VLOOKUP($R104,Finishing!A:B,2,FALSE),0)
   + IFERROR(VLOOKUP($S104,Kerumitan!A:B,2,FALSE),0),
IF($M104="PER-LUBANG",
   ($P104 * $L104 * $K104)
   + IFERROR(VLOOKUP($R104,Finishing!A:B,2,FALSE),0)
   + IFERROR(VLOOKUP($S104,Kerumitan!A:B,2,FALSE),0),
IF($M104="PER-M",
   ($O104 * $J104 * $K104)
   + IFERROR(VLOOKUP($R104,Finishing!A:B,2,FALSE),0)
   + IFERROR(VLOOKUP($S104,Kerumitan!A:B,2,FALSE),0),
0)))</f>
        <v>5066499.9999999991</v>
      </c>
    </row>
    <row r="105" spans="1:20" x14ac:dyDescent="0.45">
      <c r="A105" t="s">
        <v>189</v>
      </c>
      <c r="B105" s="5">
        <v>44187</v>
      </c>
      <c r="C105">
        <f t="shared" si="1"/>
        <v>2020</v>
      </c>
      <c r="D105" t="s">
        <v>68</v>
      </c>
      <c r="E105" t="s">
        <v>38</v>
      </c>
      <c r="F105" t="s">
        <v>6</v>
      </c>
      <c r="G105" t="s">
        <v>13</v>
      </c>
      <c r="H105" t="s">
        <v>46</v>
      </c>
      <c r="I105">
        <v>1.2</v>
      </c>
      <c r="J105">
        <v>15.31</v>
      </c>
      <c r="K105">
        <v>1</v>
      </c>
      <c r="L105">
        <v>0</v>
      </c>
      <c r="M105" t="str" cm="1">
        <f t="array" ref="M105">_xlfn.IFS(
   OR($F105="Pagar", $F105="Pintu Gerbang", $F105="Pintu Handerson", $F105="Kanopi"), "PER-M2",
   $F105="Teralis", "PER-LUBANG",
   OR($F105="Railing", $F105="Railing/Balkon"), "PER-M",
   TRUE, ""
)</f>
        <v>PER-M2</v>
      </c>
      <c r="N105" cm="1">
        <f t="array" ref="N105">IF($M105="PER-M2",
  IFERROR(
     _xlfn.IFS(
        $G105="Hollow",
            INDEX('Referensi Harga'!$C:$C,
                  MATCH($F105&amp;$C105,'Referensi Harga'!$A:$A&amp;'Referensi Harga'!$B:$B,0)),
        $G105="Hollow Stainless",
            INDEX('Referensi Harga'!$D:$D,
                  MATCH($F105&amp;$C105,'Referensi Harga'!$A:$A&amp;'Referensi Harga'!$B:$B,0)),
        $G105="Pipa Stainless",
            INDEX('Referensi Harga'!$E:$E,
                  MATCH($F105&amp;$C105,'Referensi Harga'!$A:$A&amp;'Referensi Harga'!$B:$B,0))
     ),0)
  + IFERROR(VLOOKUP($H105,'Profile Size'!$A:$B,2,FALSE),0)
  + IFERROR(VLOOKUP($I105,'Ketebalan Material'!$A:$B,2,FALSE),0),
0)</f>
        <v>500000</v>
      </c>
      <c r="O105">
        <f>IF($M105="PER-M",
  IFERROR(
    IF($G105="Hollow",
       INDEX('Referensi Harga'!$C:$C, MATCH($F105 &amp; "|" &amp; $C105, 'Referensi Harga'!$F:$F, 0)),
    IF($G105="Hollow Stainless",
       INDEX('Referensi Harga'!$D:$D, MATCH($F105 &amp; "|" &amp; $C105, 'Referensi Harga'!$F:$F, 0)),
       INDEX('Referensi Harga'!$E:$E, MATCH($F105 &amp; "|" &amp; $C105, 'Referensi Harga'!$F:$F, 0))
    ))
    + IFERROR(VLOOKUP($H105, 'Profile Size'!$A:$B, 2, FALSE), 0)
    + IFERROR(VLOOKUP($I105, 'Ketebalan Material'!$A:$B, 2, FALSE), 0), 0),
0)</f>
        <v>0</v>
      </c>
      <c r="P105" cm="1">
        <f t="array" ref="P105">IF($M105="PER-LUBANG",
  IFERROR(
     _xlfn.IFS(
        $G105="Hollow",
            INDEX('Referensi Harga'!$C:$C,
                  MATCH($F105&amp;$C105,'Referensi Harga'!$A:$A&amp;'Referensi Harga'!$B:$B,0)),
        $G105="Hollow Stainless",
            INDEX('Referensi Harga'!$D:$D,
                  MATCH($F105&amp;$C105,'Referensi Harga'!$A:$A&amp;'Referensi Harga'!$B:$B,0)),
        $G105="Pipa Stainless",
            INDEX('Referensi Harga'!$E:$E,
                  MATCH($F105&amp;$C105,'Referensi Harga'!$A:$A&amp;'Referensi Harga'!$B:$B,0))
     ),0)
  + IFERROR(VLOOKUP($H105,'Profile Size'!$A:$B,2,FALSE),0)
  + IFERROR(VLOOKUP($I105,'Ketebalan Material'!$A:$B,2,FALSE),0),
0)</f>
        <v>0</v>
      </c>
      <c r="Q105">
        <f>IF($M105="PER-M2",
    IFERROR(
        SUMIFS('Upah Tenaga Ahli'!$C:$C,
               'Upah Tenaga Ahli'!$A:$A,"PER-M2",
               'Upah Tenaga Ahli'!$B:$B,$G105
        ) * $J105 * $K105,
    0),
IF($M105="PER-LUBANG",
    IFERROR(
        SUMIFS('Upah Tenaga Ahli'!$D:$D,
               'Upah Tenaga Ahli'!$A:$A,"PER-LUBANG",
               'Upah Tenaga Ahli'!$B:$B,$G105
        ) * $L105 * $K105,
    0),
IF($M105="PER-M",
    IFERROR(
        SUMIFS('Upah Tenaga Ahli'!$E:$E,
               'Upah Tenaga Ahli'!$A:$A,"PER-M",
               'Upah Tenaga Ahli'!$B:$B,$G105
        ) * $J105 * $K105,
    0),
0)))</f>
        <v>1531000</v>
      </c>
      <c r="R105" t="s">
        <v>20</v>
      </c>
      <c r="S105" t="s">
        <v>24</v>
      </c>
      <c r="T105">
        <f>IF($M105="PER-M2",
   ($N105 * $J105 * $K105)
   + IFERROR(VLOOKUP($R105,Finishing!A:B,2,FALSE),0)
   + IFERROR(VLOOKUP($S105,Kerumitan!A:B,2,FALSE),0),
IF($M105="PER-LUBANG",
   ($P105 * $L105 * $K105)
   + IFERROR(VLOOKUP($R105,Finishing!A:B,2,FALSE),0)
   + IFERROR(VLOOKUP($S105,Kerumitan!A:B,2,FALSE),0),
IF($M105="PER-M",
   ($O105 * $J105 * $K105)
   + IFERROR(VLOOKUP($R105,Finishing!A:B,2,FALSE),0)
   + IFERROR(VLOOKUP($S105,Kerumitan!A:B,2,FALSE),0),
0)))</f>
        <v>7905000</v>
      </c>
    </row>
    <row r="106" spans="1:20" x14ac:dyDescent="0.45">
      <c r="A106" t="s">
        <v>190</v>
      </c>
      <c r="B106" s="5">
        <v>44533</v>
      </c>
      <c r="C106">
        <f t="shared" si="1"/>
        <v>2021</v>
      </c>
      <c r="D106" t="s">
        <v>71</v>
      </c>
      <c r="E106" t="s">
        <v>44</v>
      </c>
      <c r="F106" t="s">
        <v>625</v>
      </c>
      <c r="G106" t="s">
        <v>14</v>
      </c>
      <c r="H106" t="s">
        <v>615</v>
      </c>
      <c r="I106">
        <v>1.2</v>
      </c>
      <c r="J106">
        <v>5.96</v>
      </c>
      <c r="K106">
        <v>3</v>
      </c>
      <c r="L106">
        <v>0</v>
      </c>
      <c r="M106" t="str" cm="1">
        <f t="array" ref="M106">_xlfn.IFS(
   OR($F106="Pagar", $F106="Pintu Gerbang", $F106="Pintu Handerson", $F106="Kanopi"), "PER-M2",
   $F106="Teralis", "PER-LUBANG",
   OR($F106="Railing", $F106="Railing/Balkon"), "PER-M",
   TRUE, ""
)</f>
        <v>PER-M</v>
      </c>
      <c r="N106" cm="1">
        <f t="array" ref="N106">IF($M106="PER-M2",
  IFERROR(
     _xlfn.IFS(
        $G106="Hollow",
            INDEX('Referensi Harga'!$C:$C,
                  MATCH($F106&amp;$C106,'Referensi Harga'!$A:$A&amp;'Referensi Harga'!$B:$B,0)),
        $G106="Hollow Stainless",
            INDEX('Referensi Harga'!$D:$D,
                  MATCH($F106&amp;$C106,'Referensi Harga'!$A:$A&amp;'Referensi Harga'!$B:$B,0)),
        $G106="Pipa Stainless",
            INDEX('Referensi Harga'!$E:$E,
                  MATCH($F106&amp;$C106,'Referensi Harga'!$A:$A&amp;'Referensi Harga'!$B:$B,0))
     ),0)
  + IFERROR(VLOOKUP($H106,'Profile Size'!$A:$B,2,FALSE),0)
  + IFERROR(VLOOKUP($I106,'Ketebalan Material'!$A:$B,2,FALSE),0),
0)</f>
        <v>0</v>
      </c>
      <c r="O106">
        <f>IF($M106="PER-M",
  IFERROR(
    IF($G106="Hollow",
       INDEX('Referensi Harga'!$C:$C, MATCH($F106 &amp; "|" &amp; $C106, 'Referensi Harga'!$F:$F, 0)),
    IF($G106="Hollow Stainless",
       INDEX('Referensi Harga'!$D:$D, MATCH($F106 &amp; "|" &amp; $C106, 'Referensi Harga'!$F:$F, 0)),
       INDEX('Referensi Harga'!$E:$E, MATCH($F106 &amp; "|" &amp; $C106, 'Referensi Harga'!$F:$F, 0))
    ))
    + IFERROR(VLOOKUP($H106, 'Profile Size'!$A:$B, 2, FALSE), 0)
    + IFERROR(VLOOKUP($I106, 'Ketebalan Material'!$A:$B, 2, FALSE), 0), 0),
0)</f>
        <v>1100000</v>
      </c>
      <c r="P106" cm="1">
        <f t="array" ref="P106">IF($M106="PER-LUBANG",
  IFERROR(
     _xlfn.IFS(
        $G106="Hollow",
            INDEX('Referensi Harga'!$C:$C,
                  MATCH($F106&amp;$C106,'Referensi Harga'!$A:$A&amp;'Referensi Harga'!$B:$B,0)),
        $G106="Hollow Stainless",
            INDEX('Referensi Harga'!$D:$D,
                  MATCH($F106&amp;$C106,'Referensi Harga'!$A:$A&amp;'Referensi Harga'!$B:$B,0)),
        $G106="Pipa Stainless",
            INDEX('Referensi Harga'!$E:$E,
                  MATCH($F106&amp;$C106,'Referensi Harga'!$A:$A&amp;'Referensi Harga'!$B:$B,0))
     ),0)
  + IFERROR(VLOOKUP($H106,'Profile Size'!$A:$B,2,FALSE),0)
  + IFERROR(VLOOKUP($I106,'Ketebalan Material'!$A:$B,2,FALSE),0),
0)</f>
        <v>0</v>
      </c>
      <c r="Q106">
        <f>IF($M106="PER-M2",
    IFERROR(
        SUMIFS('Upah Tenaga Ahli'!$C:$C,
               'Upah Tenaga Ahli'!$A:$A,"PER-M2",
               'Upah Tenaga Ahli'!$B:$B,$G106
        ) * $J106 * $K106,
    0),
IF($M106="PER-LUBANG",
    IFERROR(
        SUMIFS('Upah Tenaga Ahli'!$D:$D,
               'Upah Tenaga Ahli'!$A:$A,"PER-LUBANG",
               'Upah Tenaga Ahli'!$B:$B,$G106
        ) * $L106 * $K106,
    0),
IF($M106="PER-M",
    IFERROR(
        SUMIFS('Upah Tenaga Ahli'!$E:$E,
               'Upah Tenaga Ahli'!$A:$A,"PER-M",
               'Upah Tenaga Ahli'!$B:$B,$G106
        ) * $J106 * $K106,
    0),
0)))</f>
        <v>3576000</v>
      </c>
      <c r="R106" t="s">
        <v>617</v>
      </c>
      <c r="S106" t="s">
        <v>24</v>
      </c>
      <c r="T106">
        <f>IF($M106="PER-M2",
   ($N106 * $J106 * $K106)
   + IFERROR(VLOOKUP($R106,Finishing!A:B,2,FALSE),0)
   + IFERROR(VLOOKUP($S106,Kerumitan!A:B,2,FALSE),0),
IF($M106="PER-LUBANG",
   ($P106 * $L106 * $K106)
   + IFERROR(VLOOKUP($R106,Finishing!A:B,2,FALSE),0)
   + IFERROR(VLOOKUP($S106,Kerumitan!A:B,2,FALSE),0),
IF($M106="PER-M",
   ($O106 * $J106 * $K106)
   + IFERROR(VLOOKUP($R106,Finishing!A:B,2,FALSE),0)
   + IFERROR(VLOOKUP($S106,Kerumitan!A:B,2,FALSE),0),
0)))</f>
        <v>19768000</v>
      </c>
    </row>
    <row r="107" spans="1:20" x14ac:dyDescent="0.45">
      <c r="A107" t="s">
        <v>191</v>
      </c>
      <c r="B107" s="5">
        <v>43825</v>
      </c>
      <c r="C107">
        <f t="shared" si="1"/>
        <v>2019</v>
      </c>
      <c r="D107" t="s">
        <v>65</v>
      </c>
      <c r="E107" t="s">
        <v>28</v>
      </c>
      <c r="F107" t="s">
        <v>8</v>
      </c>
      <c r="G107" t="s">
        <v>15</v>
      </c>
      <c r="H107" t="s">
        <v>612</v>
      </c>
      <c r="I107">
        <v>1.2</v>
      </c>
      <c r="J107">
        <v>0</v>
      </c>
      <c r="K107">
        <v>1</v>
      </c>
      <c r="L107">
        <v>17</v>
      </c>
      <c r="M107" t="str" cm="1">
        <f t="array" ref="M107">_xlfn.IFS(
   OR($F107="Pagar", $F107="Pintu Gerbang", $F107="Pintu Handerson", $F107="Kanopi"), "PER-M2",
   $F107="Teralis", "PER-LUBANG",
   OR($F107="Railing", $F107="Railing/Balkon"), "PER-M",
   TRUE, ""
)</f>
        <v>PER-LUBANG</v>
      </c>
      <c r="N107" cm="1">
        <f t="array" ref="N107">IF($M107="PER-M2",
  IFERROR(
     _xlfn.IFS(
        $G107="Hollow",
            INDEX('Referensi Harga'!$C:$C,
                  MATCH($F107&amp;$C107,'Referensi Harga'!$A:$A&amp;'Referensi Harga'!$B:$B,0)),
        $G107="Hollow Stainless",
            INDEX('Referensi Harga'!$D:$D,
                  MATCH($F107&amp;$C107,'Referensi Harga'!$A:$A&amp;'Referensi Harga'!$B:$B,0)),
        $G107="Pipa Stainless",
            INDEX('Referensi Harga'!$E:$E,
                  MATCH($F107&amp;$C107,'Referensi Harga'!$A:$A&amp;'Referensi Harga'!$B:$B,0))
     ),0)
  + IFERROR(VLOOKUP($H107,'Profile Size'!$A:$B,2,FALSE),0)
  + IFERROR(VLOOKUP($I107,'Ketebalan Material'!$A:$B,2,FALSE),0),
0)</f>
        <v>0</v>
      </c>
      <c r="O107">
        <f>IF($M107="PER-M",
  IFERROR(
    IF($G107="Hollow",
       INDEX('Referensi Harga'!$C:$C, MATCH($F107 &amp; "|" &amp; $C107, 'Referensi Harga'!$F:$F, 0)),
    IF($G107="Hollow Stainless",
       INDEX('Referensi Harga'!$D:$D, MATCH($F107 &amp; "|" &amp; $C107, 'Referensi Harga'!$F:$F, 0)),
       INDEX('Referensi Harga'!$E:$E, MATCH($F107 &amp; "|" &amp; $C107, 'Referensi Harga'!$F:$F, 0))
    ))
    + IFERROR(VLOOKUP($H107, 'Profile Size'!$A:$B, 2, FALSE), 0)
    + IFERROR(VLOOKUP($I107, 'Ketebalan Material'!$A:$B, 2, FALSE), 0), 0),
0)</f>
        <v>0</v>
      </c>
      <c r="P107" cm="1">
        <f t="array" ref="P107">IF($M107="PER-LUBANG",
  IFERROR(
     _xlfn.IFS(
        $G107="Hollow",
            INDEX('Referensi Harga'!$C:$C,
                  MATCH($F107&amp;$C107,'Referensi Harga'!$A:$A&amp;'Referensi Harga'!$B:$B,0)),
        $G107="Hollow Stainless",
            INDEX('Referensi Harga'!$D:$D,
                  MATCH($F107&amp;$C107,'Referensi Harga'!$A:$A&amp;'Referensi Harga'!$B:$B,0)),
        $G107="Pipa Stainless",
            INDEX('Referensi Harga'!$E:$E,
                  MATCH($F107&amp;$C107,'Referensi Harga'!$A:$A&amp;'Referensi Harga'!$B:$B,0))
     ),0)
  + IFERROR(VLOOKUP($H107,'Profile Size'!$A:$B,2,FALSE),0)
  + IFERROR(VLOOKUP($I107,'Ketebalan Material'!$A:$B,2,FALSE),0),
0)</f>
        <v>750000</v>
      </c>
      <c r="Q107">
        <f>IF($M107="PER-M2",
    IFERROR(
        SUMIFS('Upah Tenaga Ahli'!$C:$C,
               'Upah Tenaga Ahli'!$A:$A,"PER-M2",
               'Upah Tenaga Ahli'!$B:$B,$G107
        ) * $J107 * $K107,
    0),
IF($M107="PER-LUBANG",
    IFERROR(
        SUMIFS('Upah Tenaga Ahli'!$D:$D,
               'Upah Tenaga Ahli'!$A:$A,"PER-LUBANG",
               'Upah Tenaga Ahli'!$B:$B,$G107
        ) * $L107 * $K107,
    0),
IF($M107="PER-M",
    IFERROR(
        SUMIFS('Upah Tenaga Ahli'!$E:$E,
               'Upah Tenaga Ahli'!$A:$A,"PER-M",
               'Upah Tenaga Ahli'!$B:$B,$G107
        ) * $J107 * $K107,
    0),
0)))</f>
        <v>2550000</v>
      </c>
      <c r="R107" t="s">
        <v>617</v>
      </c>
      <c r="S107" t="s">
        <v>24</v>
      </c>
      <c r="T107">
        <f>IF($M107="PER-M2",
   ($N107 * $J107 * $K107)
   + IFERROR(VLOOKUP($R107,Finishing!A:B,2,FALSE),0)
   + IFERROR(VLOOKUP($S107,Kerumitan!A:B,2,FALSE),0),
IF($M107="PER-LUBANG",
   ($P107 * $L107 * $K107)
   + IFERROR(VLOOKUP($R107,Finishing!A:B,2,FALSE),0)
   + IFERROR(VLOOKUP($S107,Kerumitan!A:B,2,FALSE),0),
IF($M107="PER-M",
   ($O107 * $J107 * $K107)
   + IFERROR(VLOOKUP($R107,Finishing!A:B,2,FALSE),0)
   + IFERROR(VLOOKUP($S107,Kerumitan!A:B,2,FALSE),0),
0)))</f>
        <v>12850000</v>
      </c>
    </row>
    <row r="108" spans="1:20" x14ac:dyDescent="0.45">
      <c r="A108" t="s">
        <v>192</v>
      </c>
      <c r="B108" s="5">
        <v>43979</v>
      </c>
      <c r="C108">
        <f t="shared" si="1"/>
        <v>2020</v>
      </c>
      <c r="D108" t="s">
        <v>193</v>
      </c>
      <c r="E108" t="s">
        <v>121</v>
      </c>
      <c r="F108" t="s">
        <v>6</v>
      </c>
      <c r="G108" t="s">
        <v>13</v>
      </c>
      <c r="H108" t="s">
        <v>46</v>
      </c>
      <c r="I108">
        <v>1.2</v>
      </c>
      <c r="J108">
        <v>21.98</v>
      </c>
      <c r="K108">
        <v>1</v>
      </c>
      <c r="L108">
        <v>0</v>
      </c>
      <c r="M108" t="str" cm="1">
        <f t="array" ref="M108">_xlfn.IFS(
   OR($F108="Pagar", $F108="Pintu Gerbang", $F108="Pintu Handerson", $F108="Kanopi"), "PER-M2",
   $F108="Teralis", "PER-LUBANG",
   OR($F108="Railing", $F108="Railing/Balkon"), "PER-M",
   TRUE, ""
)</f>
        <v>PER-M2</v>
      </c>
      <c r="N108" cm="1">
        <f t="array" ref="N108">IF($M108="PER-M2",
  IFERROR(
     _xlfn.IFS(
        $G108="Hollow",
            INDEX('Referensi Harga'!$C:$C,
                  MATCH($F108&amp;$C108,'Referensi Harga'!$A:$A&amp;'Referensi Harga'!$B:$B,0)),
        $G108="Hollow Stainless",
            INDEX('Referensi Harga'!$D:$D,
                  MATCH($F108&amp;$C108,'Referensi Harga'!$A:$A&amp;'Referensi Harga'!$B:$B,0)),
        $G108="Pipa Stainless",
            INDEX('Referensi Harga'!$E:$E,
                  MATCH($F108&amp;$C108,'Referensi Harga'!$A:$A&amp;'Referensi Harga'!$B:$B,0))
     ),0)
  + IFERROR(VLOOKUP($H108,'Profile Size'!$A:$B,2,FALSE),0)
  + IFERROR(VLOOKUP($I108,'Ketebalan Material'!$A:$B,2,FALSE),0),
0)</f>
        <v>500000</v>
      </c>
      <c r="O108">
        <f>IF($M108="PER-M",
  IFERROR(
    IF($G108="Hollow",
       INDEX('Referensi Harga'!$C:$C, MATCH($F108 &amp; "|" &amp; $C108, 'Referensi Harga'!$F:$F, 0)),
    IF($G108="Hollow Stainless",
       INDEX('Referensi Harga'!$D:$D, MATCH($F108 &amp; "|" &amp; $C108, 'Referensi Harga'!$F:$F, 0)),
       INDEX('Referensi Harga'!$E:$E, MATCH($F108 &amp; "|" &amp; $C108, 'Referensi Harga'!$F:$F, 0))
    ))
    + IFERROR(VLOOKUP($H108, 'Profile Size'!$A:$B, 2, FALSE), 0)
    + IFERROR(VLOOKUP($I108, 'Ketebalan Material'!$A:$B, 2, FALSE), 0), 0),
0)</f>
        <v>0</v>
      </c>
      <c r="P108" cm="1">
        <f t="array" ref="P108">IF($M108="PER-LUBANG",
  IFERROR(
     _xlfn.IFS(
        $G108="Hollow",
            INDEX('Referensi Harga'!$C:$C,
                  MATCH($F108&amp;$C108,'Referensi Harga'!$A:$A&amp;'Referensi Harga'!$B:$B,0)),
        $G108="Hollow Stainless",
            INDEX('Referensi Harga'!$D:$D,
                  MATCH($F108&amp;$C108,'Referensi Harga'!$A:$A&amp;'Referensi Harga'!$B:$B,0)),
        $G108="Pipa Stainless",
            INDEX('Referensi Harga'!$E:$E,
                  MATCH($F108&amp;$C108,'Referensi Harga'!$A:$A&amp;'Referensi Harga'!$B:$B,0))
     ),0)
  + IFERROR(VLOOKUP($H108,'Profile Size'!$A:$B,2,FALSE),0)
  + IFERROR(VLOOKUP($I108,'Ketebalan Material'!$A:$B,2,FALSE),0),
0)</f>
        <v>0</v>
      </c>
      <c r="Q108">
        <f>IF($M108="PER-M2",
    IFERROR(
        SUMIFS('Upah Tenaga Ahli'!$C:$C,
               'Upah Tenaga Ahli'!$A:$A,"PER-M2",
               'Upah Tenaga Ahli'!$B:$B,$G108
        ) * $J108 * $K108,
    0),
IF($M108="PER-LUBANG",
    IFERROR(
        SUMIFS('Upah Tenaga Ahli'!$D:$D,
               'Upah Tenaga Ahli'!$A:$A,"PER-LUBANG",
               'Upah Tenaga Ahli'!$B:$B,$G108
        ) * $L108 * $K108,
    0),
IF($M108="PER-M",
    IFERROR(
        SUMIFS('Upah Tenaga Ahli'!$E:$E,
               'Upah Tenaga Ahli'!$A:$A,"PER-M",
               'Upah Tenaga Ahli'!$B:$B,$G108
        ) * $J108 * $K108,
    0),
0)))</f>
        <v>2198000</v>
      </c>
      <c r="R108" t="s">
        <v>19</v>
      </c>
      <c r="S108" t="s">
        <v>23</v>
      </c>
      <c r="T108">
        <f>IF($M108="PER-M2",
   ($N108 * $J108 * $K108)
   + IFERROR(VLOOKUP($R108,Finishing!A:B,2,FALSE),0)
   + IFERROR(VLOOKUP($S108,Kerumitan!A:B,2,FALSE),0),
IF($M108="PER-LUBANG",
   ($P108 * $L108 * $K108)
   + IFERROR(VLOOKUP($R108,Finishing!A:B,2,FALSE),0)
   + IFERROR(VLOOKUP($S108,Kerumitan!A:B,2,FALSE),0),
IF($M108="PER-M",
   ($O108 * $J108 * $K108)
   + IFERROR(VLOOKUP($R108,Finishing!A:B,2,FALSE),0)
   + IFERROR(VLOOKUP($S108,Kerumitan!A:B,2,FALSE),0),
0)))</f>
        <v>11040000</v>
      </c>
    </row>
    <row r="109" spans="1:20" x14ac:dyDescent="0.45">
      <c r="A109" t="s">
        <v>194</v>
      </c>
      <c r="B109" s="5">
        <v>43623</v>
      </c>
      <c r="C109">
        <f t="shared" si="1"/>
        <v>2019</v>
      </c>
      <c r="D109" t="s">
        <v>110</v>
      </c>
      <c r="E109" t="s">
        <v>69</v>
      </c>
      <c r="F109" t="s">
        <v>10</v>
      </c>
      <c r="G109" t="s">
        <v>13</v>
      </c>
      <c r="H109" t="s">
        <v>46</v>
      </c>
      <c r="I109">
        <v>0.8</v>
      </c>
      <c r="J109">
        <v>5.8</v>
      </c>
      <c r="K109">
        <v>1</v>
      </c>
      <c r="L109">
        <v>0</v>
      </c>
      <c r="M109" t="str" cm="1">
        <f t="array" ref="M109">_xlfn.IFS(
   OR($F109="Pagar", $F109="Pintu Gerbang", $F109="Pintu Handerson", $F109="Kanopi"), "PER-M2",
   $F109="Teralis", "PER-LUBANG",
   OR($F109="Railing", $F109="Railing/Balkon"), "PER-M",
   TRUE, ""
)</f>
        <v>PER-M2</v>
      </c>
      <c r="N109" cm="1">
        <f t="array" ref="N109">IF($M109="PER-M2",
  IFERROR(
     _xlfn.IFS(
        $G109="Hollow",
            INDEX('Referensi Harga'!$C:$C,
                  MATCH($F109&amp;$C109,'Referensi Harga'!$A:$A&amp;'Referensi Harga'!$B:$B,0)),
        $G109="Hollow Stainless",
            INDEX('Referensi Harga'!$D:$D,
                  MATCH($F109&amp;$C109,'Referensi Harga'!$A:$A&amp;'Referensi Harga'!$B:$B,0)),
        $G109="Pipa Stainless",
            INDEX('Referensi Harga'!$E:$E,
                  MATCH($F109&amp;$C109,'Referensi Harga'!$A:$A&amp;'Referensi Harga'!$B:$B,0))
     ),0)
  + IFERROR(VLOOKUP($H109,'Profile Size'!$A:$B,2,FALSE),0)
  + IFERROR(VLOOKUP($I109,'Ketebalan Material'!$A:$B,2,FALSE),0),
0)</f>
        <v>800000</v>
      </c>
      <c r="O109">
        <f>IF($M109="PER-M",
  IFERROR(
    IF($G109="Hollow",
       INDEX('Referensi Harga'!$C:$C, MATCH($F109 &amp; "|" &amp; $C109, 'Referensi Harga'!$F:$F, 0)),
    IF($G109="Hollow Stainless",
       INDEX('Referensi Harga'!$D:$D, MATCH($F109 &amp; "|" &amp; $C109, 'Referensi Harga'!$F:$F, 0)),
       INDEX('Referensi Harga'!$E:$E, MATCH($F109 &amp; "|" &amp; $C109, 'Referensi Harga'!$F:$F, 0))
    ))
    + IFERROR(VLOOKUP($H109, 'Profile Size'!$A:$B, 2, FALSE), 0)
    + IFERROR(VLOOKUP($I109, 'Ketebalan Material'!$A:$B, 2, FALSE), 0), 0),
0)</f>
        <v>0</v>
      </c>
      <c r="P109" cm="1">
        <f t="array" ref="P109">IF($M109="PER-LUBANG",
  IFERROR(
     _xlfn.IFS(
        $G109="Hollow",
            INDEX('Referensi Harga'!$C:$C,
                  MATCH($F109&amp;$C109,'Referensi Harga'!$A:$A&amp;'Referensi Harga'!$B:$B,0)),
        $G109="Hollow Stainless",
            INDEX('Referensi Harga'!$D:$D,
                  MATCH($F109&amp;$C109,'Referensi Harga'!$A:$A&amp;'Referensi Harga'!$B:$B,0)),
        $G109="Pipa Stainless",
            INDEX('Referensi Harga'!$E:$E,
                  MATCH($F109&amp;$C109,'Referensi Harga'!$A:$A&amp;'Referensi Harga'!$B:$B,0))
     ),0)
  + IFERROR(VLOOKUP($H109,'Profile Size'!$A:$B,2,FALSE),0)
  + IFERROR(VLOOKUP($I109,'Ketebalan Material'!$A:$B,2,FALSE),0),
0)</f>
        <v>0</v>
      </c>
      <c r="Q109">
        <f>IF($M109="PER-M2",
    IFERROR(
        SUMIFS('Upah Tenaga Ahli'!$C:$C,
               'Upah Tenaga Ahli'!$A:$A,"PER-M2",
               'Upah Tenaga Ahli'!$B:$B,$G109
        ) * $J109 * $K109,
    0),
IF($M109="PER-LUBANG",
    IFERROR(
        SUMIFS('Upah Tenaga Ahli'!$D:$D,
               'Upah Tenaga Ahli'!$A:$A,"PER-LUBANG",
               'Upah Tenaga Ahli'!$B:$B,$G109
        ) * $L109 * $K109,
    0),
IF($M109="PER-M",
    IFERROR(
        SUMIFS('Upah Tenaga Ahli'!$E:$E,
               'Upah Tenaga Ahli'!$A:$A,"PER-M",
               'Upah Tenaga Ahli'!$B:$B,$G109
        ) * $J109 * $K109,
    0),
0)))</f>
        <v>580000</v>
      </c>
      <c r="R109" t="s">
        <v>19</v>
      </c>
      <c r="S109" t="s">
        <v>23</v>
      </c>
      <c r="T109">
        <f>IF($M109="PER-M2",
   ($N109 * $J109 * $K109)
   + IFERROR(VLOOKUP($R109,Finishing!A:B,2,FALSE),0)
   + IFERROR(VLOOKUP($S109,Kerumitan!A:B,2,FALSE),0),
IF($M109="PER-LUBANG",
   ($P109 * $L109 * $K109)
   + IFERROR(VLOOKUP($R109,Finishing!A:B,2,FALSE),0)
   + IFERROR(VLOOKUP($S109,Kerumitan!A:B,2,FALSE),0),
IF($M109="PER-M",
   ($O109 * $J109 * $K109)
   + IFERROR(VLOOKUP($R109,Finishing!A:B,2,FALSE),0)
   + IFERROR(VLOOKUP($S109,Kerumitan!A:B,2,FALSE),0),
0)))</f>
        <v>4690000</v>
      </c>
    </row>
    <row r="110" spans="1:20" x14ac:dyDescent="0.45">
      <c r="A110" t="s">
        <v>195</v>
      </c>
      <c r="B110" s="5">
        <v>45973</v>
      </c>
      <c r="C110">
        <f t="shared" si="1"/>
        <v>2025</v>
      </c>
      <c r="D110" t="s">
        <v>83</v>
      </c>
      <c r="E110" t="s">
        <v>69</v>
      </c>
      <c r="F110" t="s">
        <v>10</v>
      </c>
      <c r="G110" t="s">
        <v>15</v>
      </c>
      <c r="H110" t="s">
        <v>46</v>
      </c>
      <c r="I110">
        <v>1.2</v>
      </c>
      <c r="J110">
        <v>3.28</v>
      </c>
      <c r="K110">
        <v>1</v>
      </c>
      <c r="L110">
        <v>0</v>
      </c>
      <c r="M110" t="str" cm="1">
        <f t="array" ref="M110">_xlfn.IFS(
   OR($F110="Pagar", $F110="Pintu Gerbang", $F110="Pintu Handerson", $F110="Kanopi"), "PER-M2",
   $F110="Teralis", "PER-LUBANG",
   OR($F110="Railing", $F110="Railing/Balkon"), "PER-M",
   TRUE, ""
)</f>
        <v>PER-M2</v>
      </c>
      <c r="N110" cm="1">
        <f t="array" ref="N110">IF($M110="PER-M2",
  IFERROR(
     _xlfn.IFS(
        $G110="Hollow",
            INDEX('Referensi Harga'!$C:$C,
                  MATCH($F110&amp;$C110,'Referensi Harga'!$A:$A&amp;'Referensi Harga'!$B:$B,0)),
        $G110="Hollow Stainless",
            INDEX('Referensi Harga'!$D:$D,
                  MATCH($F110&amp;$C110,'Referensi Harga'!$A:$A&amp;'Referensi Harga'!$B:$B,0)),
        $G110="Pipa Stainless",
            INDEX('Referensi Harga'!$E:$E,
                  MATCH($F110&amp;$C110,'Referensi Harga'!$A:$A&amp;'Referensi Harga'!$B:$B,0))
     ),0)
  + IFERROR(VLOOKUP($H110,'Profile Size'!$A:$B,2,FALSE),0)
  + IFERROR(VLOOKUP($I110,'Ketebalan Material'!$A:$B,2,FALSE),0),
0)</f>
        <v>1850000</v>
      </c>
      <c r="O110">
        <f>IF($M110="PER-M",
  IFERROR(
    IF($G110="Hollow",
       INDEX('Referensi Harga'!$C:$C, MATCH($F110 &amp; "|" &amp; $C110, 'Referensi Harga'!$F:$F, 0)),
    IF($G110="Hollow Stainless",
       INDEX('Referensi Harga'!$D:$D, MATCH($F110 &amp; "|" &amp; $C110, 'Referensi Harga'!$F:$F, 0)),
       INDEX('Referensi Harga'!$E:$E, MATCH($F110 &amp; "|" &amp; $C110, 'Referensi Harga'!$F:$F, 0))
    ))
    + IFERROR(VLOOKUP($H110, 'Profile Size'!$A:$B, 2, FALSE), 0)
    + IFERROR(VLOOKUP($I110, 'Ketebalan Material'!$A:$B, 2, FALSE), 0), 0),
0)</f>
        <v>0</v>
      </c>
      <c r="P110" cm="1">
        <f t="array" ref="P110">IF($M110="PER-LUBANG",
  IFERROR(
     _xlfn.IFS(
        $G110="Hollow",
            INDEX('Referensi Harga'!$C:$C,
                  MATCH($F110&amp;$C110,'Referensi Harga'!$A:$A&amp;'Referensi Harga'!$B:$B,0)),
        $G110="Hollow Stainless",
            INDEX('Referensi Harga'!$D:$D,
                  MATCH($F110&amp;$C110,'Referensi Harga'!$A:$A&amp;'Referensi Harga'!$B:$B,0)),
        $G110="Pipa Stainless",
            INDEX('Referensi Harga'!$E:$E,
                  MATCH($F110&amp;$C110,'Referensi Harga'!$A:$A&amp;'Referensi Harga'!$B:$B,0))
     ),0)
  + IFERROR(VLOOKUP($H110,'Profile Size'!$A:$B,2,FALSE),0)
  + IFERROR(VLOOKUP($I110,'Ketebalan Material'!$A:$B,2,FALSE),0),
0)</f>
        <v>0</v>
      </c>
      <c r="Q110">
        <f>IF($M110="PER-M2",
    IFERROR(
        SUMIFS('Upah Tenaga Ahli'!$C:$C,
               'Upah Tenaga Ahli'!$A:$A,"PER-M2",
               'Upah Tenaga Ahli'!$B:$B,$G110
        ) * $J110 * $K110,
    0),
IF($M110="PER-LUBANG",
    IFERROR(
        SUMIFS('Upah Tenaga Ahli'!$D:$D,
               'Upah Tenaga Ahli'!$A:$A,"PER-LUBANG",
               'Upah Tenaga Ahli'!$B:$B,$G110
        ) * $L110 * $K110,
    0),
IF($M110="PER-M",
    IFERROR(
        SUMIFS('Upah Tenaga Ahli'!$E:$E,
               'Upah Tenaga Ahli'!$A:$A,"PER-M",
               'Upah Tenaga Ahli'!$B:$B,$G110
        ) * $J110 * $K110,
    0),
0)))</f>
        <v>491999.99999999994</v>
      </c>
      <c r="R110" t="s">
        <v>617</v>
      </c>
      <c r="S110" t="s">
        <v>24</v>
      </c>
      <c r="T110">
        <f>IF($M110="PER-M2",
   ($N110 * $J110 * $K110)
   + IFERROR(VLOOKUP($R110,Finishing!A:B,2,FALSE),0)
   + IFERROR(VLOOKUP($S110,Kerumitan!A:B,2,FALSE),0),
IF($M110="PER-LUBANG",
   ($P110 * $L110 * $K110)
   + IFERROR(VLOOKUP($R110,Finishing!A:B,2,FALSE),0)
   + IFERROR(VLOOKUP($S110,Kerumitan!A:B,2,FALSE),0),
IF($M110="PER-M",
   ($O110 * $J110 * $K110)
   + IFERROR(VLOOKUP($R110,Finishing!A:B,2,FALSE),0)
   + IFERROR(VLOOKUP($S110,Kerumitan!A:B,2,FALSE),0),
0)))</f>
        <v>6168000</v>
      </c>
    </row>
    <row r="111" spans="1:20" x14ac:dyDescent="0.45">
      <c r="A111" t="s">
        <v>196</v>
      </c>
      <c r="B111" s="5">
        <v>45740</v>
      </c>
      <c r="C111">
        <f t="shared" si="1"/>
        <v>2025</v>
      </c>
      <c r="D111" t="s">
        <v>193</v>
      </c>
      <c r="E111" t="s">
        <v>28</v>
      </c>
      <c r="F111" t="s">
        <v>625</v>
      </c>
      <c r="G111" t="s">
        <v>13</v>
      </c>
      <c r="H111" t="s">
        <v>46</v>
      </c>
      <c r="I111">
        <v>0.8</v>
      </c>
      <c r="J111">
        <v>13.67</v>
      </c>
      <c r="K111">
        <v>3</v>
      </c>
      <c r="L111">
        <v>0</v>
      </c>
      <c r="M111" t="str" cm="1">
        <f t="array" ref="M111">_xlfn.IFS(
   OR($F111="Pagar", $F111="Pintu Gerbang", $F111="Pintu Handerson", $F111="Kanopi"), "PER-M2",
   $F111="Teralis", "PER-LUBANG",
   OR($F111="Railing", $F111="Railing/Balkon"), "PER-M",
   TRUE, ""
)</f>
        <v>PER-M</v>
      </c>
      <c r="N111" cm="1">
        <f t="array" ref="N111">IF($M111="PER-M2",
  IFERROR(
     _xlfn.IFS(
        $G111="Hollow",
            INDEX('Referensi Harga'!$C:$C,
                  MATCH($F111&amp;$C111,'Referensi Harga'!$A:$A&amp;'Referensi Harga'!$B:$B,0)),
        $G111="Hollow Stainless",
            INDEX('Referensi Harga'!$D:$D,
                  MATCH($F111&amp;$C111,'Referensi Harga'!$A:$A&amp;'Referensi Harga'!$B:$B,0)),
        $G111="Pipa Stainless",
            INDEX('Referensi Harga'!$E:$E,
                  MATCH($F111&amp;$C111,'Referensi Harga'!$A:$A&amp;'Referensi Harga'!$B:$B,0))
     ),0)
  + IFERROR(VLOOKUP($H111,'Profile Size'!$A:$B,2,FALSE),0)
  + IFERROR(VLOOKUP($I111,'Ketebalan Material'!$A:$B,2,FALSE),0),
0)</f>
        <v>0</v>
      </c>
      <c r="O111">
        <f>IF($M111="PER-M",
  IFERROR(
    IF($G111="Hollow",
       INDEX('Referensi Harga'!$C:$C, MATCH($F111 &amp; "|" &amp; $C111, 'Referensi Harga'!$F:$F, 0)),
    IF($G111="Hollow Stainless",
       INDEX('Referensi Harga'!$D:$D, MATCH($F111 &amp; "|" &amp; $C111, 'Referensi Harga'!$F:$F, 0)),
       INDEX('Referensi Harga'!$E:$E, MATCH($F111 &amp; "|" &amp; $C111, 'Referensi Harga'!$F:$F, 0))
    ))
    + IFERROR(VLOOKUP($H111, 'Profile Size'!$A:$B, 2, FALSE), 0)
    + IFERROR(VLOOKUP($I111, 'Ketebalan Material'!$A:$B, 2, FALSE), 0), 0),
0)</f>
        <v>550000</v>
      </c>
      <c r="P111" cm="1">
        <f t="array" ref="P111">IF($M111="PER-LUBANG",
  IFERROR(
     _xlfn.IFS(
        $G111="Hollow",
            INDEX('Referensi Harga'!$C:$C,
                  MATCH($F111&amp;$C111,'Referensi Harga'!$A:$A&amp;'Referensi Harga'!$B:$B,0)),
        $G111="Hollow Stainless",
            INDEX('Referensi Harga'!$D:$D,
                  MATCH($F111&amp;$C111,'Referensi Harga'!$A:$A&amp;'Referensi Harga'!$B:$B,0)),
        $G111="Pipa Stainless",
            INDEX('Referensi Harga'!$E:$E,
                  MATCH($F111&amp;$C111,'Referensi Harga'!$A:$A&amp;'Referensi Harga'!$B:$B,0))
     ),0)
  + IFERROR(VLOOKUP($H111,'Profile Size'!$A:$B,2,FALSE),0)
  + IFERROR(VLOOKUP($I111,'Ketebalan Material'!$A:$B,2,FALSE),0),
0)</f>
        <v>0</v>
      </c>
      <c r="Q111">
        <f>IF($M111="PER-M2",
    IFERROR(
        SUMIFS('Upah Tenaga Ahli'!$C:$C,
               'Upah Tenaga Ahli'!$A:$A,"PER-M2",
               'Upah Tenaga Ahli'!$B:$B,$G111
        ) * $J111 * $K111,
    0),
IF($M111="PER-LUBANG",
    IFERROR(
        SUMIFS('Upah Tenaga Ahli'!$D:$D,
               'Upah Tenaga Ahli'!$A:$A,"PER-LUBANG",
               'Upah Tenaga Ahli'!$B:$B,$G111
        ) * $L111 * $K111,
    0),
IF($M111="PER-M",
    IFERROR(
        SUMIFS('Upah Tenaga Ahli'!$E:$E,
               'Upah Tenaga Ahli'!$A:$A,"PER-M",
               'Upah Tenaga Ahli'!$B:$B,$G111
        ) * $J111 * $K111,
    0),
0)))</f>
        <v>4101000</v>
      </c>
      <c r="R111" t="s">
        <v>19</v>
      </c>
      <c r="S111" t="s">
        <v>23</v>
      </c>
      <c r="T111">
        <f>IF($M111="PER-M2",
   ($N111 * $J111 * $K111)
   + IFERROR(VLOOKUP($R111,Finishing!A:B,2,FALSE),0)
   + IFERROR(VLOOKUP($S111,Kerumitan!A:B,2,FALSE),0),
IF($M111="PER-LUBANG",
   ($P111 * $L111 * $K111)
   + IFERROR(VLOOKUP($R111,Finishing!A:B,2,FALSE),0)
   + IFERROR(VLOOKUP($S111,Kerumitan!A:B,2,FALSE),0),
IF($M111="PER-M",
   ($O111 * $J111 * $K111)
   + IFERROR(VLOOKUP($R111,Finishing!A:B,2,FALSE),0)
   + IFERROR(VLOOKUP($S111,Kerumitan!A:B,2,FALSE),0),
0)))</f>
        <v>22605500</v>
      </c>
    </row>
    <row r="112" spans="1:20" x14ac:dyDescent="0.45">
      <c r="A112" t="s">
        <v>197</v>
      </c>
      <c r="B112" s="5">
        <v>45794</v>
      </c>
      <c r="C112">
        <f t="shared" si="1"/>
        <v>2025</v>
      </c>
      <c r="D112" t="s">
        <v>81</v>
      </c>
      <c r="E112" t="s">
        <v>87</v>
      </c>
      <c r="F112" t="s">
        <v>7</v>
      </c>
      <c r="G112" t="s">
        <v>15</v>
      </c>
      <c r="H112" t="s">
        <v>46</v>
      </c>
      <c r="I112">
        <v>1.2</v>
      </c>
      <c r="J112">
        <v>7.71</v>
      </c>
      <c r="K112">
        <v>1</v>
      </c>
      <c r="L112">
        <v>0</v>
      </c>
      <c r="M112" t="str" cm="1">
        <f t="array" ref="M112">_xlfn.IFS(
   OR($F112="Pagar", $F112="Pintu Gerbang", $F112="Pintu Handerson", $F112="Kanopi"), "PER-M2",
   $F112="Teralis", "PER-LUBANG",
   OR($F112="Railing", $F112="Railing/Balkon"), "PER-M",
   TRUE, ""
)</f>
        <v>PER-M2</v>
      </c>
      <c r="N112" cm="1">
        <f t="array" ref="N112">IF($M112="PER-M2",
  IFERROR(
     _xlfn.IFS(
        $G112="Hollow",
            INDEX('Referensi Harga'!$C:$C,
                  MATCH($F112&amp;$C112,'Referensi Harga'!$A:$A&amp;'Referensi Harga'!$B:$B,0)),
        $G112="Hollow Stainless",
            INDEX('Referensi Harga'!$D:$D,
                  MATCH($F112&amp;$C112,'Referensi Harga'!$A:$A&amp;'Referensi Harga'!$B:$B,0)),
        $G112="Pipa Stainless",
            INDEX('Referensi Harga'!$E:$E,
                  MATCH($F112&amp;$C112,'Referensi Harga'!$A:$A&amp;'Referensi Harga'!$B:$B,0))
     ),0)
  + IFERROR(VLOOKUP($H112,'Profile Size'!$A:$B,2,FALSE),0)
  + IFERROR(VLOOKUP($I112,'Ketebalan Material'!$A:$B,2,FALSE),0),
0)</f>
        <v>1650000</v>
      </c>
      <c r="O112">
        <f>IF($M112="PER-M",
  IFERROR(
    IF($G112="Hollow",
       INDEX('Referensi Harga'!$C:$C, MATCH($F112 &amp; "|" &amp; $C112, 'Referensi Harga'!$F:$F, 0)),
    IF($G112="Hollow Stainless",
       INDEX('Referensi Harga'!$D:$D, MATCH($F112 &amp; "|" &amp; $C112, 'Referensi Harga'!$F:$F, 0)),
       INDEX('Referensi Harga'!$E:$E, MATCH($F112 &amp; "|" &amp; $C112, 'Referensi Harga'!$F:$F, 0))
    ))
    + IFERROR(VLOOKUP($H112, 'Profile Size'!$A:$B, 2, FALSE), 0)
    + IFERROR(VLOOKUP($I112, 'Ketebalan Material'!$A:$B, 2, FALSE), 0), 0),
0)</f>
        <v>0</v>
      </c>
      <c r="P112" cm="1">
        <f t="array" ref="P112">IF($M112="PER-LUBANG",
  IFERROR(
     _xlfn.IFS(
        $G112="Hollow",
            INDEX('Referensi Harga'!$C:$C,
                  MATCH($F112&amp;$C112,'Referensi Harga'!$A:$A&amp;'Referensi Harga'!$B:$B,0)),
        $G112="Hollow Stainless",
            INDEX('Referensi Harga'!$D:$D,
                  MATCH($F112&amp;$C112,'Referensi Harga'!$A:$A&amp;'Referensi Harga'!$B:$B,0)),
        $G112="Pipa Stainless",
            INDEX('Referensi Harga'!$E:$E,
                  MATCH($F112&amp;$C112,'Referensi Harga'!$A:$A&amp;'Referensi Harga'!$B:$B,0))
     ),0)
  + IFERROR(VLOOKUP($H112,'Profile Size'!$A:$B,2,FALSE),0)
  + IFERROR(VLOOKUP($I112,'Ketebalan Material'!$A:$B,2,FALSE),0),
0)</f>
        <v>0</v>
      </c>
      <c r="Q112">
        <f>IF($M112="PER-M2",
    IFERROR(
        SUMIFS('Upah Tenaga Ahli'!$C:$C,
               'Upah Tenaga Ahli'!$A:$A,"PER-M2",
               'Upah Tenaga Ahli'!$B:$B,$G112
        ) * $J112 * $K112,
    0),
IF($M112="PER-LUBANG",
    IFERROR(
        SUMIFS('Upah Tenaga Ahli'!$D:$D,
               'Upah Tenaga Ahli'!$A:$A,"PER-LUBANG",
               'Upah Tenaga Ahli'!$B:$B,$G112
        ) * $L112 * $K112,
    0),
IF($M112="PER-M",
    IFERROR(
        SUMIFS('Upah Tenaga Ahli'!$E:$E,
               'Upah Tenaga Ahli'!$A:$A,"PER-M",
               'Upah Tenaga Ahli'!$B:$B,$G112
        ) * $J112 * $K112,
    0),
0)))</f>
        <v>1156500</v>
      </c>
      <c r="R112" t="s">
        <v>617</v>
      </c>
      <c r="S112" t="s">
        <v>23</v>
      </c>
      <c r="T112">
        <f>IF($M112="PER-M2",
   ($N112 * $J112 * $K112)
   + IFERROR(VLOOKUP($R112,Finishing!A:B,2,FALSE),0)
   + IFERROR(VLOOKUP($S112,Kerumitan!A:B,2,FALSE),0),
IF($M112="PER-LUBANG",
   ($P112 * $L112 * $K112)
   + IFERROR(VLOOKUP($R112,Finishing!A:B,2,FALSE),0)
   + IFERROR(VLOOKUP($S112,Kerumitan!A:B,2,FALSE),0),
IF($M112="PER-M",
   ($O112 * $J112 * $K112)
   + IFERROR(VLOOKUP($R112,Finishing!A:B,2,FALSE),0)
   + IFERROR(VLOOKUP($S112,Kerumitan!A:B,2,FALSE),0),
0)))</f>
        <v>12721500</v>
      </c>
    </row>
    <row r="113" spans="1:20" x14ac:dyDescent="0.45">
      <c r="A113" t="s">
        <v>198</v>
      </c>
      <c r="B113" s="5">
        <v>44440</v>
      </c>
      <c r="C113">
        <f t="shared" si="1"/>
        <v>2021</v>
      </c>
      <c r="D113" t="s">
        <v>199</v>
      </c>
      <c r="E113" t="s">
        <v>32</v>
      </c>
      <c r="F113" t="s">
        <v>8</v>
      </c>
      <c r="G113" t="s">
        <v>15</v>
      </c>
      <c r="H113" t="s">
        <v>612</v>
      </c>
      <c r="I113">
        <v>1.2</v>
      </c>
      <c r="J113">
        <v>0</v>
      </c>
      <c r="K113">
        <v>1</v>
      </c>
      <c r="L113">
        <v>23</v>
      </c>
      <c r="M113" t="str" cm="1">
        <f t="array" ref="M113">_xlfn.IFS(
   OR($F113="Pagar", $F113="Pintu Gerbang", $F113="Pintu Handerson", $F113="Kanopi"), "PER-M2",
   $F113="Teralis", "PER-LUBANG",
   OR($F113="Railing", $F113="Railing/Balkon"), "PER-M",
   TRUE, ""
)</f>
        <v>PER-LUBANG</v>
      </c>
      <c r="N113" cm="1">
        <f t="array" ref="N113">IF($M113="PER-M2",
  IFERROR(
     _xlfn.IFS(
        $G113="Hollow",
            INDEX('Referensi Harga'!$C:$C,
                  MATCH($F113&amp;$C113,'Referensi Harga'!$A:$A&amp;'Referensi Harga'!$B:$B,0)),
        $G113="Hollow Stainless",
            INDEX('Referensi Harga'!$D:$D,
                  MATCH($F113&amp;$C113,'Referensi Harga'!$A:$A&amp;'Referensi Harga'!$B:$B,0)),
        $G113="Pipa Stainless",
            INDEX('Referensi Harga'!$E:$E,
                  MATCH($F113&amp;$C113,'Referensi Harga'!$A:$A&amp;'Referensi Harga'!$B:$B,0))
     ),0)
  + IFERROR(VLOOKUP($H113,'Profile Size'!$A:$B,2,FALSE),0)
  + IFERROR(VLOOKUP($I113,'Ketebalan Material'!$A:$B,2,FALSE),0),
0)</f>
        <v>0</v>
      </c>
      <c r="O113">
        <f>IF($M113="PER-M",
  IFERROR(
    IF($G113="Hollow",
       INDEX('Referensi Harga'!$C:$C, MATCH($F113 &amp; "|" &amp; $C113, 'Referensi Harga'!$F:$F, 0)),
    IF($G113="Hollow Stainless",
       INDEX('Referensi Harga'!$D:$D, MATCH($F113 &amp; "|" &amp; $C113, 'Referensi Harga'!$F:$F, 0)),
       INDEX('Referensi Harga'!$E:$E, MATCH($F113 &amp; "|" &amp; $C113, 'Referensi Harga'!$F:$F, 0))
    ))
    + IFERROR(VLOOKUP($H113, 'Profile Size'!$A:$B, 2, FALSE), 0)
    + IFERROR(VLOOKUP($I113, 'Ketebalan Material'!$A:$B, 2, FALSE), 0), 0),
0)</f>
        <v>0</v>
      </c>
      <c r="P113" cm="1">
        <f t="array" ref="P113">IF($M113="PER-LUBANG",
  IFERROR(
     _xlfn.IFS(
        $G113="Hollow",
            INDEX('Referensi Harga'!$C:$C,
                  MATCH($F113&amp;$C113,'Referensi Harga'!$A:$A&amp;'Referensi Harga'!$B:$B,0)),
        $G113="Hollow Stainless",
            INDEX('Referensi Harga'!$D:$D,
                  MATCH($F113&amp;$C113,'Referensi Harga'!$A:$A&amp;'Referensi Harga'!$B:$B,0)),
        $G113="Pipa Stainless",
            INDEX('Referensi Harga'!$E:$E,
                  MATCH($F113&amp;$C113,'Referensi Harga'!$A:$A&amp;'Referensi Harga'!$B:$B,0))
     ),0)
  + IFERROR(VLOOKUP($H113,'Profile Size'!$A:$B,2,FALSE),0)
  + IFERROR(VLOOKUP($I113,'Ketebalan Material'!$A:$B,2,FALSE),0),
0)</f>
        <v>850000</v>
      </c>
      <c r="Q113">
        <f>IF($M113="PER-M2",
    IFERROR(
        SUMIFS('Upah Tenaga Ahli'!$C:$C,
               'Upah Tenaga Ahli'!$A:$A,"PER-M2",
               'Upah Tenaga Ahli'!$B:$B,$G113
        ) * $J113 * $K113,
    0),
IF($M113="PER-LUBANG",
    IFERROR(
        SUMIFS('Upah Tenaga Ahli'!$D:$D,
               'Upah Tenaga Ahli'!$A:$A,"PER-LUBANG",
               'Upah Tenaga Ahli'!$B:$B,$G113
        ) * $L113 * $K113,
    0),
IF($M113="PER-M",
    IFERROR(
        SUMIFS('Upah Tenaga Ahli'!$E:$E,
               'Upah Tenaga Ahli'!$A:$A,"PER-M",
               'Upah Tenaga Ahli'!$B:$B,$G113
        ) * $J113 * $K113,
    0),
0)))</f>
        <v>3450000</v>
      </c>
      <c r="R113" t="s">
        <v>617</v>
      </c>
      <c r="S113" t="s">
        <v>25</v>
      </c>
      <c r="T113">
        <f>IF($M113="PER-M2",
   ($N113 * $J113 * $K113)
   + IFERROR(VLOOKUP($R113,Finishing!A:B,2,FALSE),0)
   + IFERROR(VLOOKUP($S113,Kerumitan!A:B,2,FALSE),0),
IF($M113="PER-LUBANG",
   ($P113 * $L113 * $K113)
   + IFERROR(VLOOKUP($R113,Finishing!A:B,2,FALSE),0)
   + IFERROR(VLOOKUP($S113,Kerumitan!A:B,2,FALSE),0),
IF($M113="PER-M",
   ($O113 * $J113 * $K113)
   + IFERROR(VLOOKUP($R113,Finishing!A:B,2,FALSE),0)
   + IFERROR(VLOOKUP($S113,Kerumitan!A:B,2,FALSE),0),
0)))</f>
        <v>19700000</v>
      </c>
    </row>
    <row r="114" spans="1:20" x14ac:dyDescent="0.45">
      <c r="A114" t="s">
        <v>200</v>
      </c>
      <c r="B114" s="5">
        <v>44447</v>
      </c>
      <c r="C114">
        <f t="shared" si="1"/>
        <v>2021</v>
      </c>
      <c r="D114" t="s">
        <v>37</v>
      </c>
      <c r="E114" t="s">
        <v>121</v>
      </c>
      <c r="F114" t="s">
        <v>4</v>
      </c>
      <c r="G114" t="s">
        <v>13</v>
      </c>
      <c r="H114" t="s">
        <v>33</v>
      </c>
      <c r="I114">
        <v>1</v>
      </c>
      <c r="J114">
        <v>25.87</v>
      </c>
      <c r="K114">
        <v>1</v>
      </c>
      <c r="L114">
        <v>0</v>
      </c>
      <c r="M114" t="str" cm="1">
        <f t="array" ref="M114">_xlfn.IFS(
   OR($F114="Pagar", $F114="Pintu Gerbang", $F114="Pintu Handerson", $F114="Kanopi"), "PER-M2",
   $F114="Teralis", "PER-LUBANG",
   OR($F114="Railing", $F114="Railing/Balkon"), "PER-M",
   TRUE, ""
)</f>
        <v>PER-M2</v>
      </c>
      <c r="N114" cm="1">
        <f t="array" ref="N114">IF($M114="PER-M2",
  IFERROR(
     _xlfn.IFS(
        $G114="Hollow",
            INDEX('Referensi Harga'!$C:$C,
                  MATCH($F114&amp;$C114,'Referensi Harga'!$A:$A&amp;'Referensi Harga'!$B:$B,0)),
        $G114="Hollow Stainless",
            INDEX('Referensi Harga'!$D:$D,
                  MATCH($F114&amp;$C114,'Referensi Harga'!$A:$A&amp;'Referensi Harga'!$B:$B,0)),
        $G114="Pipa Stainless",
            INDEX('Referensi Harga'!$E:$E,
                  MATCH($F114&amp;$C114,'Referensi Harga'!$A:$A&amp;'Referensi Harga'!$B:$B,0))
     ),0)
  + IFERROR(VLOOKUP($H114,'Profile Size'!$A:$B,2,FALSE),0)
  + IFERROR(VLOOKUP($I114,'Ketebalan Material'!$A:$B,2,FALSE),0),
0)</f>
        <v>550000</v>
      </c>
      <c r="O114">
        <f>IF($M114="PER-M",
  IFERROR(
    IF($G114="Hollow",
       INDEX('Referensi Harga'!$C:$C, MATCH($F114 &amp; "|" &amp; $C114, 'Referensi Harga'!$F:$F, 0)),
    IF($G114="Hollow Stainless",
       INDEX('Referensi Harga'!$D:$D, MATCH($F114 &amp; "|" &amp; $C114, 'Referensi Harga'!$F:$F, 0)),
       INDEX('Referensi Harga'!$E:$E, MATCH($F114 &amp; "|" &amp; $C114, 'Referensi Harga'!$F:$F, 0))
    ))
    + IFERROR(VLOOKUP($H114, 'Profile Size'!$A:$B, 2, FALSE), 0)
    + IFERROR(VLOOKUP($I114, 'Ketebalan Material'!$A:$B, 2, FALSE), 0), 0),
0)</f>
        <v>0</v>
      </c>
      <c r="P114" cm="1">
        <f t="array" ref="P114">IF($M114="PER-LUBANG",
  IFERROR(
     _xlfn.IFS(
        $G114="Hollow",
            INDEX('Referensi Harga'!$C:$C,
                  MATCH($F114&amp;$C114,'Referensi Harga'!$A:$A&amp;'Referensi Harga'!$B:$B,0)),
        $G114="Hollow Stainless",
            INDEX('Referensi Harga'!$D:$D,
                  MATCH($F114&amp;$C114,'Referensi Harga'!$A:$A&amp;'Referensi Harga'!$B:$B,0)),
        $G114="Pipa Stainless",
            INDEX('Referensi Harga'!$E:$E,
                  MATCH($F114&amp;$C114,'Referensi Harga'!$A:$A&amp;'Referensi Harga'!$B:$B,0))
     ),0)
  + IFERROR(VLOOKUP($H114,'Profile Size'!$A:$B,2,FALSE),0)
  + IFERROR(VLOOKUP($I114,'Ketebalan Material'!$A:$B,2,FALSE),0),
0)</f>
        <v>0</v>
      </c>
      <c r="Q114">
        <f>IF($M114="PER-M2",
    IFERROR(
        SUMIFS('Upah Tenaga Ahli'!$C:$C,
               'Upah Tenaga Ahli'!$A:$A,"PER-M2",
               'Upah Tenaga Ahli'!$B:$B,$G114
        ) * $J114 * $K114,
    0),
IF($M114="PER-LUBANG",
    IFERROR(
        SUMIFS('Upah Tenaga Ahli'!$D:$D,
               'Upah Tenaga Ahli'!$A:$A,"PER-LUBANG",
               'Upah Tenaga Ahli'!$B:$B,$G114
        ) * $L114 * $K114,
    0),
IF($M114="PER-M",
    IFERROR(
        SUMIFS('Upah Tenaga Ahli'!$E:$E,
               'Upah Tenaga Ahli'!$A:$A,"PER-M",
               'Upah Tenaga Ahli'!$B:$B,$G114
        ) * $J114 * $K114,
    0),
0)))</f>
        <v>2587000</v>
      </c>
      <c r="R114" t="s">
        <v>20</v>
      </c>
      <c r="S114" t="s">
        <v>23</v>
      </c>
      <c r="T114">
        <f>IF($M114="PER-M2",
   ($N114 * $J114 * $K114)
   + IFERROR(VLOOKUP($R114,Finishing!A:B,2,FALSE),0)
   + IFERROR(VLOOKUP($S114,Kerumitan!A:B,2,FALSE),0),
IF($M114="PER-LUBANG",
   ($P114 * $L114 * $K114)
   + IFERROR(VLOOKUP($R114,Finishing!A:B,2,FALSE),0)
   + IFERROR(VLOOKUP($S114,Kerumitan!A:B,2,FALSE),0),
IF($M114="PER-M",
   ($O114 * $J114 * $K114)
   + IFERROR(VLOOKUP($R114,Finishing!A:B,2,FALSE),0)
   + IFERROR(VLOOKUP($S114,Kerumitan!A:B,2,FALSE),0),
0)))</f>
        <v>14378500</v>
      </c>
    </row>
    <row r="115" spans="1:20" x14ac:dyDescent="0.45">
      <c r="A115" t="s">
        <v>201</v>
      </c>
      <c r="B115" s="5">
        <v>43779</v>
      </c>
      <c r="C115">
        <f t="shared" si="1"/>
        <v>2019</v>
      </c>
      <c r="D115" t="s">
        <v>77</v>
      </c>
      <c r="E115" t="s">
        <v>87</v>
      </c>
      <c r="F115" t="s">
        <v>8</v>
      </c>
      <c r="G115" t="s">
        <v>14</v>
      </c>
      <c r="H115" t="s">
        <v>612</v>
      </c>
      <c r="I115">
        <v>1</v>
      </c>
      <c r="J115">
        <v>0</v>
      </c>
      <c r="K115">
        <v>1</v>
      </c>
      <c r="L115">
        <v>16</v>
      </c>
      <c r="M115" t="str" cm="1">
        <f t="array" ref="M115">_xlfn.IFS(
   OR($F115="Pagar", $F115="Pintu Gerbang", $F115="Pintu Handerson", $F115="Kanopi"), "PER-M2",
   $F115="Teralis", "PER-LUBANG",
   OR($F115="Railing", $F115="Railing/Balkon"), "PER-M",
   TRUE, ""
)</f>
        <v>PER-LUBANG</v>
      </c>
      <c r="N115" cm="1">
        <f t="array" ref="N115">IF($M115="PER-M2",
  IFERROR(
     _xlfn.IFS(
        $G115="Hollow",
            INDEX('Referensi Harga'!$C:$C,
                  MATCH($F115&amp;$C115,'Referensi Harga'!$A:$A&amp;'Referensi Harga'!$B:$B,0)),
        $G115="Hollow Stainless",
            INDEX('Referensi Harga'!$D:$D,
                  MATCH($F115&amp;$C115,'Referensi Harga'!$A:$A&amp;'Referensi Harga'!$B:$B,0)),
        $G115="Pipa Stainless",
            INDEX('Referensi Harga'!$E:$E,
                  MATCH($F115&amp;$C115,'Referensi Harga'!$A:$A&amp;'Referensi Harga'!$B:$B,0))
     ),0)
  + IFERROR(VLOOKUP($H115,'Profile Size'!$A:$B,2,FALSE),0)
  + IFERROR(VLOOKUP($I115,'Ketebalan Material'!$A:$B,2,FALSE),0),
0)</f>
        <v>0</v>
      </c>
      <c r="O115">
        <f>IF($M115="PER-M",
  IFERROR(
    IF($G115="Hollow",
       INDEX('Referensi Harga'!$C:$C, MATCH($F115 &amp; "|" &amp; $C115, 'Referensi Harga'!$F:$F, 0)),
    IF($G115="Hollow Stainless",
       INDEX('Referensi Harga'!$D:$D, MATCH($F115 &amp; "|" &amp; $C115, 'Referensi Harga'!$F:$F, 0)),
       INDEX('Referensi Harga'!$E:$E, MATCH($F115 &amp; "|" &amp; $C115, 'Referensi Harga'!$F:$F, 0))
    ))
    + IFERROR(VLOOKUP($H115, 'Profile Size'!$A:$B, 2, FALSE), 0)
    + IFERROR(VLOOKUP($I115, 'Ketebalan Material'!$A:$B, 2, FALSE), 0), 0),
0)</f>
        <v>0</v>
      </c>
      <c r="P115" cm="1">
        <f t="array" ref="P115">IF($M115="PER-LUBANG",
  IFERROR(
     _xlfn.IFS(
        $G115="Hollow",
            INDEX('Referensi Harga'!$C:$C,
                  MATCH($F115&amp;$C115,'Referensi Harga'!$A:$A&amp;'Referensi Harga'!$B:$B,0)),
        $G115="Hollow Stainless",
            INDEX('Referensi Harga'!$D:$D,
                  MATCH($F115&amp;$C115,'Referensi Harga'!$A:$A&amp;'Referensi Harga'!$B:$B,0)),
        $G115="Pipa Stainless",
            INDEX('Referensi Harga'!$E:$E,
                  MATCH($F115&amp;$C115,'Referensi Harga'!$A:$A&amp;'Referensi Harga'!$B:$B,0))
     ),0)
  + IFERROR(VLOOKUP($H115,'Profile Size'!$A:$B,2,FALSE),0)
  + IFERROR(VLOOKUP($I115,'Ketebalan Material'!$A:$B,2,FALSE),0),
0)</f>
        <v>650000</v>
      </c>
      <c r="Q115">
        <f>IF($M115="PER-M2",
    IFERROR(
        SUMIFS('Upah Tenaga Ahli'!$C:$C,
               'Upah Tenaga Ahli'!$A:$A,"PER-M2",
               'Upah Tenaga Ahli'!$B:$B,$G115
        ) * $J115 * $K115,
    0),
IF($M115="PER-LUBANG",
    IFERROR(
        SUMIFS('Upah Tenaga Ahli'!$D:$D,
               'Upah Tenaga Ahli'!$A:$A,"PER-LUBANG",
               'Upah Tenaga Ahli'!$B:$B,$G115
        ) * $L115 * $K115,
    0),
IF($M115="PER-M",
    IFERROR(
        SUMIFS('Upah Tenaga Ahli'!$E:$E,
               'Upah Tenaga Ahli'!$A:$A,"PER-M",
               'Upah Tenaga Ahli'!$B:$B,$G115
        ) * $J115 * $K115,
    0),
0)))</f>
        <v>2400000</v>
      </c>
      <c r="R115" t="s">
        <v>617</v>
      </c>
      <c r="S115" t="s">
        <v>24</v>
      </c>
      <c r="T115">
        <f>IF($M115="PER-M2",
   ($N115 * $J115 * $K115)
   + IFERROR(VLOOKUP($R115,Finishing!A:B,2,FALSE),0)
   + IFERROR(VLOOKUP($S115,Kerumitan!A:B,2,FALSE),0),
IF($M115="PER-LUBANG",
   ($P115 * $L115 * $K115)
   + IFERROR(VLOOKUP($R115,Finishing!A:B,2,FALSE),0)
   + IFERROR(VLOOKUP($S115,Kerumitan!A:B,2,FALSE),0),
IF($M115="PER-M",
   ($O115 * $J115 * $K115)
   + IFERROR(VLOOKUP($R115,Finishing!A:B,2,FALSE),0)
   + IFERROR(VLOOKUP($S115,Kerumitan!A:B,2,FALSE),0),
0)))</f>
        <v>10500000</v>
      </c>
    </row>
    <row r="116" spans="1:20" x14ac:dyDescent="0.45">
      <c r="A116" t="s">
        <v>202</v>
      </c>
      <c r="B116" s="5">
        <v>44380</v>
      </c>
      <c r="C116">
        <f t="shared" si="1"/>
        <v>2021</v>
      </c>
      <c r="D116" t="s">
        <v>93</v>
      </c>
      <c r="E116" t="s">
        <v>28</v>
      </c>
      <c r="F116" t="s">
        <v>625</v>
      </c>
      <c r="G116" t="s">
        <v>15</v>
      </c>
      <c r="H116" t="s">
        <v>46</v>
      </c>
      <c r="I116">
        <v>1.2</v>
      </c>
      <c r="J116">
        <v>12.38</v>
      </c>
      <c r="K116">
        <v>3</v>
      </c>
      <c r="L116">
        <v>0</v>
      </c>
      <c r="M116" t="str" cm="1">
        <f t="array" ref="M116">_xlfn.IFS(
   OR($F116="Pagar", $F116="Pintu Gerbang", $F116="Pintu Handerson", $F116="Kanopi"), "PER-M2",
   $F116="Teralis", "PER-LUBANG",
   OR($F116="Railing", $F116="Railing/Balkon"), "PER-M",
   TRUE, ""
)</f>
        <v>PER-M</v>
      </c>
      <c r="N116" cm="1">
        <f t="array" ref="N116">IF($M116="PER-M2",
  IFERROR(
     _xlfn.IFS(
        $G116="Hollow",
            INDEX('Referensi Harga'!$C:$C,
                  MATCH($F116&amp;$C116,'Referensi Harga'!$A:$A&amp;'Referensi Harga'!$B:$B,0)),
        $G116="Hollow Stainless",
            INDEX('Referensi Harga'!$D:$D,
                  MATCH($F116&amp;$C116,'Referensi Harga'!$A:$A&amp;'Referensi Harga'!$B:$B,0)),
        $G116="Pipa Stainless",
            INDEX('Referensi Harga'!$E:$E,
                  MATCH($F116&amp;$C116,'Referensi Harga'!$A:$A&amp;'Referensi Harga'!$B:$B,0))
     ),0)
  + IFERROR(VLOOKUP($H116,'Profile Size'!$A:$B,2,FALSE),0)
  + IFERROR(VLOOKUP($I116,'Ketebalan Material'!$A:$B,2,FALSE),0),
0)</f>
        <v>0</v>
      </c>
      <c r="O116">
        <f>IF($M116="PER-M",
  IFERROR(
    IF($G116="Hollow",
       INDEX('Referensi Harga'!$C:$C, MATCH($F116 &amp; "|" &amp; $C116, 'Referensi Harga'!$F:$F, 0)),
    IF($G116="Hollow Stainless",
       INDEX('Referensi Harga'!$D:$D, MATCH($F116 &amp; "|" &amp; $C116, 'Referensi Harga'!$F:$F, 0)),
       INDEX('Referensi Harga'!$E:$E, MATCH($F116 &amp; "|" &amp; $C116, 'Referensi Harga'!$F:$F, 0))
    ))
    + IFERROR(VLOOKUP($H116, 'Profile Size'!$A:$B, 2, FALSE), 0)
    + IFERROR(VLOOKUP($I116, 'Ketebalan Material'!$A:$B, 2, FALSE), 0), 0),
0)</f>
        <v>1250000</v>
      </c>
      <c r="P116" cm="1">
        <f t="array" ref="P116">IF($M116="PER-LUBANG",
  IFERROR(
     _xlfn.IFS(
        $G116="Hollow",
            INDEX('Referensi Harga'!$C:$C,
                  MATCH($F116&amp;$C116,'Referensi Harga'!$A:$A&amp;'Referensi Harga'!$B:$B,0)),
        $G116="Hollow Stainless",
            INDEX('Referensi Harga'!$D:$D,
                  MATCH($F116&amp;$C116,'Referensi Harga'!$A:$A&amp;'Referensi Harga'!$B:$B,0)),
        $G116="Pipa Stainless",
            INDEX('Referensi Harga'!$E:$E,
                  MATCH($F116&amp;$C116,'Referensi Harga'!$A:$A&amp;'Referensi Harga'!$B:$B,0))
     ),0)
  + IFERROR(VLOOKUP($H116,'Profile Size'!$A:$B,2,FALSE),0)
  + IFERROR(VLOOKUP($I116,'Ketebalan Material'!$A:$B,2,FALSE),0),
0)</f>
        <v>0</v>
      </c>
      <c r="Q116">
        <f>IF($M116="PER-M2",
    IFERROR(
        SUMIFS('Upah Tenaga Ahli'!$C:$C,
               'Upah Tenaga Ahli'!$A:$A,"PER-M2",
               'Upah Tenaga Ahli'!$B:$B,$G116
        ) * $J116 * $K116,
    0),
IF($M116="PER-LUBANG",
    IFERROR(
        SUMIFS('Upah Tenaga Ahli'!$D:$D,
               'Upah Tenaga Ahli'!$A:$A,"PER-LUBANG",
               'Upah Tenaga Ahli'!$B:$B,$G116
        ) * $L116 * $K116,
    0),
IF($M116="PER-M",
    IFERROR(
        SUMIFS('Upah Tenaga Ahli'!$E:$E,
               'Upah Tenaga Ahli'!$A:$A,"PER-M",
               'Upah Tenaga Ahli'!$B:$B,$G116
        ) * $J116 * $K116,
    0),
0)))</f>
        <v>5571000.0000000009</v>
      </c>
      <c r="R116" t="s">
        <v>617</v>
      </c>
      <c r="S116" t="s">
        <v>23</v>
      </c>
      <c r="T116">
        <f>IF($M116="PER-M2",
   ($N116 * $J116 * $K116)
   + IFERROR(VLOOKUP($R116,Finishing!A:B,2,FALSE),0)
   + IFERROR(VLOOKUP($S116,Kerumitan!A:B,2,FALSE),0),
IF($M116="PER-LUBANG",
   ($P116 * $L116 * $K116)
   + IFERROR(VLOOKUP($R116,Finishing!A:B,2,FALSE),0)
   + IFERROR(VLOOKUP($S116,Kerumitan!A:B,2,FALSE),0),
IF($M116="PER-M",
   ($O116 * $J116 * $K116)
   + IFERROR(VLOOKUP($R116,Finishing!A:B,2,FALSE),0)
   + IFERROR(VLOOKUP($S116,Kerumitan!A:B,2,FALSE),0),
0)))</f>
        <v>46425000.000000007</v>
      </c>
    </row>
    <row r="117" spans="1:20" x14ac:dyDescent="0.45">
      <c r="A117" t="s">
        <v>203</v>
      </c>
      <c r="B117" s="5">
        <v>44998</v>
      </c>
      <c r="C117">
        <f t="shared" si="1"/>
        <v>2023</v>
      </c>
      <c r="D117" t="s">
        <v>53</v>
      </c>
      <c r="E117" t="s">
        <v>38</v>
      </c>
      <c r="F117" t="s">
        <v>6</v>
      </c>
      <c r="G117" t="s">
        <v>13</v>
      </c>
      <c r="H117" t="s">
        <v>33</v>
      </c>
      <c r="I117">
        <v>0.8</v>
      </c>
      <c r="J117">
        <v>18.45</v>
      </c>
      <c r="K117">
        <v>2</v>
      </c>
      <c r="L117">
        <v>0</v>
      </c>
      <c r="M117" t="str" cm="1">
        <f t="array" ref="M117">_xlfn.IFS(
   OR($F117="Pagar", $F117="Pintu Gerbang", $F117="Pintu Handerson", $F117="Kanopi"), "PER-M2",
   $F117="Teralis", "PER-LUBANG",
   OR($F117="Railing", $F117="Railing/Balkon"), "PER-M",
   TRUE, ""
)</f>
        <v>PER-M2</v>
      </c>
      <c r="N117" cm="1">
        <f t="array" ref="N117">IF($M117="PER-M2",
  IFERROR(
     _xlfn.IFS(
        $G117="Hollow",
            INDEX('Referensi Harga'!$C:$C,
                  MATCH($F117&amp;$C117,'Referensi Harga'!$A:$A&amp;'Referensi Harga'!$B:$B,0)),
        $G117="Hollow Stainless",
            INDEX('Referensi Harga'!$D:$D,
                  MATCH($F117&amp;$C117,'Referensi Harga'!$A:$A&amp;'Referensi Harga'!$B:$B,0)),
        $G117="Pipa Stainless",
            INDEX('Referensi Harga'!$E:$E,
                  MATCH($F117&amp;$C117,'Referensi Harga'!$A:$A&amp;'Referensi Harga'!$B:$B,0))
     ),0)
  + IFERROR(VLOOKUP($H117,'Profile Size'!$A:$B,2,FALSE),0)
  + IFERROR(VLOOKUP($I117,'Ketebalan Material'!$A:$B,2,FALSE),0),
0)</f>
        <v>420000</v>
      </c>
      <c r="O117">
        <f>IF($M117="PER-M",
  IFERROR(
    IF($G117="Hollow",
       INDEX('Referensi Harga'!$C:$C, MATCH($F117 &amp; "|" &amp; $C117, 'Referensi Harga'!$F:$F, 0)),
    IF($G117="Hollow Stainless",
       INDEX('Referensi Harga'!$D:$D, MATCH($F117 &amp; "|" &amp; $C117, 'Referensi Harga'!$F:$F, 0)),
       INDEX('Referensi Harga'!$E:$E, MATCH($F117 &amp; "|" &amp; $C117, 'Referensi Harga'!$F:$F, 0))
    ))
    + IFERROR(VLOOKUP($H117, 'Profile Size'!$A:$B, 2, FALSE), 0)
    + IFERROR(VLOOKUP($I117, 'Ketebalan Material'!$A:$B, 2, FALSE), 0), 0),
0)</f>
        <v>0</v>
      </c>
      <c r="P117" cm="1">
        <f t="array" ref="P117">IF($M117="PER-LUBANG",
  IFERROR(
     _xlfn.IFS(
        $G117="Hollow",
            INDEX('Referensi Harga'!$C:$C,
                  MATCH($F117&amp;$C117,'Referensi Harga'!$A:$A&amp;'Referensi Harga'!$B:$B,0)),
        $G117="Hollow Stainless",
            INDEX('Referensi Harga'!$D:$D,
                  MATCH($F117&amp;$C117,'Referensi Harga'!$A:$A&amp;'Referensi Harga'!$B:$B,0)),
        $G117="Pipa Stainless",
            INDEX('Referensi Harga'!$E:$E,
                  MATCH($F117&amp;$C117,'Referensi Harga'!$A:$A&amp;'Referensi Harga'!$B:$B,0))
     ),0)
  + IFERROR(VLOOKUP($H117,'Profile Size'!$A:$B,2,FALSE),0)
  + IFERROR(VLOOKUP($I117,'Ketebalan Material'!$A:$B,2,FALSE),0),
0)</f>
        <v>0</v>
      </c>
      <c r="Q117">
        <f>IF($M117="PER-M2",
    IFERROR(
        SUMIFS('Upah Tenaga Ahli'!$C:$C,
               'Upah Tenaga Ahli'!$A:$A,"PER-M2",
               'Upah Tenaga Ahli'!$B:$B,$G117
        ) * $J117 * $K117,
    0),
IF($M117="PER-LUBANG",
    IFERROR(
        SUMIFS('Upah Tenaga Ahli'!$D:$D,
               'Upah Tenaga Ahli'!$A:$A,"PER-LUBANG",
               'Upah Tenaga Ahli'!$B:$B,$G117
        ) * $L117 * $K117,
    0),
IF($M117="PER-M",
    IFERROR(
        SUMIFS('Upah Tenaga Ahli'!$E:$E,
               'Upah Tenaga Ahli'!$A:$A,"PER-M",
               'Upah Tenaga Ahli'!$B:$B,$G117
        ) * $J117 * $K117,
    0),
0)))</f>
        <v>3690000</v>
      </c>
      <c r="R117" t="s">
        <v>19</v>
      </c>
      <c r="S117" t="s">
        <v>25</v>
      </c>
      <c r="T117">
        <f>IF($M117="PER-M2",
   ($N117 * $J117 * $K117)
   + IFERROR(VLOOKUP($R117,Finishing!A:B,2,FALSE),0)
   + IFERROR(VLOOKUP($S117,Kerumitan!A:B,2,FALSE),0),
IF($M117="PER-LUBANG",
   ($P117 * $L117 * $K117)
   + IFERROR(VLOOKUP($R117,Finishing!A:B,2,FALSE),0)
   + IFERROR(VLOOKUP($S117,Kerumitan!A:B,2,FALSE),0),
IF($M117="PER-M",
   ($O117 * $J117 * $K117)
   + IFERROR(VLOOKUP($R117,Finishing!A:B,2,FALSE),0)
   + IFERROR(VLOOKUP($S117,Kerumitan!A:B,2,FALSE),0),
0)))</f>
        <v>15698000</v>
      </c>
    </row>
    <row r="118" spans="1:20" x14ac:dyDescent="0.45">
      <c r="A118" t="s">
        <v>204</v>
      </c>
      <c r="B118" s="5">
        <v>45241</v>
      </c>
      <c r="C118">
        <f t="shared" si="1"/>
        <v>2023</v>
      </c>
      <c r="D118" t="s">
        <v>129</v>
      </c>
      <c r="E118" t="s">
        <v>38</v>
      </c>
      <c r="F118" t="s">
        <v>10</v>
      </c>
      <c r="G118" t="s">
        <v>13</v>
      </c>
      <c r="H118" t="s">
        <v>46</v>
      </c>
      <c r="I118">
        <v>1</v>
      </c>
      <c r="J118">
        <v>2.91</v>
      </c>
      <c r="K118">
        <v>1</v>
      </c>
      <c r="L118">
        <v>0</v>
      </c>
      <c r="M118" t="str" cm="1">
        <f t="array" ref="M118">_xlfn.IFS(
   OR($F118="Pagar", $F118="Pintu Gerbang", $F118="Pintu Handerson", $F118="Kanopi"), "PER-M2",
   $F118="Teralis", "PER-LUBANG",
   OR($F118="Railing", $F118="Railing/Balkon"), "PER-M",
   TRUE, ""
)</f>
        <v>PER-M2</v>
      </c>
      <c r="N118" cm="1">
        <f t="array" ref="N118">IF($M118="PER-M2",
  IFERROR(
     _xlfn.IFS(
        $G118="Hollow",
            INDEX('Referensi Harga'!$C:$C,
                  MATCH($F118&amp;$C118,'Referensi Harga'!$A:$A&amp;'Referensi Harga'!$B:$B,0)),
        $G118="Hollow Stainless",
            INDEX('Referensi Harga'!$D:$D,
                  MATCH($F118&amp;$C118,'Referensi Harga'!$A:$A&amp;'Referensi Harga'!$B:$B,0)),
        $G118="Pipa Stainless",
            INDEX('Referensi Harga'!$E:$E,
                  MATCH($F118&amp;$C118,'Referensi Harga'!$A:$A&amp;'Referensi Harga'!$B:$B,0))
     ),0)
  + IFERROR(VLOOKUP($H118,'Profile Size'!$A:$B,2,FALSE),0)
  + IFERROR(VLOOKUP($I118,'Ketebalan Material'!$A:$B,2,FALSE),0),
0)</f>
        <v>950000</v>
      </c>
      <c r="O118">
        <f>IF($M118="PER-M",
  IFERROR(
    IF($G118="Hollow",
       INDEX('Referensi Harga'!$C:$C, MATCH($F118 &amp; "|" &amp; $C118, 'Referensi Harga'!$F:$F, 0)),
    IF($G118="Hollow Stainless",
       INDEX('Referensi Harga'!$D:$D, MATCH($F118 &amp; "|" &amp; $C118, 'Referensi Harga'!$F:$F, 0)),
       INDEX('Referensi Harga'!$E:$E, MATCH($F118 &amp; "|" &amp; $C118, 'Referensi Harga'!$F:$F, 0))
    ))
    + IFERROR(VLOOKUP($H118, 'Profile Size'!$A:$B, 2, FALSE), 0)
    + IFERROR(VLOOKUP($I118, 'Ketebalan Material'!$A:$B, 2, FALSE), 0), 0),
0)</f>
        <v>0</v>
      </c>
      <c r="P118" cm="1">
        <f t="array" ref="P118">IF($M118="PER-LUBANG",
  IFERROR(
     _xlfn.IFS(
        $G118="Hollow",
            INDEX('Referensi Harga'!$C:$C,
                  MATCH($F118&amp;$C118,'Referensi Harga'!$A:$A&amp;'Referensi Harga'!$B:$B,0)),
        $G118="Hollow Stainless",
            INDEX('Referensi Harga'!$D:$D,
                  MATCH($F118&amp;$C118,'Referensi Harga'!$A:$A&amp;'Referensi Harga'!$B:$B,0)),
        $G118="Pipa Stainless",
            INDEX('Referensi Harga'!$E:$E,
                  MATCH($F118&amp;$C118,'Referensi Harga'!$A:$A&amp;'Referensi Harga'!$B:$B,0))
     ),0)
  + IFERROR(VLOOKUP($H118,'Profile Size'!$A:$B,2,FALSE),0)
  + IFERROR(VLOOKUP($I118,'Ketebalan Material'!$A:$B,2,FALSE),0),
0)</f>
        <v>0</v>
      </c>
      <c r="Q118">
        <f>IF($M118="PER-M2",
    IFERROR(
        SUMIFS('Upah Tenaga Ahli'!$C:$C,
               'Upah Tenaga Ahli'!$A:$A,"PER-M2",
               'Upah Tenaga Ahli'!$B:$B,$G118
        ) * $J118 * $K118,
    0),
IF($M118="PER-LUBANG",
    IFERROR(
        SUMIFS('Upah Tenaga Ahli'!$D:$D,
               'Upah Tenaga Ahli'!$A:$A,"PER-LUBANG",
               'Upah Tenaga Ahli'!$B:$B,$G118
        ) * $L118 * $K118,
    0),
IF($M118="PER-M",
    IFERROR(
        SUMIFS('Upah Tenaga Ahli'!$E:$E,
               'Upah Tenaga Ahli'!$A:$A,"PER-M",
               'Upah Tenaga Ahli'!$B:$B,$G118
        ) * $J118 * $K118,
    0),
0)))</f>
        <v>291000</v>
      </c>
      <c r="R118" t="s">
        <v>18</v>
      </c>
      <c r="S118" t="s">
        <v>24</v>
      </c>
      <c r="T118">
        <f>IF($M118="PER-M2",
   ($N118 * $J118 * $K118)
   + IFERROR(VLOOKUP($R118,Finishing!A:B,2,FALSE),0)
   + IFERROR(VLOOKUP($S118,Kerumitan!A:B,2,FALSE),0),
IF($M118="PER-LUBANG",
   ($P118 * $L118 * $K118)
   + IFERROR(VLOOKUP($R118,Finishing!A:B,2,FALSE),0)
   + IFERROR(VLOOKUP($S118,Kerumitan!A:B,2,FALSE),0),
IF($M118="PER-M",
   ($O118 * $J118 * $K118)
   + IFERROR(VLOOKUP($R118,Finishing!A:B,2,FALSE),0)
   + IFERROR(VLOOKUP($S118,Kerumitan!A:B,2,FALSE),0),
0)))</f>
        <v>2864500</v>
      </c>
    </row>
    <row r="119" spans="1:20" x14ac:dyDescent="0.45">
      <c r="A119" t="s">
        <v>205</v>
      </c>
      <c r="B119" s="5">
        <v>44807</v>
      </c>
      <c r="C119">
        <f t="shared" si="1"/>
        <v>2022</v>
      </c>
      <c r="D119" t="s">
        <v>123</v>
      </c>
      <c r="E119" t="s">
        <v>87</v>
      </c>
      <c r="F119" t="s">
        <v>7</v>
      </c>
      <c r="G119" t="s">
        <v>15</v>
      </c>
      <c r="H119" t="s">
        <v>33</v>
      </c>
      <c r="I119">
        <v>0.8</v>
      </c>
      <c r="J119">
        <v>5.51</v>
      </c>
      <c r="K119">
        <v>1</v>
      </c>
      <c r="L119">
        <v>0</v>
      </c>
      <c r="M119" t="str" cm="1">
        <f t="array" ref="M119">_xlfn.IFS(
   OR($F119="Pagar", $F119="Pintu Gerbang", $F119="Pintu Handerson", $F119="Kanopi"), "PER-M2",
   $F119="Teralis", "PER-LUBANG",
   OR($F119="Railing", $F119="Railing/Balkon"), "PER-M",
   TRUE, ""
)</f>
        <v>PER-M2</v>
      </c>
      <c r="N119" cm="1">
        <f t="array" ref="N119">IF($M119="PER-M2",
  IFERROR(
     _xlfn.IFS(
        $G119="Hollow",
            INDEX('Referensi Harga'!$C:$C,
                  MATCH($F119&amp;$C119,'Referensi Harga'!$A:$A&amp;'Referensi Harga'!$B:$B,0)),
        $G119="Hollow Stainless",
            INDEX('Referensi Harga'!$D:$D,
                  MATCH($F119&amp;$C119,'Referensi Harga'!$A:$A&amp;'Referensi Harga'!$B:$B,0)),
        $G119="Pipa Stainless",
            INDEX('Referensi Harga'!$E:$E,
                  MATCH($F119&amp;$C119,'Referensi Harga'!$A:$A&amp;'Referensi Harga'!$B:$B,0))
     ),0)
  + IFERROR(VLOOKUP($H119,'Profile Size'!$A:$B,2,FALSE),0)
  + IFERROR(VLOOKUP($I119,'Ketebalan Material'!$A:$B,2,FALSE),0),
0)</f>
        <v>1250000</v>
      </c>
      <c r="O119">
        <f>IF($M119="PER-M",
  IFERROR(
    IF($G119="Hollow",
       INDEX('Referensi Harga'!$C:$C, MATCH($F119 &amp; "|" &amp; $C119, 'Referensi Harga'!$F:$F, 0)),
    IF($G119="Hollow Stainless",
       INDEX('Referensi Harga'!$D:$D, MATCH($F119 &amp; "|" &amp; $C119, 'Referensi Harga'!$F:$F, 0)),
       INDEX('Referensi Harga'!$E:$E, MATCH($F119 &amp; "|" &amp; $C119, 'Referensi Harga'!$F:$F, 0))
    ))
    + IFERROR(VLOOKUP($H119, 'Profile Size'!$A:$B, 2, FALSE), 0)
    + IFERROR(VLOOKUP($I119, 'Ketebalan Material'!$A:$B, 2, FALSE), 0), 0),
0)</f>
        <v>0</v>
      </c>
      <c r="P119" cm="1">
        <f t="array" ref="P119">IF($M119="PER-LUBANG",
  IFERROR(
     _xlfn.IFS(
        $G119="Hollow",
            INDEX('Referensi Harga'!$C:$C,
                  MATCH($F119&amp;$C119,'Referensi Harga'!$A:$A&amp;'Referensi Harga'!$B:$B,0)),
        $G119="Hollow Stainless",
            INDEX('Referensi Harga'!$D:$D,
                  MATCH($F119&amp;$C119,'Referensi Harga'!$A:$A&amp;'Referensi Harga'!$B:$B,0)),
        $G119="Pipa Stainless",
            INDEX('Referensi Harga'!$E:$E,
                  MATCH($F119&amp;$C119,'Referensi Harga'!$A:$A&amp;'Referensi Harga'!$B:$B,0))
     ),0)
  + IFERROR(VLOOKUP($H119,'Profile Size'!$A:$B,2,FALSE),0)
  + IFERROR(VLOOKUP($I119,'Ketebalan Material'!$A:$B,2,FALSE),0),
0)</f>
        <v>0</v>
      </c>
      <c r="Q119">
        <f>IF($M119="PER-M2",
    IFERROR(
        SUMIFS('Upah Tenaga Ahli'!$C:$C,
               'Upah Tenaga Ahli'!$A:$A,"PER-M2",
               'Upah Tenaga Ahli'!$B:$B,$G119
        ) * $J119 * $K119,
    0),
IF($M119="PER-LUBANG",
    IFERROR(
        SUMIFS('Upah Tenaga Ahli'!$D:$D,
               'Upah Tenaga Ahli'!$A:$A,"PER-LUBANG",
               'Upah Tenaga Ahli'!$B:$B,$G119
        ) * $L119 * $K119,
    0),
IF($M119="PER-M",
    IFERROR(
        SUMIFS('Upah Tenaga Ahli'!$E:$E,
               'Upah Tenaga Ahli'!$A:$A,"PER-M",
               'Upah Tenaga Ahli'!$B:$B,$G119
        ) * $J119 * $K119,
    0),
0)))</f>
        <v>826500</v>
      </c>
      <c r="R119" t="s">
        <v>617</v>
      </c>
      <c r="S119" t="s">
        <v>23</v>
      </c>
      <c r="T119">
        <f>IF($M119="PER-M2",
   ($N119 * $J119 * $K119)
   + IFERROR(VLOOKUP($R119,Finishing!A:B,2,FALSE),0)
   + IFERROR(VLOOKUP($S119,Kerumitan!A:B,2,FALSE),0),
IF($M119="PER-LUBANG",
   ($P119 * $L119 * $K119)
   + IFERROR(VLOOKUP($R119,Finishing!A:B,2,FALSE),0)
   + IFERROR(VLOOKUP($S119,Kerumitan!A:B,2,FALSE),0),
IF($M119="PER-M",
   ($O119 * $J119 * $K119)
   + IFERROR(VLOOKUP($R119,Finishing!A:B,2,FALSE),0)
   + IFERROR(VLOOKUP($S119,Kerumitan!A:B,2,FALSE),0),
0)))</f>
        <v>6887500</v>
      </c>
    </row>
    <row r="120" spans="1:20" x14ac:dyDescent="0.45">
      <c r="A120" t="s">
        <v>206</v>
      </c>
      <c r="B120" s="5">
        <v>44127</v>
      </c>
      <c r="C120">
        <f t="shared" si="1"/>
        <v>2020</v>
      </c>
      <c r="D120" t="s">
        <v>126</v>
      </c>
      <c r="E120" t="s">
        <v>41</v>
      </c>
      <c r="F120" t="s">
        <v>4</v>
      </c>
      <c r="G120" t="s">
        <v>15</v>
      </c>
      <c r="H120" t="s">
        <v>35</v>
      </c>
      <c r="I120">
        <v>0.8</v>
      </c>
      <c r="J120">
        <v>17.34</v>
      </c>
      <c r="K120">
        <v>1</v>
      </c>
      <c r="L120">
        <v>0</v>
      </c>
      <c r="M120" t="str" cm="1">
        <f t="array" ref="M120">_xlfn.IFS(
   OR($F120="Pagar", $F120="Pintu Gerbang", $F120="Pintu Handerson", $F120="Kanopi"), "PER-M2",
   $F120="Teralis", "PER-LUBANG",
   OR($F120="Railing", $F120="Railing/Balkon"), "PER-M",
   TRUE, ""
)</f>
        <v>PER-M2</v>
      </c>
      <c r="N120" cm="1">
        <f t="array" ref="N120">IF($M120="PER-M2",
  IFERROR(
     _xlfn.IFS(
        $G120="Hollow",
            INDEX('Referensi Harga'!$C:$C,
                  MATCH($F120&amp;$C120,'Referensi Harga'!$A:$A&amp;'Referensi Harga'!$B:$B,0)),
        $G120="Hollow Stainless",
            INDEX('Referensi Harga'!$D:$D,
                  MATCH($F120&amp;$C120,'Referensi Harga'!$A:$A&amp;'Referensi Harga'!$B:$B,0)),
        $G120="Pipa Stainless",
            INDEX('Referensi Harga'!$E:$E,
                  MATCH($F120&amp;$C120,'Referensi Harga'!$A:$A&amp;'Referensi Harga'!$B:$B,0))
     ),0)
  + IFERROR(VLOOKUP($H120,'Profile Size'!$A:$B,2,FALSE),0)
  + IFERROR(VLOOKUP($I120,'Ketebalan Material'!$A:$B,2,FALSE),0),
0)</f>
        <v>1150000</v>
      </c>
      <c r="O120">
        <f>IF($M120="PER-M",
  IFERROR(
    IF($G120="Hollow",
       INDEX('Referensi Harga'!$C:$C, MATCH($F120 &amp; "|" &amp; $C120, 'Referensi Harga'!$F:$F, 0)),
    IF($G120="Hollow Stainless",
       INDEX('Referensi Harga'!$D:$D, MATCH($F120 &amp; "|" &amp; $C120, 'Referensi Harga'!$F:$F, 0)),
       INDEX('Referensi Harga'!$E:$E, MATCH($F120 &amp; "|" &amp; $C120, 'Referensi Harga'!$F:$F, 0))
    ))
    + IFERROR(VLOOKUP($H120, 'Profile Size'!$A:$B, 2, FALSE), 0)
    + IFERROR(VLOOKUP($I120, 'Ketebalan Material'!$A:$B, 2, FALSE), 0), 0),
0)</f>
        <v>0</v>
      </c>
      <c r="P120" cm="1">
        <f t="array" ref="P120">IF($M120="PER-LUBANG",
  IFERROR(
     _xlfn.IFS(
        $G120="Hollow",
            INDEX('Referensi Harga'!$C:$C,
                  MATCH($F120&amp;$C120,'Referensi Harga'!$A:$A&amp;'Referensi Harga'!$B:$B,0)),
        $G120="Hollow Stainless",
            INDEX('Referensi Harga'!$D:$D,
                  MATCH($F120&amp;$C120,'Referensi Harga'!$A:$A&amp;'Referensi Harga'!$B:$B,0)),
        $G120="Pipa Stainless",
            INDEX('Referensi Harga'!$E:$E,
                  MATCH($F120&amp;$C120,'Referensi Harga'!$A:$A&amp;'Referensi Harga'!$B:$B,0))
     ),0)
  + IFERROR(VLOOKUP($H120,'Profile Size'!$A:$B,2,FALSE),0)
  + IFERROR(VLOOKUP($I120,'Ketebalan Material'!$A:$B,2,FALSE),0),
0)</f>
        <v>0</v>
      </c>
      <c r="Q120">
        <f>IF($M120="PER-M2",
    IFERROR(
        SUMIFS('Upah Tenaga Ahli'!$C:$C,
               'Upah Tenaga Ahli'!$A:$A,"PER-M2",
               'Upah Tenaga Ahli'!$B:$B,$G120
        ) * $J120 * $K120,
    0),
IF($M120="PER-LUBANG",
    IFERROR(
        SUMIFS('Upah Tenaga Ahli'!$D:$D,
               'Upah Tenaga Ahli'!$A:$A,"PER-LUBANG",
               'Upah Tenaga Ahli'!$B:$B,$G120
        ) * $L120 * $K120,
    0),
IF($M120="PER-M",
    IFERROR(
        SUMIFS('Upah Tenaga Ahli'!$E:$E,
               'Upah Tenaga Ahli'!$A:$A,"PER-M",
               'Upah Tenaga Ahli'!$B:$B,$G120
        ) * $J120 * $K120,
    0),
0)))</f>
        <v>2601000</v>
      </c>
      <c r="R120" t="s">
        <v>617</v>
      </c>
      <c r="S120" t="s">
        <v>23</v>
      </c>
      <c r="T120">
        <f>IF($M120="PER-M2",
   ($N120 * $J120 * $K120)
   + IFERROR(VLOOKUP($R120,Finishing!A:B,2,FALSE),0)
   + IFERROR(VLOOKUP($S120,Kerumitan!A:B,2,FALSE),0),
IF($M120="PER-LUBANG",
   ($P120 * $L120 * $K120)
   + IFERROR(VLOOKUP($R120,Finishing!A:B,2,FALSE),0)
   + IFERROR(VLOOKUP($S120,Kerumitan!A:B,2,FALSE),0),
IF($M120="PER-M",
   ($O120 * $J120 * $K120)
   + IFERROR(VLOOKUP($R120,Finishing!A:B,2,FALSE),0)
   + IFERROR(VLOOKUP($S120,Kerumitan!A:B,2,FALSE),0),
0)))</f>
        <v>19941000</v>
      </c>
    </row>
    <row r="121" spans="1:20" x14ac:dyDescent="0.45">
      <c r="A121" t="s">
        <v>207</v>
      </c>
      <c r="B121" s="5">
        <v>44031</v>
      </c>
      <c r="C121">
        <f t="shared" si="1"/>
        <v>2020</v>
      </c>
      <c r="D121" t="s">
        <v>123</v>
      </c>
      <c r="E121" t="s">
        <v>69</v>
      </c>
      <c r="F121" t="s">
        <v>625</v>
      </c>
      <c r="G121" t="s">
        <v>14</v>
      </c>
      <c r="H121" t="s">
        <v>615</v>
      </c>
      <c r="I121">
        <v>1.2</v>
      </c>
      <c r="J121">
        <v>3.97</v>
      </c>
      <c r="K121">
        <v>1</v>
      </c>
      <c r="L121">
        <v>0</v>
      </c>
      <c r="M121" t="str" cm="1">
        <f t="array" ref="M121">_xlfn.IFS(
   OR($F121="Pagar", $F121="Pintu Gerbang", $F121="Pintu Handerson", $F121="Kanopi"), "PER-M2",
   $F121="Teralis", "PER-LUBANG",
   OR($F121="Railing", $F121="Railing/Balkon"), "PER-M",
   TRUE, ""
)</f>
        <v>PER-M</v>
      </c>
      <c r="N121" cm="1">
        <f t="array" ref="N121">IF($M121="PER-M2",
  IFERROR(
     _xlfn.IFS(
        $G121="Hollow",
            INDEX('Referensi Harga'!$C:$C,
                  MATCH($F121&amp;$C121,'Referensi Harga'!$A:$A&amp;'Referensi Harga'!$B:$B,0)),
        $G121="Hollow Stainless",
            INDEX('Referensi Harga'!$D:$D,
                  MATCH($F121&amp;$C121,'Referensi Harga'!$A:$A&amp;'Referensi Harga'!$B:$B,0)),
        $G121="Pipa Stainless",
            INDEX('Referensi Harga'!$E:$E,
                  MATCH($F121&amp;$C121,'Referensi Harga'!$A:$A&amp;'Referensi Harga'!$B:$B,0))
     ),0)
  + IFERROR(VLOOKUP($H121,'Profile Size'!$A:$B,2,FALSE),0)
  + IFERROR(VLOOKUP($I121,'Ketebalan Material'!$A:$B,2,FALSE),0),
0)</f>
        <v>0</v>
      </c>
      <c r="O121">
        <f>IF($M121="PER-M",
  IFERROR(
    IF($G121="Hollow",
       INDEX('Referensi Harga'!$C:$C, MATCH($F121 &amp; "|" &amp; $C121, 'Referensi Harga'!$F:$F, 0)),
    IF($G121="Hollow Stainless",
       INDEX('Referensi Harga'!$D:$D, MATCH($F121 &amp; "|" &amp; $C121, 'Referensi Harga'!$F:$F, 0)),
       INDEX('Referensi Harga'!$E:$E, MATCH($F121 &amp; "|" &amp; $C121, 'Referensi Harga'!$F:$F, 0))
    ))
    + IFERROR(VLOOKUP($H121, 'Profile Size'!$A:$B, 2, FALSE), 0)
    + IFERROR(VLOOKUP($I121, 'Ketebalan Material'!$A:$B, 2, FALSE), 0), 0),
0)</f>
        <v>1080000</v>
      </c>
      <c r="P121" cm="1">
        <f t="array" ref="P121">IF($M121="PER-LUBANG",
  IFERROR(
     _xlfn.IFS(
        $G121="Hollow",
            INDEX('Referensi Harga'!$C:$C,
                  MATCH($F121&amp;$C121,'Referensi Harga'!$A:$A&amp;'Referensi Harga'!$B:$B,0)),
        $G121="Hollow Stainless",
            INDEX('Referensi Harga'!$D:$D,
                  MATCH($F121&amp;$C121,'Referensi Harga'!$A:$A&amp;'Referensi Harga'!$B:$B,0)),
        $G121="Pipa Stainless",
            INDEX('Referensi Harga'!$E:$E,
                  MATCH($F121&amp;$C121,'Referensi Harga'!$A:$A&amp;'Referensi Harga'!$B:$B,0))
     ),0)
  + IFERROR(VLOOKUP($H121,'Profile Size'!$A:$B,2,FALSE),0)
  + IFERROR(VLOOKUP($I121,'Ketebalan Material'!$A:$B,2,FALSE),0),
0)</f>
        <v>0</v>
      </c>
      <c r="Q121">
        <f>IF($M121="PER-M2",
    IFERROR(
        SUMIFS('Upah Tenaga Ahli'!$C:$C,
               'Upah Tenaga Ahli'!$A:$A,"PER-M2",
               'Upah Tenaga Ahli'!$B:$B,$G121
        ) * $J121 * $K121,
    0),
IF($M121="PER-LUBANG",
    IFERROR(
        SUMIFS('Upah Tenaga Ahli'!$D:$D,
               'Upah Tenaga Ahli'!$A:$A,"PER-LUBANG",
               'Upah Tenaga Ahli'!$B:$B,$G121
        ) * $L121 * $K121,
    0),
IF($M121="PER-M",
    IFERROR(
        SUMIFS('Upah Tenaga Ahli'!$E:$E,
               'Upah Tenaga Ahli'!$A:$A,"PER-M",
               'Upah Tenaga Ahli'!$B:$B,$G121
        ) * $J121 * $K121,
    0),
0)))</f>
        <v>794000</v>
      </c>
      <c r="R121" t="s">
        <v>617</v>
      </c>
      <c r="S121" t="s">
        <v>25</v>
      </c>
      <c r="T121">
        <f>IF($M121="PER-M2",
   ($N121 * $J121 * $K121)
   + IFERROR(VLOOKUP($R121,Finishing!A:B,2,FALSE),0)
   + IFERROR(VLOOKUP($S121,Kerumitan!A:B,2,FALSE),0),
IF($M121="PER-LUBANG",
   ($P121 * $L121 * $K121)
   + IFERROR(VLOOKUP($R121,Finishing!A:B,2,FALSE),0)
   + IFERROR(VLOOKUP($S121,Kerumitan!A:B,2,FALSE),0),
IF($M121="PER-M",
   ($O121 * $J121 * $K121)
   + IFERROR(VLOOKUP($R121,Finishing!A:B,2,FALSE),0)
   + IFERROR(VLOOKUP($S121,Kerumitan!A:B,2,FALSE),0),
0)))</f>
        <v>4437600</v>
      </c>
    </row>
    <row r="122" spans="1:20" x14ac:dyDescent="0.45">
      <c r="A122" t="s">
        <v>208</v>
      </c>
      <c r="B122" s="5">
        <v>44682</v>
      </c>
      <c r="C122">
        <f t="shared" si="1"/>
        <v>2022</v>
      </c>
      <c r="D122" t="s">
        <v>81</v>
      </c>
      <c r="E122" t="s">
        <v>57</v>
      </c>
      <c r="F122" t="s">
        <v>625</v>
      </c>
      <c r="G122" t="s">
        <v>13</v>
      </c>
      <c r="H122" t="s">
        <v>33</v>
      </c>
      <c r="I122">
        <v>0.8</v>
      </c>
      <c r="J122">
        <v>13.35</v>
      </c>
      <c r="K122">
        <v>1</v>
      </c>
      <c r="L122">
        <v>0</v>
      </c>
      <c r="M122" t="str" cm="1">
        <f t="array" ref="M122">_xlfn.IFS(
   OR($F122="Pagar", $F122="Pintu Gerbang", $F122="Pintu Handerson", $F122="Kanopi"), "PER-M2",
   $F122="Teralis", "PER-LUBANG",
   OR($F122="Railing", $F122="Railing/Balkon"), "PER-M",
   TRUE, ""
)</f>
        <v>PER-M</v>
      </c>
      <c r="N122" cm="1">
        <f t="array" ref="N122">IF($M122="PER-M2",
  IFERROR(
     _xlfn.IFS(
        $G122="Hollow",
            INDEX('Referensi Harga'!$C:$C,
                  MATCH($F122&amp;$C122,'Referensi Harga'!$A:$A&amp;'Referensi Harga'!$B:$B,0)),
        $G122="Hollow Stainless",
            INDEX('Referensi Harga'!$D:$D,
                  MATCH($F122&amp;$C122,'Referensi Harga'!$A:$A&amp;'Referensi Harga'!$B:$B,0)),
        $G122="Pipa Stainless",
            INDEX('Referensi Harga'!$E:$E,
                  MATCH($F122&amp;$C122,'Referensi Harga'!$A:$A&amp;'Referensi Harga'!$B:$B,0))
     ),0)
  + IFERROR(VLOOKUP($H122,'Profile Size'!$A:$B,2,FALSE),0)
  + IFERROR(VLOOKUP($I122,'Ketebalan Material'!$A:$B,2,FALSE),0),
0)</f>
        <v>0</v>
      </c>
      <c r="O122">
        <f>IF($M122="PER-M",
  IFERROR(
    IF($G122="Hollow",
       INDEX('Referensi Harga'!$C:$C, MATCH($F122 &amp; "|" &amp; $C122, 'Referensi Harga'!$F:$F, 0)),
    IF($G122="Hollow Stainless",
       INDEX('Referensi Harga'!$D:$D, MATCH($F122 &amp; "|" &amp; $C122, 'Referensi Harga'!$F:$F, 0)),
       INDEX('Referensi Harga'!$E:$E, MATCH($F122 &amp; "|" &amp; $C122, 'Referensi Harga'!$F:$F, 0))
    ))
    + IFERROR(VLOOKUP($H122, 'Profile Size'!$A:$B, 2, FALSE), 0)
    + IFERROR(VLOOKUP($I122, 'Ketebalan Material'!$A:$B, 2, FALSE), 0), 0),
0)</f>
        <v>450000</v>
      </c>
      <c r="P122" cm="1">
        <f t="array" ref="P122">IF($M122="PER-LUBANG",
  IFERROR(
     _xlfn.IFS(
        $G122="Hollow",
            INDEX('Referensi Harga'!$C:$C,
                  MATCH($F122&amp;$C122,'Referensi Harga'!$A:$A&amp;'Referensi Harga'!$B:$B,0)),
        $G122="Hollow Stainless",
            INDEX('Referensi Harga'!$D:$D,
                  MATCH($F122&amp;$C122,'Referensi Harga'!$A:$A&amp;'Referensi Harga'!$B:$B,0)),
        $G122="Pipa Stainless",
            INDEX('Referensi Harga'!$E:$E,
                  MATCH($F122&amp;$C122,'Referensi Harga'!$A:$A&amp;'Referensi Harga'!$B:$B,0))
     ),0)
  + IFERROR(VLOOKUP($H122,'Profile Size'!$A:$B,2,FALSE),0)
  + IFERROR(VLOOKUP($I122,'Ketebalan Material'!$A:$B,2,FALSE),0),
0)</f>
        <v>0</v>
      </c>
      <c r="Q122">
        <f>IF($M122="PER-M2",
    IFERROR(
        SUMIFS('Upah Tenaga Ahli'!$C:$C,
               'Upah Tenaga Ahli'!$A:$A,"PER-M2",
               'Upah Tenaga Ahli'!$B:$B,$G122
        ) * $J122 * $K122,
    0),
IF($M122="PER-LUBANG",
    IFERROR(
        SUMIFS('Upah Tenaga Ahli'!$D:$D,
               'Upah Tenaga Ahli'!$A:$A,"PER-LUBANG",
               'Upah Tenaga Ahli'!$B:$B,$G122
        ) * $L122 * $K122,
    0),
IF($M122="PER-M",
    IFERROR(
        SUMIFS('Upah Tenaga Ahli'!$E:$E,
               'Upah Tenaga Ahli'!$A:$A,"PER-M",
               'Upah Tenaga Ahli'!$B:$B,$G122
        ) * $J122 * $K122,
    0),
0)))</f>
        <v>1335000</v>
      </c>
      <c r="R122" t="s">
        <v>19</v>
      </c>
      <c r="S122" t="s">
        <v>23</v>
      </c>
      <c r="T122">
        <f>IF($M122="PER-M2",
   ($N122 * $J122 * $K122)
   + IFERROR(VLOOKUP($R122,Finishing!A:B,2,FALSE),0)
   + IFERROR(VLOOKUP($S122,Kerumitan!A:B,2,FALSE),0),
IF($M122="PER-LUBANG",
   ($P122 * $L122 * $K122)
   + IFERROR(VLOOKUP($R122,Finishing!A:B,2,FALSE),0)
   + IFERROR(VLOOKUP($S122,Kerumitan!A:B,2,FALSE),0),
IF($M122="PER-M",
   ($O122 * $J122 * $K122)
   + IFERROR(VLOOKUP($R122,Finishing!A:B,2,FALSE),0)
   + IFERROR(VLOOKUP($S122,Kerumitan!A:B,2,FALSE),0),
0)))</f>
        <v>6057500</v>
      </c>
    </row>
    <row r="123" spans="1:20" x14ac:dyDescent="0.45">
      <c r="A123" t="s">
        <v>209</v>
      </c>
      <c r="B123" s="5">
        <v>44114</v>
      </c>
      <c r="C123">
        <f t="shared" si="1"/>
        <v>2020</v>
      </c>
      <c r="D123" t="s">
        <v>133</v>
      </c>
      <c r="E123" t="s">
        <v>91</v>
      </c>
      <c r="F123" t="s">
        <v>625</v>
      </c>
      <c r="G123" t="s">
        <v>15</v>
      </c>
      <c r="H123" t="s">
        <v>33</v>
      </c>
      <c r="I123">
        <v>1</v>
      </c>
      <c r="J123">
        <v>4.33</v>
      </c>
      <c r="K123">
        <v>1</v>
      </c>
      <c r="L123">
        <v>0</v>
      </c>
      <c r="M123" t="str" cm="1">
        <f t="array" ref="M123">_xlfn.IFS(
   OR($F123="Pagar", $F123="Pintu Gerbang", $F123="Pintu Handerson", $F123="Kanopi"), "PER-M2",
   $F123="Teralis", "PER-LUBANG",
   OR($F123="Railing", $F123="Railing/Balkon"), "PER-M",
   TRUE, ""
)</f>
        <v>PER-M</v>
      </c>
      <c r="N123" cm="1">
        <f t="array" ref="N123">IF($M123="PER-M2",
  IFERROR(
     _xlfn.IFS(
        $G123="Hollow",
            INDEX('Referensi Harga'!$C:$C,
                  MATCH($F123&amp;$C123,'Referensi Harga'!$A:$A&amp;'Referensi Harga'!$B:$B,0)),
        $G123="Hollow Stainless",
            INDEX('Referensi Harga'!$D:$D,
                  MATCH($F123&amp;$C123,'Referensi Harga'!$A:$A&amp;'Referensi Harga'!$B:$B,0)),
        $G123="Pipa Stainless",
            INDEX('Referensi Harga'!$E:$E,
                  MATCH($F123&amp;$C123,'Referensi Harga'!$A:$A&amp;'Referensi Harga'!$B:$B,0))
     ),0)
  + IFERROR(VLOOKUP($H123,'Profile Size'!$A:$B,2,FALSE),0)
  + IFERROR(VLOOKUP($I123,'Ketebalan Material'!$A:$B,2,FALSE),0),
0)</f>
        <v>0</v>
      </c>
      <c r="O123">
        <f>IF($M123="PER-M",
  IFERROR(
    IF($G123="Hollow",
       INDEX('Referensi Harga'!$C:$C, MATCH($F123 &amp; "|" &amp; $C123, 'Referensi Harga'!$F:$F, 0)),
    IF($G123="Hollow Stainless",
       INDEX('Referensi Harga'!$D:$D, MATCH($F123 &amp; "|" &amp; $C123, 'Referensi Harga'!$F:$F, 0)),
       INDEX('Referensi Harga'!$E:$E, MATCH($F123 &amp; "|" &amp; $C123, 'Referensi Harga'!$F:$F, 0))
    ))
    + IFERROR(VLOOKUP($H123, 'Profile Size'!$A:$B, 2, FALSE), 0)
    + IFERROR(VLOOKUP($I123, 'Ketebalan Material'!$A:$B, 2, FALSE), 0), 0),
0)</f>
        <v>1100000</v>
      </c>
      <c r="P123" cm="1">
        <f t="array" ref="P123">IF($M123="PER-LUBANG",
  IFERROR(
     _xlfn.IFS(
        $G123="Hollow",
            INDEX('Referensi Harga'!$C:$C,
                  MATCH($F123&amp;$C123,'Referensi Harga'!$A:$A&amp;'Referensi Harga'!$B:$B,0)),
        $G123="Hollow Stainless",
            INDEX('Referensi Harga'!$D:$D,
                  MATCH($F123&amp;$C123,'Referensi Harga'!$A:$A&amp;'Referensi Harga'!$B:$B,0)),
        $G123="Pipa Stainless",
            INDEX('Referensi Harga'!$E:$E,
                  MATCH($F123&amp;$C123,'Referensi Harga'!$A:$A&amp;'Referensi Harga'!$B:$B,0))
     ),0)
  + IFERROR(VLOOKUP($H123,'Profile Size'!$A:$B,2,FALSE),0)
  + IFERROR(VLOOKUP($I123,'Ketebalan Material'!$A:$B,2,FALSE),0),
0)</f>
        <v>0</v>
      </c>
      <c r="Q123">
        <f>IF($M123="PER-M2",
    IFERROR(
        SUMIFS('Upah Tenaga Ahli'!$C:$C,
               'Upah Tenaga Ahli'!$A:$A,"PER-M2",
               'Upah Tenaga Ahli'!$B:$B,$G123
        ) * $J123 * $K123,
    0),
IF($M123="PER-LUBANG",
    IFERROR(
        SUMIFS('Upah Tenaga Ahli'!$D:$D,
               'Upah Tenaga Ahli'!$A:$A,"PER-LUBANG",
               'Upah Tenaga Ahli'!$B:$B,$G123
        ) * $L123 * $K123,
    0),
IF($M123="PER-M",
    IFERROR(
        SUMIFS('Upah Tenaga Ahli'!$E:$E,
               'Upah Tenaga Ahli'!$A:$A,"PER-M",
               'Upah Tenaga Ahli'!$B:$B,$G123
        ) * $J123 * $K123,
    0),
0)))</f>
        <v>649500</v>
      </c>
      <c r="R123" t="s">
        <v>617</v>
      </c>
      <c r="S123" t="s">
        <v>25</v>
      </c>
      <c r="T123">
        <f>IF($M123="PER-M2",
   ($N123 * $J123 * $K123)
   + IFERROR(VLOOKUP($R123,Finishing!A:B,2,FALSE),0)
   + IFERROR(VLOOKUP($S123,Kerumitan!A:B,2,FALSE),0),
IF($M123="PER-LUBANG",
   ($P123 * $L123 * $K123)
   + IFERROR(VLOOKUP($R123,Finishing!A:B,2,FALSE),0)
   + IFERROR(VLOOKUP($S123,Kerumitan!A:B,2,FALSE),0),
IF($M123="PER-M",
   ($O123 * $J123 * $K123)
   + IFERROR(VLOOKUP($R123,Finishing!A:B,2,FALSE),0)
   + IFERROR(VLOOKUP($S123,Kerumitan!A:B,2,FALSE),0),
0)))</f>
        <v>4913000</v>
      </c>
    </row>
    <row r="124" spans="1:20" x14ac:dyDescent="0.45">
      <c r="A124" t="s">
        <v>210</v>
      </c>
      <c r="B124" s="5">
        <v>45425</v>
      </c>
      <c r="C124">
        <f t="shared" si="1"/>
        <v>2024</v>
      </c>
      <c r="D124" t="s">
        <v>31</v>
      </c>
      <c r="E124" t="s">
        <v>28</v>
      </c>
      <c r="F124" t="s">
        <v>625</v>
      </c>
      <c r="G124" t="s">
        <v>15</v>
      </c>
      <c r="H124" t="s">
        <v>33</v>
      </c>
      <c r="I124">
        <v>1.2</v>
      </c>
      <c r="J124">
        <v>2.39</v>
      </c>
      <c r="K124">
        <v>3</v>
      </c>
      <c r="L124">
        <v>0</v>
      </c>
      <c r="M124" t="str" cm="1">
        <f t="array" ref="M124">_xlfn.IFS(
   OR($F124="Pagar", $F124="Pintu Gerbang", $F124="Pintu Handerson", $F124="Kanopi"), "PER-M2",
   $F124="Teralis", "PER-LUBANG",
   OR($F124="Railing", $F124="Railing/Balkon"), "PER-M",
   TRUE, ""
)</f>
        <v>PER-M</v>
      </c>
      <c r="N124" cm="1">
        <f t="array" ref="N124">IF($M124="PER-M2",
  IFERROR(
     _xlfn.IFS(
        $G124="Hollow",
            INDEX('Referensi Harga'!$C:$C,
                  MATCH($F124&amp;$C124,'Referensi Harga'!$A:$A&amp;'Referensi Harga'!$B:$B,0)),
        $G124="Hollow Stainless",
            INDEX('Referensi Harga'!$D:$D,
                  MATCH($F124&amp;$C124,'Referensi Harga'!$A:$A&amp;'Referensi Harga'!$B:$B,0)),
        $G124="Pipa Stainless",
            INDEX('Referensi Harga'!$E:$E,
                  MATCH($F124&amp;$C124,'Referensi Harga'!$A:$A&amp;'Referensi Harga'!$B:$B,0))
     ),0)
  + IFERROR(VLOOKUP($H124,'Profile Size'!$A:$B,2,FALSE),0)
  + IFERROR(VLOOKUP($I124,'Ketebalan Material'!$A:$B,2,FALSE),0),
0)</f>
        <v>0</v>
      </c>
      <c r="O124">
        <f>IF($M124="PER-M",
  IFERROR(
    IF($G124="Hollow",
       INDEX('Referensi Harga'!$C:$C, MATCH($F124 &amp; "|" &amp; $C124, 'Referensi Harga'!$F:$F, 0)),
    IF($G124="Hollow Stainless",
       INDEX('Referensi Harga'!$D:$D, MATCH($F124 &amp; "|" &amp; $C124, 'Referensi Harga'!$F:$F, 0)),
       INDEX('Referensi Harga'!$E:$E, MATCH($F124 &amp; "|" &amp; $C124, 'Referensi Harga'!$F:$F, 0))
    ))
    + IFERROR(VLOOKUP($H124, 'Profile Size'!$A:$B, 2, FALSE), 0)
    + IFERROR(VLOOKUP($I124, 'Ketebalan Material'!$A:$B, 2, FALSE), 0), 0),
0)</f>
        <v>1280000</v>
      </c>
      <c r="P124" cm="1">
        <f t="array" ref="P124">IF($M124="PER-LUBANG",
  IFERROR(
     _xlfn.IFS(
        $G124="Hollow",
            INDEX('Referensi Harga'!$C:$C,
                  MATCH($F124&amp;$C124,'Referensi Harga'!$A:$A&amp;'Referensi Harga'!$B:$B,0)),
        $G124="Hollow Stainless",
            INDEX('Referensi Harga'!$D:$D,
                  MATCH($F124&amp;$C124,'Referensi Harga'!$A:$A&amp;'Referensi Harga'!$B:$B,0)),
        $G124="Pipa Stainless",
            INDEX('Referensi Harga'!$E:$E,
                  MATCH($F124&amp;$C124,'Referensi Harga'!$A:$A&amp;'Referensi Harga'!$B:$B,0))
     ),0)
  + IFERROR(VLOOKUP($H124,'Profile Size'!$A:$B,2,FALSE),0)
  + IFERROR(VLOOKUP($I124,'Ketebalan Material'!$A:$B,2,FALSE),0),
0)</f>
        <v>0</v>
      </c>
      <c r="Q124">
        <f>IF($M124="PER-M2",
    IFERROR(
        SUMIFS('Upah Tenaga Ahli'!$C:$C,
               'Upah Tenaga Ahli'!$A:$A,"PER-M2",
               'Upah Tenaga Ahli'!$B:$B,$G124
        ) * $J124 * $K124,
    0),
IF($M124="PER-LUBANG",
    IFERROR(
        SUMIFS('Upah Tenaga Ahli'!$D:$D,
               'Upah Tenaga Ahli'!$A:$A,"PER-LUBANG",
               'Upah Tenaga Ahli'!$B:$B,$G124
        ) * $L124 * $K124,
    0),
IF($M124="PER-M",
    IFERROR(
        SUMIFS('Upah Tenaga Ahli'!$E:$E,
               'Upah Tenaga Ahli'!$A:$A,"PER-M",
               'Upah Tenaga Ahli'!$B:$B,$G124
        ) * $J124 * $K124,
    0),
0)))</f>
        <v>1075500</v>
      </c>
      <c r="R124" t="s">
        <v>617</v>
      </c>
      <c r="S124" t="s">
        <v>24</v>
      </c>
      <c r="T124">
        <f>IF($M124="PER-M2",
   ($N124 * $J124 * $K124)
   + IFERROR(VLOOKUP($R124,Finishing!A:B,2,FALSE),0)
   + IFERROR(VLOOKUP($S124,Kerumitan!A:B,2,FALSE),0),
IF($M124="PER-LUBANG",
   ($P124 * $L124 * $K124)
   + IFERROR(VLOOKUP($R124,Finishing!A:B,2,FALSE),0)
   + IFERROR(VLOOKUP($S124,Kerumitan!A:B,2,FALSE),0),
IF($M124="PER-M",
   ($O124 * $J124 * $K124)
   + IFERROR(VLOOKUP($R124,Finishing!A:B,2,FALSE),0)
   + IFERROR(VLOOKUP($S124,Kerumitan!A:B,2,FALSE),0),
0)))</f>
        <v>9277600</v>
      </c>
    </row>
    <row r="125" spans="1:20" x14ac:dyDescent="0.45">
      <c r="A125" t="s">
        <v>211</v>
      </c>
      <c r="B125" s="5">
        <v>45724</v>
      </c>
      <c r="C125">
        <f t="shared" si="1"/>
        <v>2025</v>
      </c>
      <c r="D125" t="s">
        <v>115</v>
      </c>
      <c r="E125" t="s">
        <v>69</v>
      </c>
      <c r="F125" t="s">
        <v>7</v>
      </c>
      <c r="G125" t="s">
        <v>13</v>
      </c>
      <c r="H125" t="s">
        <v>33</v>
      </c>
      <c r="I125">
        <v>1.2</v>
      </c>
      <c r="J125">
        <v>10.15</v>
      </c>
      <c r="K125">
        <v>1</v>
      </c>
      <c r="L125">
        <v>0</v>
      </c>
      <c r="M125" t="str" cm="1">
        <f t="array" ref="M125">_xlfn.IFS(
   OR($F125="Pagar", $F125="Pintu Gerbang", $F125="Pintu Handerson", $F125="Kanopi"), "PER-M2",
   $F125="Teralis", "PER-LUBANG",
   OR($F125="Railing", $F125="Railing/Balkon"), "PER-M",
   TRUE, ""
)</f>
        <v>PER-M2</v>
      </c>
      <c r="N125" cm="1">
        <f t="array" ref="N125">IF($M125="PER-M2",
  IFERROR(
     _xlfn.IFS(
        $G125="Hollow",
            INDEX('Referensi Harga'!$C:$C,
                  MATCH($F125&amp;$C125,'Referensi Harga'!$A:$A&amp;'Referensi Harga'!$B:$B,0)),
        $G125="Hollow Stainless",
            INDEX('Referensi Harga'!$D:$D,
                  MATCH($F125&amp;$C125,'Referensi Harga'!$A:$A&amp;'Referensi Harga'!$B:$B,0)),
        $G125="Pipa Stainless",
            INDEX('Referensi Harga'!$E:$E,
                  MATCH($F125&amp;$C125,'Referensi Harga'!$A:$A&amp;'Referensi Harga'!$B:$B,0))
     ),0)
  + IFERROR(VLOOKUP($H125,'Profile Size'!$A:$B,2,FALSE),0)
  + IFERROR(VLOOKUP($I125,'Ketebalan Material'!$A:$B,2,FALSE),0),
0)</f>
        <v>850000</v>
      </c>
      <c r="O125">
        <f>IF($M125="PER-M",
  IFERROR(
    IF($G125="Hollow",
       INDEX('Referensi Harga'!$C:$C, MATCH($F125 &amp; "|" &amp; $C125, 'Referensi Harga'!$F:$F, 0)),
    IF($G125="Hollow Stainless",
       INDEX('Referensi Harga'!$D:$D, MATCH($F125 &amp; "|" &amp; $C125, 'Referensi Harga'!$F:$F, 0)),
       INDEX('Referensi Harga'!$E:$E, MATCH($F125 &amp; "|" &amp; $C125, 'Referensi Harga'!$F:$F, 0))
    ))
    + IFERROR(VLOOKUP($H125, 'Profile Size'!$A:$B, 2, FALSE), 0)
    + IFERROR(VLOOKUP($I125, 'Ketebalan Material'!$A:$B, 2, FALSE), 0), 0),
0)</f>
        <v>0</v>
      </c>
      <c r="P125" cm="1">
        <f t="array" ref="P125">IF($M125="PER-LUBANG",
  IFERROR(
     _xlfn.IFS(
        $G125="Hollow",
            INDEX('Referensi Harga'!$C:$C,
                  MATCH($F125&amp;$C125,'Referensi Harga'!$A:$A&amp;'Referensi Harga'!$B:$B,0)),
        $G125="Hollow Stainless",
            INDEX('Referensi Harga'!$D:$D,
                  MATCH($F125&amp;$C125,'Referensi Harga'!$A:$A&amp;'Referensi Harga'!$B:$B,0)),
        $G125="Pipa Stainless",
            INDEX('Referensi Harga'!$E:$E,
                  MATCH($F125&amp;$C125,'Referensi Harga'!$A:$A&amp;'Referensi Harga'!$B:$B,0))
     ),0)
  + IFERROR(VLOOKUP($H125,'Profile Size'!$A:$B,2,FALSE),0)
  + IFERROR(VLOOKUP($I125,'Ketebalan Material'!$A:$B,2,FALSE),0),
0)</f>
        <v>0</v>
      </c>
      <c r="Q125">
        <f>IF($M125="PER-M2",
    IFERROR(
        SUMIFS('Upah Tenaga Ahli'!$C:$C,
               'Upah Tenaga Ahli'!$A:$A,"PER-M2",
               'Upah Tenaga Ahli'!$B:$B,$G125
        ) * $J125 * $K125,
    0),
IF($M125="PER-LUBANG",
    IFERROR(
        SUMIFS('Upah Tenaga Ahli'!$D:$D,
               'Upah Tenaga Ahli'!$A:$A,"PER-LUBANG",
               'Upah Tenaga Ahli'!$B:$B,$G125
        ) * $L125 * $K125,
    0),
IF($M125="PER-M",
    IFERROR(
        SUMIFS('Upah Tenaga Ahli'!$E:$E,
               'Upah Tenaga Ahli'!$A:$A,"PER-M",
               'Upah Tenaga Ahli'!$B:$B,$G125
        ) * $J125 * $K125,
    0),
0)))</f>
        <v>1015000</v>
      </c>
      <c r="R125" t="s">
        <v>19</v>
      </c>
      <c r="S125" t="s">
        <v>24</v>
      </c>
      <c r="T125">
        <f>IF($M125="PER-M2",
   ($N125 * $J125 * $K125)
   + IFERROR(VLOOKUP($R125,Finishing!A:B,2,FALSE),0)
   + IFERROR(VLOOKUP($S125,Kerumitan!A:B,2,FALSE),0),
IF($M125="PER-LUBANG",
   ($P125 * $L125 * $K125)
   + IFERROR(VLOOKUP($R125,Finishing!A:B,2,FALSE),0)
   + IFERROR(VLOOKUP($S125,Kerumitan!A:B,2,FALSE),0),
IF($M125="PER-M",
   ($O125 * $J125 * $K125)
   + IFERROR(VLOOKUP($R125,Finishing!A:B,2,FALSE),0)
   + IFERROR(VLOOKUP($S125,Kerumitan!A:B,2,FALSE),0),
0)))</f>
        <v>8777500</v>
      </c>
    </row>
    <row r="126" spans="1:20" x14ac:dyDescent="0.45">
      <c r="A126" t="s">
        <v>212</v>
      </c>
      <c r="B126" s="5">
        <v>44194</v>
      </c>
      <c r="C126">
        <f t="shared" si="1"/>
        <v>2020</v>
      </c>
      <c r="D126" t="s">
        <v>68</v>
      </c>
      <c r="E126" t="s">
        <v>32</v>
      </c>
      <c r="F126" t="s">
        <v>625</v>
      </c>
      <c r="G126" t="s">
        <v>13</v>
      </c>
      <c r="H126" t="s">
        <v>33</v>
      </c>
      <c r="I126">
        <v>0.8</v>
      </c>
      <c r="J126">
        <v>7.57</v>
      </c>
      <c r="K126">
        <v>3</v>
      </c>
      <c r="L126">
        <v>0</v>
      </c>
      <c r="M126" t="str" cm="1">
        <f t="array" ref="M126">_xlfn.IFS(
   OR($F126="Pagar", $F126="Pintu Gerbang", $F126="Pintu Handerson", $F126="Kanopi"), "PER-M2",
   $F126="Teralis", "PER-LUBANG",
   OR($F126="Railing", $F126="Railing/Balkon"), "PER-M",
   TRUE, ""
)</f>
        <v>PER-M</v>
      </c>
      <c r="N126" cm="1">
        <f t="array" ref="N126">IF($M126="PER-M2",
  IFERROR(
     _xlfn.IFS(
        $G126="Hollow",
            INDEX('Referensi Harga'!$C:$C,
                  MATCH($F126&amp;$C126,'Referensi Harga'!$A:$A&amp;'Referensi Harga'!$B:$B,0)),
        $G126="Hollow Stainless",
            INDEX('Referensi Harga'!$D:$D,
                  MATCH($F126&amp;$C126,'Referensi Harga'!$A:$A&amp;'Referensi Harga'!$B:$B,0)),
        $G126="Pipa Stainless",
            INDEX('Referensi Harga'!$E:$E,
                  MATCH($F126&amp;$C126,'Referensi Harga'!$A:$A&amp;'Referensi Harga'!$B:$B,0))
     ),0)
  + IFERROR(VLOOKUP($H126,'Profile Size'!$A:$B,2,FALSE),0)
  + IFERROR(VLOOKUP($I126,'Ketebalan Material'!$A:$B,2,FALSE),0),
0)</f>
        <v>0</v>
      </c>
      <c r="O126">
        <f>IF($M126="PER-M",
  IFERROR(
    IF($G126="Hollow",
       INDEX('Referensi Harga'!$C:$C, MATCH($F126 &amp; "|" &amp; $C126, 'Referensi Harga'!$F:$F, 0)),
    IF($G126="Hollow Stainless",
       INDEX('Referensi Harga'!$D:$D, MATCH($F126 &amp; "|" &amp; $C126, 'Referensi Harga'!$F:$F, 0)),
       INDEX('Referensi Harga'!$E:$E, MATCH($F126 &amp; "|" &amp; $C126, 'Referensi Harga'!$F:$F, 0))
    ))
    + IFERROR(VLOOKUP($H126, 'Profile Size'!$A:$B, 2, FALSE), 0)
    + IFERROR(VLOOKUP($I126, 'Ketebalan Material'!$A:$B, 2, FALSE), 0), 0),
0)</f>
        <v>400000</v>
      </c>
      <c r="P126" cm="1">
        <f t="array" ref="P126">IF($M126="PER-LUBANG",
  IFERROR(
     _xlfn.IFS(
        $G126="Hollow",
            INDEX('Referensi Harga'!$C:$C,
                  MATCH($F126&amp;$C126,'Referensi Harga'!$A:$A&amp;'Referensi Harga'!$B:$B,0)),
        $G126="Hollow Stainless",
            INDEX('Referensi Harga'!$D:$D,
                  MATCH($F126&amp;$C126,'Referensi Harga'!$A:$A&amp;'Referensi Harga'!$B:$B,0)),
        $G126="Pipa Stainless",
            INDEX('Referensi Harga'!$E:$E,
                  MATCH($F126&amp;$C126,'Referensi Harga'!$A:$A&amp;'Referensi Harga'!$B:$B,0))
     ),0)
  + IFERROR(VLOOKUP($H126,'Profile Size'!$A:$B,2,FALSE),0)
  + IFERROR(VLOOKUP($I126,'Ketebalan Material'!$A:$B,2,FALSE),0),
0)</f>
        <v>0</v>
      </c>
      <c r="Q126">
        <f>IF($M126="PER-M2",
    IFERROR(
        SUMIFS('Upah Tenaga Ahli'!$C:$C,
               'Upah Tenaga Ahli'!$A:$A,"PER-M2",
               'Upah Tenaga Ahli'!$B:$B,$G126
        ) * $J126 * $K126,
    0),
IF($M126="PER-LUBANG",
    IFERROR(
        SUMIFS('Upah Tenaga Ahli'!$D:$D,
               'Upah Tenaga Ahli'!$A:$A,"PER-LUBANG",
               'Upah Tenaga Ahli'!$B:$B,$G126
        ) * $L126 * $K126,
    0),
IF($M126="PER-M",
    IFERROR(
        SUMIFS('Upah Tenaga Ahli'!$E:$E,
               'Upah Tenaga Ahli'!$A:$A,"PER-M",
               'Upah Tenaga Ahli'!$B:$B,$G126
        ) * $J126 * $K126,
    0),
0)))</f>
        <v>2271000</v>
      </c>
      <c r="R126" t="s">
        <v>19</v>
      </c>
      <c r="S126" t="s">
        <v>23</v>
      </c>
      <c r="T126">
        <f>IF($M126="PER-M2",
   ($N126 * $J126 * $K126)
   + IFERROR(VLOOKUP($R126,Finishing!A:B,2,FALSE),0)
   + IFERROR(VLOOKUP($S126,Kerumitan!A:B,2,FALSE),0),
IF($M126="PER-LUBANG",
   ($P126 * $L126 * $K126)
   + IFERROR(VLOOKUP($R126,Finishing!A:B,2,FALSE),0)
   + IFERROR(VLOOKUP($S126,Kerumitan!A:B,2,FALSE),0),
IF($M126="PER-M",
   ($O126 * $J126 * $K126)
   + IFERROR(VLOOKUP($R126,Finishing!A:B,2,FALSE),0)
   + IFERROR(VLOOKUP($S126,Kerumitan!A:B,2,FALSE),0),
0)))</f>
        <v>9134000</v>
      </c>
    </row>
    <row r="127" spans="1:20" x14ac:dyDescent="0.45">
      <c r="A127" t="s">
        <v>213</v>
      </c>
      <c r="B127" s="5">
        <v>43573</v>
      </c>
      <c r="C127">
        <f t="shared" si="1"/>
        <v>2019</v>
      </c>
      <c r="D127" t="s">
        <v>37</v>
      </c>
      <c r="E127" t="s">
        <v>108</v>
      </c>
      <c r="F127" t="s">
        <v>625</v>
      </c>
      <c r="G127" t="s">
        <v>15</v>
      </c>
      <c r="H127" t="s">
        <v>33</v>
      </c>
      <c r="I127">
        <v>1.2</v>
      </c>
      <c r="J127">
        <v>13.16</v>
      </c>
      <c r="K127">
        <v>1</v>
      </c>
      <c r="L127">
        <v>0</v>
      </c>
      <c r="M127" t="str" cm="1">
        <f t="array" ref="M127">_xlfn.IFS(
   OR($F127="Pagar", $F127="Pintu Gerbang", $F127="Pintu Handerson", $F127="Kanopi"), "PER-M2",
   $F127="Teralis", "PER-LUBANG",
   OR($F127="Railing", $F127="Railing/Balkon"), "PER-M",
   TRUE, ""
)</f>
        <v>PER-M</v>
      </c>
      <c r="N127" cm="1">
        <f t="array" ref="N127">IF($M127="PER-M2",
  IFERROR(
     _xlfn.IFS(
        $G127="Hollow",
            INDEX('Referensi Harga'!$C:$C,
                  MATCH($F127&amp;$C127,'Referensi Harga'!$A:$A&amp;'Referensi Harga'!$B:$B,0)),
        $G127="Hollow Stainless",
            INDEX('Referensi Harga'!$D:$D,
                  MATCH($F127&amp;$C127,'Referensi Harga'!$A:$A&amp;'Referensi Harga'!$B:$B,0)),
        $G127="Pipa Stainless",
            INDEX('Referensi Harga'!$E:$E,
                  MATCH($F127&amp;$C127,'Referensi Harga'!$A:$A&amp;'Referensi Harga'!$B:$B,0))
     ),0)
  + IFERROR(VLOOKUP($H127,'Profile Size'!$A:$B,2,FALSE),0)
  + IFERROR(VLOOKUP($I127,'Ketebalan Material'!$A:$B,2,FALSE),0),
0)</f>
        <v>0</v>
      </c>
      <c r="O127">
        <f>IF($M127="PER-M",
  IFERROR(
    IF($G127="Hollow",
       INDEX('Referensi Harga'!$C:$C, MATCH($F127 &amp; "|" &amp; $C127, 'Referensi Harga'!$F:$F, 0)),
    IF($G127="Hollow Stainless",
       INDEX('Referensi Harga'!$D:$D, MATCH($F127 &amp; "|" &amp; $C127, 'Referensi Harga'!$F:$F, 0)),
       INDEX('Referensi Harga'!$E:$E, MATCH($F127 &amp; "|" &amp; $C127, 'Referensi Harga'!$F:$F, 0))
    ))
    + IFERROR(VLOOKUP($H127, 'Profile Size'!$A:$B, 2, FALSE), 0)
    + IFERROR(VLOOKUP($I127, 'Ketebalan Material'!$A:$B, 2, FALSE), 0), 0),
0)</f>
        <v>1100000</v>
      </c>
      <c r="P127" cm="1">
        <f t="array" ref="P127">IF($M127="PER-LUBANG",
  IFERROR(
     _xlfn.IFS(
        $G127="Hollow",
            INDEX('Referensi Harga'!$C:$C,
                  MATCH($F127&amp;$C127,'Referensi Harga'!$A:$A&amp;'Referensi Harga'!$B:$B,0)),
        $G127="Hollow Stainless",
            INDEX('Referensi Harga'!$D:$D,
                  MATCH($F127&amp;$C127,'Referensi Harga'!$A:$A&amp;'Referensi Harga'!$B:$B,0)),
        $G127="Pipa Stainless",
            INDEX('Referensi Harga'!$E:$E,
                  MATCH($F127&amp;$C127,'Referensi Harga'!$A:$A&amp;'Referensi Harga'!$B:$B,0))
     ),0)
  + IFERROR(VLOOKUP($H127,'Profile Size'!$A:$B,2,FALSE),0)
  + IFERROR(VLOOKUP($I127,'Ketebalan Material'!$A:$B,2,FALSE),0),
0)</f>
        <v>0</v>
      </c>
      <c r="Q127">
        <f>IF($M127="PER-M2",
    IFERROR(
        SUMIFS('Upah Tenaga Ahli'!$C:$C,
               'Upah Tenaga Ahli'!$A:$A,"PER-M2",
               'Upah Tenaga Ahli'!$B:$B,$G127
        ) * $J127 * $K127,
    0),
IF($M127="PER-LUBANG",
    IFERROR(
        SUMIFS('Upah Tenaga Ahli'!$D:$D,
               'Upah Tenaga Ahli'!$A:$A,"PER-LUBANG",
               'Upah Tenaga Ahli'!$B:$B,$G127
        ) * $L127 * $K127,
    0),
IF($M127="PER-M",
    IFERROR(
        SUMIFS('Upah Tenaga Ahli'!$E:$E,
               'Upah Tenaga Ahli'!$A:$A,"PER-M",
               'Upah Tenaga Ahli'!$B:$B,$G127
        ) * $J127 * $K127,
    0),
0)))</f>
        <v>1974000</v>
      </c>
      <c r="R127" t="s">
        <v>617</v>
      </c>
      <c r="S127" t="s">
        <v>23</v>
      </c>
      <c r="T127">
        <f>IF($M127="PER-M2",
   ($N127 * $J127 * $K127)
   + IFERROR(VLOOKUP($R127,Finishing!A:B,2,FALSE),0)
   + IFERROR(VLOOKUP($S127,Kerumitan!A:B,2,FALSE),0),
IF($M127="PER-LUBANG",
   ($P127 * $L127 * $K127)
   + IFERROR(VLOOKUP($R127,Finishing!A:B,2,FALSE),0)
   + IFERROR(VLOOKUP($S127,Kerumitan!A:B,2,FALSE),0),
IF($M127="PER-M",
   ($O127 * $J127 * $K127)
   + IFERROR(VLOOKUP($R127,Finishing!A:B,2,FALSE),0)
   + IFERROR(VLOOKUP($S127,Kerumitan!A:B,2,FALSE),0),
0)))</f>
        <v>14476000</v>
      </c>
    </row>
    <row r="128" spans="1:20" x14ac:dyDescent="0.45">
      <c r="A128" t="s">
        <v>214</v>
      </c>
      <c r="B128" s="5">
        <v>45437</v>
      </c>
      <c r="C128">
        <f t="shared" si="1"/>
        <v>2024</v>
      </c>
      <c r="D128" t="s">
        <v>133</v>
      </c>
      <c r="E128" t="s">
        <v>75</v>
      </c>
      <c r="F128" t="s">
        <v>625</v>
      </c>
      <c r="G128" t="s">
        <v>13</v>
      </c>
      <c r="H128" t="s">
        <v>46</v>
      </c>
      <c r="I128">
        <v>0.8</v>
      </c>
      <c r="J128">
        <v>4.09</v>
      </c>
      <c r="K128">
        <v>2</v>
      </c>
      <c r="L128">
        <v>0</v>
      </c>
      <c r="M128" t="str" cm="1">
        <f t="array" ref="M128">_xlfn.IFS(
   OR($F128="Pagar", $F128="Pintu Gerbang", $F128="Pintu Handerson", $F128="Kanopi"), "PER-M2",
   $F128="Teralis", "PER-LUBANG",
   OR($F128="Railing", $F128="Railing/Balkon"), "PER-M",
   TRUE, ""
)</f>
        <v>PER-M</v>
      </c>
      <c r="N128" cm="1">
        <f t="array" ref="N128">IF($M128="PER-M2",
  IFERROR(
     _xlfn.IFS(
        $G128="Hollow",
            INDEX('Referensi Harga'!$C:$C,
                  MATCH($F128&amp;$C128,'Referensi Harga'!$A:$A&amp;'Referensi Harga'!$B:$B,0)),
        $G128="Hollow Stainless",
            INDEX('Referensi Harga'!$D:$D,
                  MATCH($F128&amp;$C128,'Referensi Harga'!$A:$A&amp;'Referensi Harga'!$B:$B,0)),
        $G128="Pipa Stainless",
            INDEX('Referensi Harga'!$E:$E,
                  MATCH($F128&amp;$C128,'Referensi Harga'!$A:$A&amp;'Referensi Harga'!$B:$B,0))
     ),0)
  + IFERROR(VLOOKUP($H128,'Profile Size'!$A:$B,2,FALSE),0)
  + IFERROR(VLOOKUP($I128,'Ketebalan Material'!$A:$B,2,FALSE),0),
0)</f>
        <v>0</v>
      </c>
      <c r="O128">
        <f>IF($M128="PER-M",
  IFERROR(
    IF($G128="Hollow",
       INDEX('Referensi Harga'!$C:$C, MATCH($F128 &amp; "|" &amp; $C128, 'Referensi Harga'!$F:$F, 0)),
    IF($G128="Hollow Stainless",
       INDEX('Referensi Harga'!$D:$D, MATCH($F128 &amp; "|" &amp; $C128, 'Referensi Harga'!$F:$F, 0)),
       INDEX('Referensi Harga'!$E:$E, MATCH($F128 &amp; "|" &amp; $C128, 'Referensi Harga'!$F:$F, 0))
    ))
    + IFERROR(VLOOKUP($H128, 'Profile Size'!$A:$B, 2, FALSE), 0)
    + IFERROR(VLOOKUP($I128, 'Ketebalan Material'!$A:$B, 2, FALSE), 0), 0),
0)</f>
        <v>550000</v>
      </c>
      <c r="P128" cm="1">
        <f t="array" ref="P128">IF($M128="PER-LUBANG",
  IFERROR(
     _xlfn.IFS(
        $G128="Hollow",
            INDEX('Referensi Harga'!$C:$C,
                  MATCH($F128&amp;$C128,'Referensi Harga'!$A:$A&amp;'Referensi Harga'!$B:$B,0)),
        $G128="Hollow Stainless",
            INDEX('Referensi Harga'!$D:$D,
                  MATCH($F128&amp;$C128,'Referensi Harga'!$A:$A&amp;'Referensi Harga'!$B:$B,0)),
        $G128="Pipa Stainless",
            INDEX('Referensi Harga'!$E:$E,
                  MATCH($F128&amp;$C128,'Referensi Harga'!$A:$A&amp;'Referensi Harga'!$B:$B,0))
     ),0)
  + IFERROR(VLOOKUP($H128,'Profile Size'!$A:$B,2,FALSE),0)
  + IFERROR(VLOOKUP($I128,'Ketebalan Material'!$A:$B,2,FALSE),0),
0)</f>
        <v>0</v>
      </c>
      <c r="Q128">
        <f>IF($M128="PER-M2",
    IFERROR(
        SUMIFS('Upah Tenaga Ahli'!$C:$C,
               'Upah Tenaga Ahli'!$A:$A,"PER-M2",
               'Upah Tenaga Ahli'!$B:$B,$G128
        ) * $J128 * $K128,
    0),
IF($M128="PER-LUBANG",
    IFERROR(
        SUMIFS('Upah Tenaga Ahli'!$D:$D,
               'Upah Tenaga Ahli'!$A:$A,"PER-LUBANG",
               'Upah Tenaga Ahli'!$B:$B,$G128
        ) * $L128 * $K128,
    0),
IF($M128="PER-M",
    IFERROR(
        SUMIFS('Upah Tenaga Ahli'!$E:$E,
               'Upah Tenaga Ahli'!$A:$A,"PER-M",
               'Upah Tenaga Ahli'!$B:$B,$G128
        ) * $J128 * $K128,
    0),
0)))</f>
        <v>818000</v>
      </c>
      <c r="R128" t="s">
        <v>19</v>
      </c>
      <c r="S128" t="s">
        <v>23</v>
      </c>
      <c r="T128">
        <f>IF($M128="PER-M2",
   ($N128 * $J128 * $K128)
   + IFERROR(VLOOKUP($R128,Finishing!A:B,2,FALSE),0)
   + IFERROR(VLOOKUP($S128,Kerumitan!A:B,2,FALSE),0),
IF($M128="PER-LUBANG",
   ($P128 * $L128 * $K128)
   + IFERROR(VLOOKUP($R128,Finishing!A:B,2,FALSE),0)
   + IFERROR(VLOOKUP($S128,Kerumitan!A:B,2,FALSE),0),
IF($M128="PER-M",
   ($O128 * $J128 * $K128)
   + IFERROR(VLOOKUP($R128,Finishing!A:B,2,FALSE),0)
   + IFERROR(VLOOKUP($S128,Kerumitan!A:B,2,FALSE),0),
0)))</f>
        <v>4549000</v>
      </c>
    </row>
    <row r="129" spans="1:20" x14ac:dyDescent="0.45">
      <c r="A129" t="s">
        <v>215</v>
      </c>
      <c r="B129" s="5">
        <v>44647</v>
      </c>
      <c r="C129">
        <f t="shared" si="1"/>
        <v>2022</v>
      </c>
      <c r="D129" t="s">
        <v>169</v>
      </c>
      <c r="E129" t="s">
        <v>121</v>
      </c>
      <c r="F129" t="s">
        <v>8</v>
      </c>
      <c r="G129" t="s">
        <v>15</v>
      </c>
      <c r="H129" t="s">
        <v>612</v>
      </c>
      <c r="I129">
        <v>1</v>
      </c>
      <c r="J129">
        <v>0</v>
      </c>
      <c r="K129">
        <v>1</v>
      </c>
      <c r="L129">
        <v>19</v>
      </c>
      <c r="M129" t="str" cm="1">
        <f t="array" ref="M129">_xlfn.IFS(
   OR($F129="Pagar", $F129="Pintu Gerbang", $F129="Pintu Handerson", $F129="Kanopi"), "PER-M2",
   $F129="Teralis", "PER-LUBANG",
   OR($F129="Railing", $F129="Railing/Balkon"), "PER-M",
   TRUE, ""
)</f>
        <v>PER-LUBANG</v>
      </c>
      <c r="N129" cm="1">
        <f t="array" ref="N129">IF($M129="PER-M2",
  IFERROR(
     _xlfn.IFS(
        $G129="Hollow",
            INDEX('Referensi Harga'!$C:$C,
                  MATCH($F129&amp;$C129,'Referensi Harga'!$A:$A&amp;'Referensi Harga'!$B:$B,0)),
        $G129="Hollow Stainless",
            INDEX('Referensi Harga'!$D:$D,
                  MATCH($F129&amp;$C129,'Referensi Harga'!$A:$A&amp;'Referensi Harga'!$B:$B,0)),
        $G129="Pipa Stainless",
            INDEX('Referensi Harga'!$E:$E,
                  MATCH($F129&amp;$C129,'Referensi Harga'!$A:$A&amp;'Referensi Harga'!$B:$B,0))
     ),0)
  + IFERROR(VLOOKUP($H129,'Profile Size'!$A:$B,2,FALSE),0)
  + IFERROR(VLOOKUP($I129,'Ketebalan Material'!$A:$B,2,FALSE),0),
0)</f>
        <v>0</v>
      </c>
      <c r="O129">
        <f>IF($M129="PER-M",
  IFERROR(
    IF($G129="Hollow",
       INDEX('Referensi Harga'!$C:$C, MATCH($F129 &amp; "|" &amp; $C129, 'Referensi Harga'!$F:$F, 0)),
    IF($G129="Hollow Stainless",
       INDEX('Referensi Harga'!$D:$D, MATCH($F129 &amp; "|" &amp; $C129, 'Referensi Harga'!$F:$F, 0)),
       INDEX('Referensi Harga'!$E:$E, MATCH($F129 &amp; "|" &amp; $C129, 'Referensi Harga'!$F:$F, 0))
    ))
    + IFERROR(VLOOKUP($H129, 'Profile Size'!$A:$B, 2, FALSE), 0)
    + IFERROR(VLOOKUP($I129, 'Ketebalan Material'!$A:$B, 2, FALSE), 0), 0),
0)</f>
        <v>0</v>
      </c>
      <c r="P129" cm="1">
        <f t="array" ref="P129">IF($M129="PER-LUBANG",
  IFERROR(
     _xlfn.IFS(
        $G129="Hollow",
            INDEX('Referensi Harga'!$C:$C,
                  MATCH($F129&amp;$C129,'Referensi Harga'!$A:$A&amp;'Referensi Harga'!$B:$B,0)),
        $G129="Hollow Stainless",
            INDEX('Referensi Harga'!$D:$D,
                  MATCH($F129&amp;$C129,'Referensi Harga'!$A:$A&amp;'Referensi Harga'!$B:$B,0)),
        $G129="Pipa Stainless",
            INDEX('Referensi Harga'!$E:$E,
                  MATCH($F129&amp;$C129,'Referensi Harga'!$A:$A&amp;'Referensi Harga'!$B:$B,0))
     ),0)
  + IFERROR(VLOOKUP($H129,'Profile Size'!$A:$B,2,FALSE),0)
  + IFERROR(VLOOKUP($I129,'Ketebalan Material'!$A:$B,2,FALSE),0),
0)</f>
        <v>830000</v>
      </c>
      <c r="Q129">
        <f>IF($M129="PER-M2",
    IFERROR(
        SUMIFS('Upah Tenaga Ahli'!$C:$C,
               'Upah Tenaga Ahli'!$A:$A,"PER-M2",
               'Upah Tenaga Ahli'!$B:$B,$G129
        ) * $J129 * $K129,
    0),
IF($M129="PER-LUBANG",
    IFERROR(
        SUMIFS('Upah Tenaga Ahli'!$D:$D,
               'Upah Tenaga Ahli'!$A:$A,"PER-LUBANG",
               'Upah Tenaga Ahli'!$B:$B,$G129
        ) * $L129 * $K129,
    0),
IF($M129="PER-M",
    IFERROR(
        SUMIFS('Upah Tenaga Ahli'!$E:$E,
               'Upah Tenaga Ahli'!$A:$A,"PER-M",
               'Upah Tenaga Ahli'!$B:$B,$G129
        ) * $J129 * $K129,
    0),
0)))</f>
        <v>2850000</v>
      </c>
      <c r="R129" t="s">
        <v>617</v>
      </c>
      <c r="S129" t="s">
        <v>25</v>
      </c>
      <c r="T129">
        <f>IF($M129="PER-M2",
   ($N129 * $J129 * $K129)
   + IFERROR(VLOOKUP($R129,Finishing!A:B,2,FALSE),0)
   + IFERROR(VLOOKUP($S129,Kerumitan!A:B,2,FALSE),0),
IF($M129="PER-LUBANG",
   ($P129 * $L129 * $K129)
   + IFERROR(VLOOKUP($R129,Finishing!A:B,2,FALSE),0)
   + IFERROR(VLOOKUP($S129,Kerumitan!A:B,2,FALSE),0),
IF($M129="PER-M",
   ($O129 * $J129 * $K129)
   + IFERROR(VLOOKUP($R129,Finishing!A:B,2,FALSE),0)
   + IFERROR(VLOOKUP($S129,Kerumitan!A:B,2,FALSE),0),
0)))</f>
        <v>15920000</v>
      </c>
    </row>
    <row r="130" spans="1:20" x14ac:dyDescent="0.45">
      <c r="A130" t="s">
        <v>216</v>
      </c>
      <c r="B130" s="5">
        <v>45726</v>
      </c>
      <c r="C130">
        <f t="shared" si="1"/>
        <v>2025</v>
      </c>
      <c r="D130" t="s">
        <v>143</v>
      </c>
      <c r="E130" t="s">
        <v>38</v>
      </c>
      <c r="F130" t="s">
        <v>7</v>
      </c>
      <c r="G130" t="s">
        <v>13</v>
      </c>
      <c r="H130" t="s">
        <v>46</v>
      </c>
      <c r="I130">
        <v>1.2</v>
      </c>
      <c r="J130">
        <v>7.96</v>
      </c>
      <c r="K130">
        <v>1</v>
      </c>
      <c r="L130">
        <v>0</v>
      </c>
      <c r="M130" t="str" cm="1">
        <f t="array" ref="M130">_xlfn.IFS(
   OR($F130="Pagar", $F130="Pintu Gerbang", $F130="Pintu Handerson", $F130="Kanopi"), "PER-M2",
   $F130="Teralis", "PER-LUBANG",
   OR($F130="Railing", $F130="Railing/Balkon"), "PER-M",
   TRUE, ""
)</f>
        <v>PER-M2</v>
      </c>
      <c r="N130" cm="1">
        <f t="array" ref="N130">IF($M130="PER-M2",
  IFERROR(
     _xlfn.IFS(
        $G130="Hollow",
            INDEX('Referensi Harga'!$C:$C,
                  MATCH($F130&amp;$C130,'Referensi Harga'!$A:$A&amp;'Referensi Harga'!$B:$B,0)),
        $G130="Hollow Stainless",
            INDEX('Referensi Harga'!$D:$D,
                  MATCH($F130&amp;$C130,'Referensi Harga'!$A:$A&amp;'Referensi Harga'!$B:$B,0)),
        $G130="Pipa Stainless",
            INDEX('Referensi Harga'!$E:$E,
                  MATCH($F130&amp;$C130,'Referensi Harga'!$A:$A&amp;'Referensi Harga'!$B:$B,0))
     ),0)
  + IFERROR(VLOOKUP($H130,'Profile Size'!$A:$B,2,FALSE),0)
  + IFERROR(VLOOKUP($I130,'Ketebalan Material'!$A:$B,2,FALSE),0),
0)</f>
        <v>900000</v>
      </c>
      <c r="O130">
        <f>IF($M130="PER-M",
  IFERROR(
    IF($G130="Hollow",
       INDEX('Referensi Harga'!$C:$C, MATCH($F130 &amp; "|" &amp; $C130, 'Referensi Harga'!$F:$F, 0)),
    IF($G130="Hollow Stainless",
       INDEX('Referensi Harga'!$D:$D, MATCH($F130 &amp; "|" &amp; $C130, 'Referensi Harga'!$F:$F, 0)),
       INDEX('Referensi Harga'!$E:$E, MATCH($F130 &amp; "|" &amp; $C130, 'Referensi Harga'!$F:$F, 0))
    ))
    + IFERROR(VLOOKUP($H130, 'Profile Size'!$A:$B, 2, FALSE), 0)
    + IFERROR(VLOOKUP($I130, 'Ketebalan Material'!$A:$B, 2, FALSE), 0), 0),
0)</f>
        <v>0</v>
      </c>
      <c r="P130" cm="1">
        <f t="array" ref="P130">IF($M130="PER-LUBANG",
  IFERROR(
     _xlfn.IFS(
        $G130="Hollow",
            INDEX('Referensi Harga'!$C:$C,
                  MATCH($F130&amp;$C130,'Referensi Harga'!$A:$A&amp;'Referensi Harga'!$B:$B,0)),
        $G130="Hollow Stainless",
            INDEX('Referensi Harga'!$D:$D,
                  MATCH($F130&amp;$C130,'Referensi Harga'!$A:$A&amp;'Referensi Harga'!$B:$B,0)),
        $G130="Pipa Stainless",
            INDEX('Referensi Harga'!$E:$E,
                  MATCH($F130&amp;$C130,'Referensi Harga'!$A:$A&amp;'Referensi Harga'!$B:$B,0))
     ),0)
  + IFERROR(VLOOKUP($H130,'Profile Size'!$A:$B,2,FALSE),0)
  + IFERROR(VLOOKUP($I130,'Ketebalan Material'!$A:$B,2,FALSE),0),
0)</f>
        <v>0</v>
      </c>
      <c r="Q130">
        <f>IF($M130="PER-M2",
    IFERROR(
        SUMIFS('Upah Tenaga Ahli'!$C:$C,
               'Upah Tenaga Ahli'!$A:$A,"PER-M2",
               'Upah Tenaga Ahli'!$B:$B,$G130
        ) * $J130 * $K130,
    0),
IF($M130="PER-LUBANG",
    IFERROR(
        SUMIFS('Upah Tenaga Ahli'!$D:$D,
               'Upah Tenaga Ahli'!$A:$A,"PER-LUBANG",
               'Upah Tenaga Ahli'!$B:$B,$G130
        ) * $L130 * $K130,
    0),
IF($M130="PER-M",
    IFERROR(
        SUMIFS('Upah Tenaga Ahli'!$E:$E,
               'Upah Tenaga Ahli'!$A:$A,"PER-M",
               'Upah Tenaga Ahli'!$B:$B,$G130
        ) * $J130 * $K130,
    0),
0)))</f>
        <v>796000</v>
      </c>
      <c r="R130" t="s">
        <v>19</v>
      </c>
      <c r="S130" t="s">
        <v>24</v>
      </c>
      <c r="T130">
        <f>IF($M130="PER-M2",
   ($N130 * $J130 * $K130)
   + IFERROR(VLOOKUP($R130,Finishing!A:B,2,FALSE),0)
   + IFERROR(VLOOKUP($S130,Kerumitan!A:B,2,FALSE),0),
IF($M130="PER-LUBANG",
   ($P130 * $L130 * $K130)
   + IFERROR(VLOOKUP($R130,Finishing!A:B,2,FALSE),0)
   + IFERROR(VLOOKUP($S130,Kerumitan!A:B,2,FALSE),0),
IF($M130="PER-M",
   ($O130 * $J130 * $K130)
   + IFERROR(VLOOKUP($R130,Finishing!A:B,2,FALSE),0)
   + IFERROR(VLOOKUP($S130,Kerumitan!A:B,2,FALSE),0),
0)))</f>
        <v>7314000</v>
      </c>
    </row>
    <row r="131" spans="1:20" x14ac:dyDescent="0.45">
      <c r="A131" t="s">
        <v>217</v>
      </c>
      <c r="B131" s="5">
        <v>44018</v>
      </c>
      <c r="C131">
        <f t="shared" ref="C131:C194" si="2">IF($B131="","",YEAR($B131))</f>
        <v>2020</v>
      </c>
      <c r="D131" t="s">
        <v>159</v>
      </c>
      <c r="E131" t="s">
        <v>61</v>
      </c>
      <c r="F131" t="s">
        <v>7</v>
      </c>
      <c r="G131" t="s">
        <v>13</v>
      </c>
      <c r="H131" t="s">
        <v>46</v>
      </c>
      <c r="I131">
        <v>0.8</v>
      </c>
      <c r="J131">
        <v>11.05</v>
      </c>
      <c r="K131">
        <v>1</v>
      </c>
      <c r="L131">
        <v>0</v>
      </c>
      <c r="M131" t="str" cm="1">
        <f t="array" ref="M131">_xlfn.IFS(
   OR($F131="Pagar", $F131="Pintu Gerbang", $F131="Pintu Handerson", $F131="Kanopi"), "PER-M2",
   $F131="Teralis", "PER-LUBANG",
   OR($F131="Railing", $F131="Railing/Balkon"), "PER-M",
   TRUE, ""
)</f>
        <v>PER-M2</v>
      </c>
      <c r="N131" cm="1">
        <f t="array" ref="N131">IF($M131="PER-M2",
  IFERROR(
     _xlfn.IFS(
        $G131="Hollow",
            INDEX('Referensi Harga'!$C:$C,
                  MATCH($F131&amp;$C131,'Referensi Harga'!$A:$A&amp;'Referensi Harga'!$B:$B,0)),
        $G131="Hollow Stainless",
            INDEX('Referensi Harga'!$D:$D,
                  MATCH($F131&amp;$C131,'Referensi Harga'!$A:$A&amp;'Referensi Harga'!$B:$B,0)),
        $G131="Pipa Stainless",
            INDEX('Referensi Harga'!$E:$E,
                  MATCH($F131&amp;$C131,'Referensi Harga'!$A:$A&amp;'Referensi Harga'!$B:$B,0))
     ),0)
  + IFERROR(VLOOKUP($H131,'Profile Size'!$A:$B,2,FALSE),0)
  + IFERROR(VLOOKUP($I131,'Ketebalan Material'!$A:$B,2,FALSE),0),
0)</f>
        <v>650000</v>
      </c>
      <c r="O131">
        <f>IF($M131="PER-M",
  IFERROR(
    IF($G131="Hollow",
       INDEX('Referensi Harga'!$C:$C, MATCH($F131 &amp; "|" &amp; $C131, 'Referensi Harga'!$F:$F, 0)),
    IF($G131="Hollow Stainless",
       INDEX('Referensi Harga'!$D:$D, MATCH($F131 &amp; "|" &amp; $C131, 'Referensi Harga'!$F:$F, 0)),
       INDEX('Referensi Harga'!$E:$E, MATCH($F131 &amp; "|" &amp; $C131, 'Referensi Harga'!$F:$F, 0))
    ))
    + IFERROR(VLOOKUP($H131, 'Profile Size'!$A:$B, 2, FALSE), 0)
    + IFERROR(VLOOKUP($I131, 'Ketebalan Material'!$A:$B, 2, FALSE), 0), 0),
0)</f>
        <v>0</v>
      </c>
      <c r="P131" cm="1">
        <f t="array" ref="P131">IF($M131="PER-LUBANG",
  IFERROR(
     _xlfn.IFS(
        $G131="Hollow",
            INDEX('Referensi Harga'!$C:$C,
                  MATCH($F131&amp;$C131,'Referensi Harga'!$A:$A&amp;'Referensi Harga'!$B:$B,0)),
        $G131="Hollow Stainless",
            INDEX('Referensi Harga'!$D:$D,
                  MATCH($F131&amp;$C131,'Referensi Harga'!$A:$A&amp;'Referensi Harga'!$B:$B,0)),
        $G131="Pipa Stainless",
            INDEX('Referensi Harga'!$E:$E,
                  MATCH($F131&amp;$C131,'Referensi Harga'!$A:$A&amp;'Referensi Harga'!$B:$B,0))
     ),0)
  + IFERROR(VLOOKUP($H131,'Profile Size'!$A:$B,2,FALSE),0)
  + IFERROR(VLOOKUP($I131,'Ketebalan Material'!$A:$B,2,FALSE),0),
0)</f>
        <v>0</v>
      </c>
      <c r="Q131">
        <f>IF($M131="PER-M2",
    IFERROR(
        SUMIFS('Upah Tenaga Ahli'!$C:$C,
               'Upah Tenaga Ahli'!$A:$A,"PER-M2",
               'Upah Tenaga Ahli'!$B:$B,$G131
        ) * $J131 * $K131,
    0),
IF($M131="PER-LUBANG",
    IFERROR(
        SUMIFS('Upah Tenaga Ahli'!$D:$D,
               'Upah Tenaga Ahli'!$A:$A,"PER-LUBANG",
               'Upah Tenaga Ahli'!$B:$B,$G131
        ) * $L131 * $K131,
    0),
IF($M131="PER-M",
    IFERROR(
        SUMIFS('Upah Tenaga Ahli'!$E:$E,
               'Upah Tenaga Ahli'!$A:$A,"PER-M",
               'Upah Tenaga Ahli'!$B:$B,$G131
        ) * $J131 * $K131,
    0),
0)))</f>
        <v>1105000</v>
      </c>
      <c r="R131" t="s">
        <v>18</v>
      </c>
      <c r="S131" t="s">
        <v>23</v>
      </c>
      <c r="T131">
        <f>IF($M131="PER-M2",
   ($N131 * $J131 * $K131)
   + IFERROR(VLOOKUP($R131,Finishing!A:B,2,FALSE),0)
   + IFERROR(VLOOKUP($S131,Kerumitan!A:B,2,FALSE),0),
IF($M131="PER-LUBANG",
   ($P131 * $L131 * $K131)
   + IFERROR(VLOOKUP($R131,Finishing!A:B,2,FALSE),0)
   + IFERROR(VLOOKUP($S131,Kerumitan!A:B,2,FALSE),0),
IF($M131="PER-M",
   ($O131 * $J131 * $K131)
   + IFERROR(VLOOKUP($R131,Finishing!A:B,2,FALSE),0)
   + IFERROR(VLOOKUP($S131,Kerumitan!A:B,2,FALSE),0),
0)))</f>
        <v>7182500</v>
      </c>
    </row>
    <row r="132" spans="1:20" x14ac:dyDescent="0.45">
      <c r="A132" t="s">
        <v>218</v>
      </c>
      <c r="B132" s="5">
        <v>45048</v>
      </c>
      <c r="C132">
        <f t="shared" si="2"/>
        <v>2023</v>
      </c>
      <c r="D132" t="s">
        <v>93</v>
      </c>
      <c r="E132" t="s">
        <v>75</v>
      </c>
      <c r="F132" t="s">
        <v>4</v>
      </c>
      <c r="G132" t="s">
        <v>13</v>
      </c>
      <c r="H132" t="s">
        <v>46</v>
      </c>
      <c r="I132">
        <v>0.8</v>
      </c>
      <c r="J132">
        <v>28.48</v>
      </c>
      <c r="K132">
        <v>1</v>
      </c>
      <c r="L132">
        <v>0</v>
      </c>
      <c r="M132" t="str" cm="1">
        <f t="array" ref="M132">_xlfn.IFS(
   OR($F132="Pagar", $F132="Pintu Gerbang", $F132="Pintu Handerson", $F132="Kanopi"), "PER-M2",
   $F132="Teralis", "PER-LUBANG",
   OR($F132="Railing", $F132="Railing/Balkon"), "PER-M",
   TRUE, ""
)</f>
        <v>PER-M2</v>
      </c>
      <c r="N132" cm="1">
        <f t="array" ref="N132">IF($M132="PER-M2",
  IFERROR(
     _xlfn.IFS(
        $G132="Hollow",
            INDEX('Referensi Harga'!$C:$C,
                  MATCH($F132&amp;$C132,'Referensi Harga'!$A:$A&amp;'Referensi Harga'!$B:$B,0)),
        $G132="Hollow Stainless",
            INDEX('Referensi Harga'!$D:$D,
                  MATCH($F132&amp;$C132,'Referensi Harga'!$A:$A&amp;'Referensi Harga'!$B:$B,0)),
        $G132="Pipa Stainless",
            INDEX('Referensi Harga'!$E:$E,
                  MATCH($F132&amp;$C132,'Referensi Harga'!$A:$A&amp;'Referensi Harga'!$B:$B,0))
     ),0)
  + IFERROR(VLOOKUP($H132,'Profile Size'!$A:$B,2,FALSE),0)
  + IFERROR(VLOOKUP($I132,'Ketebalan Material'!$A:$B,2,FALSE),0),
0)</f>
        <v>600000</v>
      </c>
      <c r="O132">
        <f>IF($M132="PER-M",
  IFERROR(
    IF($G132="Hollow",
       INDEX('Referensi Harga'!$C:$C, MATCH($F132 &amp; "|" &amp; $C132, 'Referensi Harga'!$F:$F, 0)),
    IF($G132="Hollow Stainless",
       INDEX('Referensi Harga'!$D:$D, MATCH($F132 &amp; "|" &amp; $C132, 'Referensi Harga'!$F:$F, 0)),
       INDEX('Referensi Harga'!$E:$E, MATCH($F132 &amp; "|" &amp; $C132, 'Referensi Harga'!$F:$F, 0))
    ))
    + IFERROR(VLOOKUP($H132, 'Profile Size'!$A:$B, 2, FALSE), 0)
    + IFERROR(VLOOKUP($I132, 'Ketebalan Material'!$A:$B, 2, FALSE), 0), 0),
0)</f>
        <v>0</v>
      </c>
      <c r="P132" cm="1">
        <f t="array" ref="P132">IF($M132="PER-LUBANG",
  IFERROR(
     _xlfn.IFS(
        $G132="Hollow",
            INDEX('Referensi Harga'!$C:$C,
                  MATCH($F132&amp;$C132,'Referensi Harga'!$A:$A&amp;'Referensi Harga'!$B:$B,0)),
        $G132="Hollow Stainless",
            INDEX('Referensi Harga'!$D:$D,
                  MATCH($F132&amp;$C132,'Referensi Harga'!$A:$A&amp;'Referensi Harga'!$B:$B,0)),
        $G132="Pipa Stainless",
            INDEX('Referensi Harga'!$E:$E,
                  MATCH($F132&amp;$C132,'Referensi Harga'!$A:$A&amp;'Referensi Harga'!$B:$B,0))
     ),0)
  + IFERROR(VLOOKUP($H132,'Profile Size'!$A:$B,2,FALSE),0)
  + IFERROR(VLOOKUP($I132,'Ketebalan Material'!$A:$B,2,FALSE),0),
0)</f>
        <v>0</v>
      </c>
      <c r="Q132">
        <f>IF($M132="PER-M2",
    IFERROR(
        SUMIFS('Upah Tenaga Ahli'!$C:$C,
               'Upah Tenaga Ahli'!$A:$A,"PER-M2",
               'Upah Tenaga Ahli'!$B:$B,$G132
        ) * $J132 * $K132,
    0),
IF($M132="PER-LUBANG",
    IFERROR(
        SUMIFS('Upah Tenaga Ahli'!$D:$D,
               'Upah Tenaga Ahli'!$A:$A,"PER-LUBANG",
               'Upah Tenaga Ahli'!$B:$B,$G132
        ) * $L132 * $K132,
    0),
IF($M132="PER-M",
    IFERROR(
        SUMIFS('Upah Tenaga Ahli'!$E:$E,
               'Upah Tenaga Ahli'!$A:$A,"PER-M",
               'Upah Tenaga Ahli'!$B:$B,$G132
        ) * $J132 * $K132,
    0),
0)))</f>
        <v>2848000</v>
      </c>
      <c r="R132" t="s">
        <v>19</v>
      </c>
      <c r="S132" t="s">
        <v>24</v>
      </c>
      <c r="T132">
        <f>IF($M132="PER-M2",
   ($N132 * $J132 * $K132)
   + IFERROR(VLOOKUP($R132,Finishing!A:B,2,FALSE),0)
   + IFERROR(VLOOKUP($S132,Kerumitan!A:B,2,FALSE),0),
IF($M132="PER-LUBANG",
   ($P132 * $L132 * $K132)
   + IFERROR(VLOOKUP($R132,Finishing!A:B,2,FALSE),0)
   + IFERROR(VLOOKUP($S132,Kerumitan!A:B,2,FALSE),0),
IF($M132="PER-M",
   ($O132 * $J132 * $K132)
   + IFERROR(VLOOKUP($R132,Finishing!A:B,2,FALSE),0)
   + IFERROR(VLOOKUP($S132,Kerumitan!A:B,2,FALSE),0),
0)))</f>
        <v>17238000</v>
      </c>
    </row>
    <row r="133" spans="1:20" x14ac:dyDescent="0.45">
      <c r="A133" t="s">
        <v>219</v>
      </c>
      <c r="B133" s="5">
        <v>43810</v>
      </c>
      <c r="C133">
        <f t="shared" si="2"/>
        <v>2019</v>
      </c>
      <c r="D133" t="s">
        <v>220</v>
      </c>
      <c r="E133" t="s">
        <v>108</v>
      </c>
      <c r="F133" t="s">
        <v>6</v>
      </c>
      <c r="G133" t="s">
        <v>15</v>
      </c>
      <c r="H133" t="s">
        <v>35</v>
      </c>
      <c r="I133">
        <v>0.8</v>
      </c>
      <c r="J133">
        <v>10.97</v>
      </c>
      <c r="K133">
        <v>1</v>
      </c>
      <c r="L133">
        <v>0</v>
      </c>
      <c r="M133" t="str" cm="1">
        <f t="array" ref="M133">_xlfn.IFS(
   OR($F133="Pagar", $F133="Pintu Gerbang", $F133="Pintu Handerson", $F133="Kanopi"), "PER-M2",
   $F133="Teralis", "PER-LUBANG",
   OR($F133="Railing", $F133="Railing/Balkon"), "PER-M",
   TRUE, ""
)</f>
        <v>PER-M2</v>
      </c>
      <c r="N133" cm="1">
        <f t="array" ref="N133">IF($M133="PER-M2",
  IFERROR(
     _xlfn.IFS(
        $G133="Hollow",
            INDEX('Referensi Harga'!$C:$C,
                  MATCH($F133&amp;$C133,'Referensi Harga'!$A:$A&amp;'Referensi Harga'!$B:$B,0)),
        $G133="Hollow Stainless",
            INDEX('Referensi Harga'!$D:$D,
                  MATCH($F133&amp;$C133,'Referensi Harga'!$A:$A&amp;'Referensi Harga'!$B:$B,0)),
        $G133="Pipa Stainless",
            INDEX('Referensi Harga'!$E:$E,
                  MATCH($F133&amp;$C133,'Referensi Harga'!$A:$A&amp;'Referensi Harga'!$B:$B,0))
     ),0)
  + IFERROR(VLOOKUP($H133,'Profile Size'!$A:$B,2,FALSE),0)
  + IFERROR(VLOOKUP($I133,'Ketebalan Material'!$A:$B,2,FALSE),0),
0)</f>
        <v>750000</v>
      </c>
      <c r="O133">
        <f>IF($M133="PER-M",
  IFERROR(
    IF($G133="Hollow",
       INDEX('Referensi Harga'!$C:$C, MATCH($F133 &amp; "|" &amp; $C133, 'Referensi Harga'!$F:$F, 0)),
    IF($G133="Hollow Stainless",
       INDEX('Referensi Harga'!$D:$D, MATCH($F133 &amp; "|" &amp; $C133, 'Referensi Harga'!$F:$F, 0)),
       INDEX('Referensi Harga'!$E:$E, MATCH($F133 &amp; "|" &amp; $C133, 'Referensi Harga'!$F:$F, 0))
    ))
    + IFERROR(VLOOKUP($H133, 'Profile Size'!$A:$B, 2, FALSE), 0)
    + IFERROR(VLOOKUP($I133, 'Ketebalan Material'!$A:$B, 2, FALSE), 0), 0),
0)</f>
        <v>0</v>
      </c>
      <c r="P133" cm="1">
        <f t="array" ref="P133">IF($M133="PER-LUBANG",
  IFERROR(
     _xlfn.IFS(
        $G133="Hollow",
            INDEX('Referensi Harga'!$C:$C,
                  MATCH($F133&amp;$C133,'Referensi Harga'!$A:$A&amp;'Referensi Harga'!$B:$B,0)),
        $G133="Hollow Stainless",
            INDEX('Referensi Harga'!$D:$D,
                  MATCH($F133&amp;$C133,'Referensi Harga'!$A:$A&amp;'Referensi Harga'!$B:$B,0)),
        $G133="Pipa Stainless",
            INDEX('Referensi Harga'!$E:$E,
                  MATCH($F133&amp;$C133,'Referensi Harga'!$A:$A&amp;'Referensi Harga'!$B:$B,0))
     ),0)
  + IFERROR(VLOOKUP($H133,'Profile Size'!$A:$B,2,FALSE),0)
  + IFERROR(VLOOKUP($I133,'Ketebalan Material'!$A:$B,2,FALSE),0),
0)</f>
        <v>0</v>
      </c>
      <c r="Q133">
        <f>IF($M133="PER-M2",
    IFERROR(
        SUMIFS('Upah Tenaga Ahli'!$C:$C,
               'Upah Tenaga Ahli'!$A:$A,"PER-M2",
               'Upah Tenaga Ahli'!$B:$B,$G133
        ) * $J133 * $K133,
    0),
IF($M133="PER-LUBANG",
    IFERROR(
        SUMIFS('Upah Tenaga Ahli'!$D:$D,
               'Upah Tenaga Ahli'!$A:$A,"PER-LUBANG",
               'Upah Tenaga Ahli'!$B:$B,$G133
        ) * $L133 * $K133,
    0),
IF($M133="PER-M",
    IFERROR(
        SUMIFS('Upah Tenaga Ahli'!$E:$E,
               'Upah Tenaga Ahli'!$A:$A,"PER-M",
               'Upah Tenaga Ahli'!$B:$B,$G133
        ) * $J133 * $K133,
    0),
0)))</f>
        <v>1645500</v>
      </c>
      <c r="R133" t="s">
        <v>617</v>
      </c>
      <c r="S133" t="s">
        <v>23</v>
      </c>
      <c r="T133">
        <f>IF($M133="PER-M2",
   ($N133 * $J133 * $K133)
   + IFERROR(VLOOKUP($R133,Finishing!A:B,2,FALSE),0)
   + IFERROR(VLOOKUP($S133,Kerumitan!A:B,2,FALSE),0),
IF($M133="PER-LUBANG",
   ($P133 * $L133 * $K133)
   + IFERROR(VLOOKUP($R133,Finishing!A:B,2,FALSE),0)
   + IFERROR(VLOOKUP($S133,Kerumitan!A:B,2,FALSE),0),
IF($M133="PER-M",
   ($O133 * $J133 * $K133)
   + IFERROR(VLOOKUP($R133,Finishing!A:B,2,FALSE),0)
   + IFERROR(VLOOKUP($S133,Kerumitan!A:B,2,FALSE),0),
0)))</f>
        <v>8227500.0000000009</v>
      </c>
    </row>
    <row r="134" spans="1:20" x14ac:dyDescent="0.45">
      <c r="A134" t="s">
        <v>221</v>
      </c>
      <c r="B134" s="5">
        <v>45152</v>
      </c>
      <c r="C134">
        <f t="shared" si="2"/>
        <v>2023</v>
      </c>
      <c r="D134" t="s">
        <v>139</v>
      </c>
      <c r="E134" t="s">
        <v>41</v>
      </c>
      <c r="F134" t="s">
        <v>6</v>
      </c>
      <c r="G134" t="s">
        <v>14</v>
      </c>
      <c r="H134" t="s">
        <v>614</v>
      </c>
      <c r="I134">
        <v>1.2</v>
      </c>
      <c r="J134">
        <v>19.07</v>
      </c>
      <c r="K134">
        <v>2</v>
      </c>
      <c r="L134">
        <v>0</v>
      </c>
      <c r="M134" t="str" cm="1">
        <f t="array" ref="M134">_xlfn.IFS(
   OR($F134="Pagar", $F134="Pintu Gerbang", $F134="Pintu Handerson", $F134="Kanopi"), "PER-M2",
   $F134="Teralis", "PER-LUBANG",
   OR($F134="Railing", $F134="Railing/Balkon"), "PER-M",
   TRUE, ""
)</f>
        <v>PER-M2</v>
      </c>
      <c r="N134" cm="1">
        <f t="array" ref="N134">IF($M134="PER-M2",
  IFERROR(
     _xlfn.IFS(
        $G134="Hollow",
            INDEX('Referensi Harga'!$C:$C,
                  MATCH($F134&amp;$C134,'Referensi Harga'!$A:$A&amp;'Referensi Harga'!$B:$B,0)),
        $G134="Hollow Stainless",
            INDEX('Referensi Harga'!$D:$D,
                  MATCH($F134&amp;$C134,'Referensi Harga'!$A:$A&amp;'Referensi Harga'!$B:$B,0)),
        $G134="Pipa Stainless",
            INDEX('Referensi Harga'!$E:$E,
                  MATCH($F134&amp;$C134,'Referensi Harga'!$A:$A&amp;'Referensi Harga'!$B:$B,0))
     ),0)
  + IFERROR(VLOOKUP($H134,'Profile Size'!$A:$B,2,FALSE),0)
  + IFERROR(VLOOKUP($I134,'Ketebalan Material'!$A:$B,2,FALSE),0),
0)</f>
        <v>800000</v>
      </c>
      <c r="O134">
        <f>IF($M134="PER-M",
  IFERROR(
    IF($G134="Hollow",
       INDEX('Referensi Harga'!$C:$C, MATCH($F134 &amp; "|" &amp; $C134, 'Referensi Harga'!$F:$F, 0)),
    IF($G134="Hollow Stainless",
       INDEX('Referensi Harga'!$D:$D, MATCH($F134 &amp; "|" &amp; $C134, 'Referensi Harga'!$F:$F, 0)),
       INDEX('Referensi Harga'!$E:$E, MATCH($F134 &amp; "|" &amp; $C134, 'Referensi Harga'!$F:$F, 0))
    ))
    + IFERROR(VLOOKUP($H134, 'Profile Size'!$A:$B, 2, FALSE), 0)
    + IFERROR(VLOOKUP($I134, 'Ketebalan Material'!$A:$B, 2, FALSE), 0), 0),
0)</f>
        <v>0</v>
      </c>
      <c r="P134" cm="1">
        <f t="array" ref="P134">IF($M134="PER-LUBANG",
  IFERROR(
     _xlfn.IFS(
        $G134="Hollow",
            INDEX('Referensi Harga'!$C:$C,
                  MATCH($F134&amp;$C134,'Referensi Harga'!$A:$A&amp;'Referensi Harga'!$B:$B,0)),
        $G134="Hollow Stainless",
            INDEX('Referensi Harga'!$D:$D,
                  MATCH($F134&amp;$C134,'Referensi Harga'!$A:$A&amp;'Referensi Harga'!$B:$B,0)),
        $G134="Pipa Stainless",
            INDEX('Referensi Harga'!$E:$E,
                  MATCH($F134&amp;$C134,'Referensi Harga'!$A:$A&amp;'Referensi Harga'!$B:$B,0))
     ),0)
  + IFERROR(VLOOKUP($H134,'Profile Size'!$A:$B,2,FALSE),0)
  + IFERROR(VLOOKUP($I134,'Ketebalan Material'!$A:$B,2,FALSE),0),
0)</f>
        <v>0</v>
      </c>
      <c r="Q134">
        <f>IF($M134="PER-M2",
    IFERROR(
        SUMIFS('Upah Tenaga Ahli'!$C:$C,
               'Upah Tenaga Ahli'!$A:$A,"PER-M2",
               'Upah Tenaga Ahli'!$B:$B,$G134
        ) * $J134 * $K134,
    0),
IF($M134="PER-LUBANG",
    IFERROR(
        SUMIFS('Upah Tenaga Ahli'!$D:$D,
               'Upah Tenaga Ahli'!$A:$A,"PER-LUBANG",
               'Upah Tenaga Ahli'!$B:$B,$G134
        ) * $L134 * $K134,
    0),
IF($M134="PER-M",
    IFERROR(
        SUMIFS('Upah Tenaga Ahli'!$E:$E,
               'Upah Tenaga Ahli'!$A:$A,"PER-M",
               'Upah Tenaga Ahli'!$B:$B,$G134
        ) * $J134 * $K134,
    0),
0)))</f>
        <v>7628000</v>
      </c>
      <c r="R134" t="s">
        <v>617</v>
      </c>
      <c r="S134" t="s">
        <v>25</v>
      </c>
      <c r="T134">
        <f>IF($M134="PER-M2",
   ($N134 * $J134 * $K134)
   + IFERROR(VLOOKUP($R134,Finishing!A:B,2,FALSE),0)
   + IFERROR(VLOOKUP($S134,Kerumitan!A:B,2,FALSE),0),
IF($M134="PER-LUBANG",
   ($P134 * $L134 * $K134)
   + IFERROR(VLOOKUP($R134,Finishing!A:B,2,FALSE),0)
   + IFERROR(VLOOKUP($S134,Kerumitan!A:B,2,FALSE),0),
IF($M134="PER-M",
   ($O134 * $J134 * $K134)
   + IFERROR(VLOOKUP($R134,Finishing!A:B,2,FALSE),0)
   + IFERROR(VLOOKUP($S134,Kerumitan!A:B,2,FALSE),0),
0)))</f>
        <v>30662000</v>
      </c>
    </row>
    <row r="135" spans="1:20" x14ac:dyDescent="0.45">
      <c r="A135" t="s">
        <v>222</v>
      </c>
      <c r="B135" s="5">
        <v>45408</v>
      </c>
      <c r="C135">
        <f t="shared" si="2"/>
        <v>2024</v>
      </c>
      <c r="D135" t="s">
        <v>123</v>
      </c>
      <c r="E135" t="s">
        <v>108</v>
      </c>
      <c r="F135" t="s">
        <v>625</v>
      </c>
      <c r="G135" t="s">
        <v>13</v>
      </c>
      <c r="H135" t="s">
        <v>46</v>
      </c>
      <c r="I135">
        <v>1</v>
      </c>
      <c r="J135">
        <v>3.94</v>
      </c>
      <c r="K135">
        <v>1</v>
      </c>
      <c r="L135">
        <v>0</v>
      </c>
      <c r="M135" t="str" cm="1">
        <f t="array" ref="M135">_xlfn.IFS(
   OR($F135="Pagar", $F135="Pintu Gerbang", $F135="Pintu Handerson", $F135="Kanopi"), "PER-M2",
   $F135="Teralis", "PER-LUBANG",
   OR($F135="Railing", $F135="Railing/Balkon"), "PER-M",
   TRUE, ""
)</f>
        <v>PER-M</v>
      </c>
      <c r="N135" cm="1">
        <f t="array" ref="N135">IF($M135="PER-M2",
  IFERROR(
     _xlfn.IFS(
        $G135="Hollow",
            INDEX('Referensi Harga'!$C:$C,
                  MATCH($F135&amp;$C135,'Referensi Harga'!$A:$A&amp;'Referensi Harga'!$B:$B,0)),
        $G135="Hollow Stainless",
            INDEX('Referensi Harga'!$D:$D,
                  MATCH($F135&amp;$C135,'Referensi Harga'!$A:$A&amp;'Referensi Harga'!$B:$B,0)),
        $G135="Pipa Stainless",
            INDEX('Referensi Harga'!$E:$E,
                  MATCH($F135&amp;$C135,'Referensi Harga'!$A:$A&amp;'Referensi Harga'!$B:$B,0))
     ),0)
  + IFERROR(VLOOKUP($H135,'Profile Size'!$A:$B,2,FALSE),0)
  + IFERROR(VLOOKUP($I135,'Ketebalan Material'!$A:$B,2,FALSE),0),
0)</f>
        <v>0</v>
      </c>
      <c r="O135">
        <f>IF($M135="PER-M",
  IFERROR(
    IF($G135="Hollow",
       INDEX('Referensi Harga'!$C:$C, MATCH($F135 &amp; "|" &amp; $C135, 'Referensi Harga'!$F:$F, 0)),
    IF($G135="Hollow Stainless",
       INDEX('Referensi Harga'!$D:$D, MATCH($F135 &amp; "|" &amp; $C135, 'Referensi Harga'!$F:$F, 0)),
       INDEX('Referensi Harga'!$E:$E, MATCH($F135 &amp; "|" &amp; $C135, 'Referensi Harga'!$F:$F, 0))
    ))
    + IFERROR(VLOOKUP($H135, 'Profile Size'!$A:$B, 2, FALSE), 0)
    + IFERROR(VLOOKUP($I135, 'Ketebalan Material'!$A:$B, 2, FALSE), 0), 0),
0)</f>
        <v>600000</v>
      </c>
      <c r="P135" cm="1">
        <f t="array" ref="P135">IF($M135="PER-LUBANG",
  IFERROR(
     _xlfn.IFS(
        $G135="Hollow",
            INDEX('Referensi Harga'!$C:$C,
                  MATCH($F135&amp;$C135,'Referensi Harga'!$A:$A&amp;'Referensi Harga'!$B:$B,0)),
        $G135="Hollow Stainless",
            INDEX('Referensi Harga'!$D:$D,
                  MATCH($F135&amp;$C135,'Referensi Harga'!$A:$A&amp;'Referensi Harga'!$B:$B,0)),
        $G135="Pipa Stainless",
            INDEX('Referensi Harga'!$E:$E,
                  MATCH($F135&amp;$C135,'Referensi Harga'!$A:$A&amp;'Referensi Harga'!$B:$B,0))
     ),0)
  + IFERROR(VLOOKUP($H135,'Profile Size'!$A:$B,2,FALSE),0)
  + IFERROR(VLOOKUP($I135,'Ketebalan Material'!$A:$B,2,FALSE),0),
0)</f>
        <v>0</v>
      </c>
      <c r="Q135">
        <f>IF($M135="PER-M2",
    IFERROR(
        SUMIFS('Upah Tenaga Ahli'!$C:$C,
               'Upah Tenaga Ahli'!$A:$A,"PER-M2",
               'Upah Tenaga Ahli'!$B:$B,$G135
        ) * $J135 * $K135,
    0),
IF($M135="PER-LUBANG",
    IFERROR(
        SUMIFS('Upah Tenaga Ahli'!$D:$D,
               'Upah Tenaga Ahli'!$A:$A,"PER-LUBANG",
               'Upah Tenaga Ahli'!$B:$B,$G135
        ) * $L135 * $K135,
    0),
IF($M135="PER-M",
    IFERROR(
        SUMIFS('Upah Tenaga Ahli'!$E:$E,
               'Upah Tenaga Ahli'!$A:$A,"PER-M",
               'Upah Tenaga Ahli'!$B:$B,$G135
        ) * $J135 * $K135,
    0),
0)))</f>
        <v>394000</v>
      </c>
      <c r="R135" t="s">
        <v>20</v>
      </c>
      <c r="S135" t="s">
        <v>23</v>
      </c>
      <c r="T135">
        <f>IF($M135="PER-M2",
   ($N135 * $J135 * $K135)
   + IFERROR(VLOOKUP($R135,Finishing!A:B,2,FALSE),0)
   + IFERROR(VLOOKUP($S135,Kerumitan!A:B,2,FALSE),0),
IF($M135="PER-LUBANG",
   ($P135 * $L135 * $K135)
   + IFERROR(VLOOKUP($R135,Finishing!A:B,2,FALSE),0)
   + IFERROR(VLOOKUP($S135,Kerumitan!A:B,2,FALSE),0),
IF($M135="PER-M",
   ($O135 * $J135 * $K135)
   + IFERROR(VLOOKUP($R135,Finishing!A:B,2,FALSE),0)
   + IFERROR(VLOOKUP($S135,Kerumitan!A:B,2,FALSE),0),
0)))</f>
        <v>2514000</v>
      </c>
    </row>
    <row r="136" spans="1:20" x14ac:dyDescent="0.45">
      <c r="A136" t="s">
        <v>223</v>
      </c>
      <c r="B136" s="5">
        <v>45030</v>
      </c>
      <c r="C136">
        <f t="shared" si="2"/>
        <v>2023</v>
      </c>
      <c r="D136" t="s">
        <v>81</v>
      </c>
      <c r="E136" t="s">
        <v>54</v>
      </c>
      <c r="F136" t="s">
        <v>625</v>
      </c>
      <c r="G136" t="s">
        <v>13</v>
      </c>
      <c r="H136" t="s">
        <v>33</v>
      </c>
      <c r="I136">
        <v>1.2</v>
      </c>
      <c r="J136">
        <v>11.62</v>
      </c>
      <c r="K136">
        <v>2</v>
      </c>
      <c r="L136">
        <v>0</v>
      </c>
      <c r="M136" t="str" cm="1">
        <f t="array" ref="M136">_xlfn.IFS(
   OR($F136="Pagar", $F136="Pintu Gerbang", $F136="Pintu Handerson", $F136="Kanopi"), "PER-M2",
   $F136="Teralis", "PER-LUBANG",
   OR($F136="Railing", $F136="Railing/Balkon"), "PER-M",
   TRUE, ""
)</f>
        <v>PER-M</v>
      </c>
      <c r="N136" cm="1">
        <f t="array" ref="N136">IF($M136="PER-M2",
  IFERROR(
     _xlfn.IFS(
        $G136="Hollow",
            INDEX('Referensi Harga'!$C:$C,
                  MATCH($F136&amp;$C136,'Referensi Harga'!$A:$A&amp;'Referensi Harga'!$B:$B,0)),
        $G136="Hollow Stainless",
            INDEX('Referensi Harga'!$D:$D,
                  MATCH($F136&amp;$C136,'Referensi Harga'!$A:$A&amp;'Referensi Harga'!$B:$B,0)),
        $G136="Pipa Stainless",
            INDEX('Referensi Harga'!$E:$E,
                  MATCH($F136&amp;$C136,'Referensi Harga'!$A:$A&amp;'Referensi Harga'!$B:$B,0))
     ),0)
  + IFERROR(VLOOKUP($H136,'Profile Size'!$A:$B,2,FALSE),0)
  + IFERROR(VLOOKUP($I136,'Ketebalan Material'!$A:$B,2,FALSE),0),
0)</f>
        <v>0</v>
      </c>
      <c r="O136">
        <f>IF($M136="PER-M",
  IFERROR(
    IF($G136="Hollow",
       INDEX('Referensi Harga'!$C:$C, MATCH($F136 &amp; "|" &amp; $C136, 'Referensi Harga'!$F:$F, 0)),
    IF($G136="Hollow Stainless",
       INDEX('Referensi Harga'!$D:$D, MATCH($F136 &amp; "|" &amp; $C136, 'Referensi Harga'!$F:$F, 0)),
       INDEX('Referensi Harga'!$E:$E, MATCH($F136 &amp; "|" &amp; $C136, 'Referensi Harga'!$F:$F, 0))
    ))
    + IFERROR(VLOOKUP($H136, 'Profile Size'!$A:$B, 2, FALSE), 0)
    + IFERROR(VLOOKUP($I136, 'Ketebalan Material'!$A:$B, 2, FALSE), 0), 0),
0)</f>
        <v>600000</v>
      </c>
      <c r="P136" cm="1">
        <f t="array" ref="P136">IF($M136="PER-LUBANG",
  IFERROR(
     _xlfn.IFS(
        $G136="Hollow",
            INDEX('Referensi Harga'!$C:$C,
                  MATCH($F136&amp;$C136,'Referensi Harga'!$A:$A&amp;'Referensi Harga'!$B:$B,0)),
        $G136="Hollow Stainless",
            INDEX('Referensi Harga'!$D:$D,
                  MATCH($F136&amp;$C136,'Referensi Harga'!$A:$A&amp;'Referensi Harga'!$B:$B,0)),
        $G136="Pipa Stainless",
            INDEX('Referensi Harga'!$E:$E,
                  MATCH($F136&amp;$C136,'Referensi Harga'!$A:$A&amp;'Referensi Harga'!$B:$B,0))
     ),0)
  + IFERROR(VLOOKUP($H136,'Profile Size'!$A:$B,2,FALSE),0)
  + IFERROR(VLOOKUP($I136,'Ketebalan Material'!$A:$B,2,FALSE),0),
0)</f>
        <v>0</v>
      </c>
      <c r="Q136">
        <f>IF($M136="PER-M2",
    IFERROR(
        SUMIFS('Upah Tenaga Ahli'!$C:$C,
               'Upah Tenaga Ahli'!$A:$A,"PER-M2",
               'Upah Tenaga Ahli'!$B:$B,$G136
        ) * $J136 * $K136,
    0),
IF($M136="PER-LUBANG",
    IFERROR(
        SUMIFS('Upah Tenaga Ahli'!$D:$D,
               'Upah Tenaga Ahli'!$A:$A,"PER-LUBANG",
               'Upah Tenaga Ahli'!$B:$B,$G136
        ) * $L136 * $K136,
    0),
IF($M136="PER-M",
    IFERROR(
        SUMIFS('Upah Tenaga Ahli'!$E:$E,
               'Upah Tenaga Ahli'!$A:$A,"PER-M",
               'Upah Tenaga Ahli'!$B:$B,$G136
        ) * $J136 * $K136,
    0),
0)))</f>
        <v>2324000</v>
      </c>
      <c r="R136" t="s">
        <v>18</v>
      </c>
      <c r="S136" t="s">
        <v>25</v>
      </c>
      <c r="T136">
        <f>IF($M136="PER-M2",
   ($N136 * $J136 * $K136)
   + IFERROR(VLOOKUP($R136,Finishing!A:B,2,FALSE),0)
   + IFERROR(VLOOKUP($S136,Kerumitan!A:B,2,FALSE),0),
IF($M136="PER-LUBANG",
   ($P136 * $L136 * $K136)
   + IFERROR(VLOOKUP($R136,Finishing!A:B,2,FALSE),0)
   + IFERROR(VLOOKUP($S136,Kerumitan!A:B,2,FALSE),0),
IF($M136="PER-M",
   ($O136 * $J136 * $K136)
   + IFERROR(VLOOKUP($R136,Finishing!A:B,2,FALSE),0)
   + IFERROR(VLOOKUP($S136,Kerumitan!A:B,2,FALSE),0),
0)))</f>
        <v>14093999.999999998</v>
      </c>
    </row>
    <row r="137" spans="1:20" x14ac:dyDescent="0.45">
      <c r="A137" t="s">
        <v>224</v>
      </c>
      <c r="B137" s="5">
        <v>45686</v>
      </c>
      <c r="C137">
        <f t="shared" si="2"/>
        <v>2025</v>
      </c>
      <c r="D137" t="s">
        <v>101</v>
      </c>
      <c r="E137" t="s">
        <v>41</v>
      </c>
      <c r="F137" t="s">
        <v>6</v>
      </c>
      <c r="G137" t="s">
        <v>15</v>
      </c>
      <c r="H137" t="s">
        <v>35</v>
      </c>
      <c r="I137">
        <v>1.2</v>
      </c>
      <c r="J137">
        <v>11.57</v>
      </c>
      <c r="K137">
        <v>2</v>
      </c>
      <c r="L137">
        <v>0</v>
      </c>
      <c r="M137" t="str" cm="1">
        <f t="array" ref="M137">_xlfn.IFS(
   OR($F137="Pagar", $F137="Pintu Gerbang", $F137="Pintu Handerson", $F137="Kanopi"), "PER-M2",
   $F137="Teralis", "PER-LUBANG",
   OR($F137="Railing", $F137="Railing/Balkon"), "PER-M",
   TRUE, ""
)</f>
        <v>PER-M2</v>
      </c>
      <c r="N137" cm="1">
        <f t="array" ref="N137">IF($M137="PER-M2",
  IFERROR(
     _xlfn.IFS(
        $G137="Hollow",
            INDEX('Referensi Harga'!$C:$C,
                  MATCH($F137&amp;$C137,'Referensi Harga'!$A:$A&amp;'Referensi Harga'!$B:$B,0)),
        $G137="Hollow Stainless",
            INDEX('Referensi Harga'!$D:$D,
                  MATCH($F137&amp;$C137,'Referensi Harga'!$A:$A&amp;'Referensi Harga'!$B:$B,0)),
        $G137="Pipa Stainless",
            INDEX('Referensi Harga'!$E:$E,
                  MATCH($F137&amp;$C137,'Referensi Harga'!$A:$A&amp;'Referensi Harga'!$B:$B,0))
     ),0)
  + IFERROR(VLOOKUP($H137,'Profile Size'!$A:$B,2,FALSE),0)
  + IFERROR(VLOOKUP($I137,'Ketebalan Material'!$A:$B,2,FALSE),0),
0)</f>
        <v>1000000</v>
      </c>
      <c r="O137">
        <f>IF($M137="PER-M",
  IFERROR(
    IF($G137="Hollow",
       INDEX('Referensi Harga'!$C:$C, MATCH($F137 &amp; "|" &amp; $C137, 'Referensi Harga'!$F:$F, 0)),
    IF($G137="Hollow Stainless",
       INDEX('Referensi Harga'!$D:$D, MATCH($F137 &amp; "|" &amp; $C137, 'Referensi Harga'!$F:$F, 0)),
       INDEX('Referensi Harga'!$E:$E, MATCH($F137 &amp; "|" &amp; $C137, 'Referensi Harga'!$F:$F, 0))
    ))
    + IFERROR(VLOOKUP($H137, 'Profile Size'!$A:$B, 2, FALSE), 0)
    + IFERROR(VLOOKUP($I137, 'Ketebalan Material'!$A:$B, 2, FALSE), 0), 0),
0)</f>
        <v>0</v>
      </c>
      <c r="P137" cm="1">
        <f t="array" ref="P137">IF($M137="PER-LUBANG",
  IFERROR(
     _xlfn.IFS(
        $G137="Hollow",
            INDEX('Referensi Harga'!$C:$C,
                  MATCH($F137&amp;$C137,'Referensi Harga'!$A:$A&amp;'Referensi Harga'!$B:$B,0)),
        $G137="Hollow Stainless",
            INDEX('Referensi Harga'!$D:$D,
                  MATCH($F137&amp;$C137,'Referensi Harga'!$A:$A&amp;'Referensi Harga'!$B:$B,0)),
        $G137="Pipa Stainless",
            INDEX('Referensi Harga'!$E:$E,
                  MATCH($F137&amp;$C137,'Referensi Harga'!$A:$A&amp;'Referensi Harga'!$B:$B,0))
     ),0)
  + IFERROR(VLOOKUP($H137,'Profile Size'!$A:$B,2,FALSE),0)
  + IFERROR(VLOOKUP($I137,'Ketebalan Material'!$A:$B,2,FALSE),0),
0)</f>
        <v>0</v>
      </c>
      <c r="Q137">
        <f>IF($M137="PER-M2",
    IFERROR(
        SUMIFS('Upah Tenaga Ahli'!$C:$C,
               'Upah Tenaga Ahli'!$A:$A,"PER-M2",
               'Upah Tenaga Ahli'!$B:$B,$G137
        ) * $J137 * $K137,
    0),
IF($M137="PER-LUBANG",
    IFERROR(
        SUMIFS('Upah Tenaga Ahli'!$D:$D,
               'Upah Tenaga Ahli'!$A:$A,"PER-LUBANG",
               'Upah Tenaga Ahli'!$B:$B,$G137
        ) * $L137 * $K137,
    0),
IF($M137="PER-M",
    IFERROR(
        SUMIFS('Upah Tenaga Ahli'!$E:$E,
               'Upah Tenaga Ahli'!$A:$A,"PER-M",
               'Upah Tenaga Ahli'!$B:$B,$G137
        ) * $J137 * $K137,
    0),
0)))</f>
        <v>3471000</v>
      </c>
      <c r="R137" t="s">
        <v>617</v>
      </c>
      <c r="S137" t="s">
        <v>24</v>
      </c>
      <c r="T137">
        <f>IF($M137="PER-M2",
   ($N137 * $J137 * $K137)
   + IFERROR(VLOOKUP($R137,Finishing!A:B,2,FALSE),0)
   + IFERROR(VLOOKUP($S137,Kerumitan!A:B,2,FALSE),0),
IF($M137="PER-LUBANG",
   ($P137 * $L137 * $K137)
   + IFERROR(VLOOKUP($R137,Finishing!A:B,2,FALSE),0)
   + IFERROR(VLOOKUP($S137,Kerumitan!A:B,2,FALSE),0),
IF($M137="PER-M",
   ($O137 * $J137 * $K137)
   + IFERROR(VLOOKUP($R137,Finishing!A:B,2,FALSE),0)
   + IFERROR(VLOOKUP($S137,Kerumitan!A:B,2,FALSE),0),
0)))</f>
        <v>23240000</v>
      </c>
    </row>
    <row r="138" spans="1:20" x14ac:dyDescent="0.45">
      <c r="A138" t="s">
        <v>225</v>
      </c>
      <c r="B138" s="5">
        <v>45793</v>
      </c>
      <c r="C138">
        <f t="shared" si="2"/>
        <v>2025</v>
      </c>
      <c r="D138" t="s">
        <v>68</v>
      </c>
      <c r="E138" t="s">
        <v>32</v>
      </c>
      <c r="F138" t="s">
        <v>8</v>
      </c>
      <c r="G138" t="s">
        <v>14</v>
      </c>
      <c r="H138" t="s">
        <v>612</v>
      </c>
      <c r="I138">
        <v>0.8</v>
      </c>
      <c r="J138">
        <v>0</v>
      </c>
      <c r="K138">
        <v>1</v>
      </c>
      <c r="L138">
        <v>6</v>
      </c>
      <c r="M138" t="str" cm="1">
        <f t="array" ref="M138">_xlfn.IFS(
   OR($F138="Pagar", $F138="Pintu Gerbang", $F138="Pintu Handerson", $F138="Kanopi"), "PER-M2",
   $F138="Teralis", "PER-LUBANG",
   OR($F138="Railing", $F138="Railing/Balkon"), "PER-M",
   TRUE, ""
)</f>
        <v>PER-LUBANG</v>
      </c>
      <c r="N138" cm="1">
        <f t="array" ref="N138">IF($M138="PER-M2",
  IFERROR(
     _xlfn.IFS(
        $G138="Hollow",
            INDEX('Referensi Harga'!$C:$C,
                  MATCH($F138&amp;$C138,'Referensi Harga'!$A:$A&amp;'Referensi Harga'!$B:$B,0)),
        $G138="Hollow Stainless",
            INDEX('Referensi Harga'!$D:$D,
                  MATCH($F138&amp;$C138,'Referensi Harga'!$A:$A&amp;'Referensi Harga'!$B:$B,0)),
        $G138="Pipa Stainless",
            INDEX('Referensi Harga'!$E:$E,
                  MATCH($F138&amp;$C138,'Referensi Harga'!$A:$A&amp;'Referensi Harga'!$B:$B,0))
     ),0)
  + IFERROR(VLOOKUP($H138,'Profile Size'!$A:$B,2,FALSE),0)
  + IFERROR(VLOOKUP($I138,'Ketebalan Material'!$A:$B,2,FALSE),0),
0)</f>
        <v>0</v>
      </c>
      <c r="O138">
        <f>IF($M138="PER-M",
  IFERROR(
    IF($G138="Hollow",
       INDEX('Referensi Harga'!$C:$C, MATCH($F138 &amp; "|" &amp; $C138, 'Referensi Harga'!$F:$F, 0)),
    IF($G138="Hollow Stainless",
       INDEX('Referensi Harga'!$D:$D, MATCH($F138 &amp; "|" &amp; $C138, 'Referensi Harga'!$F:$F, 0)),
       INDEX('Referensi Harga'!$E:$E, MATCH($F138 &amp; "|" &amp; $C138, 'Referensi Harga'!$F:$F, 0))
    ))
    + IFERROR(VLOOKUP($H138, 'Profile Size'!$A:$B, 2, FALSE), 0)
    + IFERROR(VLOOKUP($I138, 'Ketebalan Material'!$A:$B, 2, FALSE), 0), 0),
0)</f>
        <v>0</v>
      </c>
      <c r="P138" cm="1">
        <f t="array" ref="P138">IF($M138="PER-LUBANG",
  IFERROR(
     _xlfn.IFS(
        $G138="Hollow",
            INDEX('Referensi Harga'!$C:$C,
                  MATCH($F138&amp;$C138,'Referensi Harga'!$A:$A&amp;'Referensi Harga'!$B:$B,0)),
        $G138="Hollow Stainless",
            INDEX('Referensi Harga'!$D:$D,
                  MATCH($F138&amp;$C138,'Referensi Harga'!$A:$A&amp;'Referensi Harga'!$B:$B,0)),
        $G138="Pipa Stainless",
            INDEX('Referensi Harga'!$E:$E,
                  MATCH($F138&amp;$C138,'Referensi Harga'!$A:$A&amp;'Referensi Harga'!$B:$B,0))
     ),0)
  + IFERROR(VLOOKUP($H138,'Profile Size'!$A:$B,2,FALSE),0)
  + IFERROR(VLOOKUP($I138,'Ketebalan Material'!$A:$B,2,FALSE),0),
0)</f>
        <v>700000</v>
      </c>
      <c r="Q138">
        <f>IF($M138="PER-M2",
    IFERROR(
        SUMIFS('Upah Tenaga Ahli'!$C:$C,
               'Upah Tenaga Ahli'!$A:$A,"PER-M2",
               'Upah Tenaga Ahli'!$B:$B,$G138
        ) * $J138 * $K138,
    0),
IF($M138="PER-LUBANG",
    IFERROR(
        SUMIFS('Upah Tenaga Ahli'!$D:$D,
               'Upah Tenaga Ahli'!$A:$A,"PER-LUBANG",
               'Upah Tenaga Ahli'!$B:$B,$G138
        ) * $L138 * $K138,
    0),
IF($M138="PER-M",
    IFERROR(
        SUMIFS('Upah Tenaga Ahli'!$E:$E,
               'Upah Tenaga Ahli'!$A:$A,"PER-M",
               'Upah Tenaga Ahli'!$B:$B,$G138
        ) * $J138 * $K138,
    0),
0)))</f>
        <v>900000</v>
      </c>
      <c r="R138" t="s">
        <v>617</v>
      </c>
      <c r="S138" t="s">
        <v>23</v>
      </c>
      <c r="T138">
        <f>IF($M138="PER-M2",
   ($N138 * $J138 * $K138)
   + IFERROR(VLOOKUP($R138,Finishing!A:B,2,FALSE),0)
   + IFERROR(VLOOKUP($S138,Kerumitan!A:B,2,FALSE),0),
IF($M138="PER-LUBANG",
   ($P138 * $L138 * $K138)
   + IFERROR(VLOOKUP($R138,Finishing!A:B,2,FALSE),0)
   + IFERROR(VLOOKUP($S138,Kerumitan!A:B,2,FALSE),0),
IF($M138="PER-M",
   ($O138 * $J138 * $K138)
   + IFERROR(VLOOKUP($R138,Finishing!A:B,2,FALSE),0)
   + IFERROR(VLOOKUP($S138,Kerumitan!A:B,2,FALSE),0),
0)))</f>
        <v>4200000</v>
      </c>
    </row>
    <row r="139" spans="1:20" x14ac:dyDescent="0.45">
      <c r="A139" t="s">
        <v>226</v>
      </c>
      <c r="B139" s="5">
        <v>43746</v>
      </c>
      <c r="C139">
        <f t="shared" si="2"/>
        <v>2019</v>
      </c>
      <c r="D139" t="s">
        <v>133</v>
      </c>
      <c r="E139" t="s">
        <v>38</v>
      </c>
      <c r="F139" t="s">
        <v>6</v>
      </c>
      <c r="G139" t="s">
        <v>13</v>
      </c>
      <c r="H139" t="s">
        <v>35</v>
      </c>
      <c r="I139">
        <v>1.2</v>
      </c>
      <c r="J139">
        <v>10.63</v>
      </c>
      <c r="K139">
        <v>2</v>
      </c>
      <c r="L139">
        <v>0</v>
      </c>
      <c r="M139" t="str" cm="1">
        <f t="array" ref="M139">_xlfn.IFS(
   OR($F139="Pagar", $F139="Pintu Gerbang", $F139="Pintu Handerson", $F139="Kanopi"), "PER-M2",
   $F139="Teralis", "PER-LUBANG",
   OR($F139="Railing", $F139="Railing/Balkon"), "PER-M",
   TRUE, ""
)</f>
        <v>PER-M2</v>
      </c>
      <c r="N139" cm="1">
        <f t="array" ref="N139">IF($M139="PER-M2",
  IFERROR(
     _xlfn.IFS(
        $G139="Hollow",
            INDEX('Referensi Harga'!$C:$C,
                  MATCH($F139&amp;$C139,'Referensi Harga'!$A:$A&amp;'Referensi Harga'!$B:$B,0)),
        $G139="Hollow Stainless",
            INDEX('Referensi Harga'!$D:$D,
                  MATCH($F139&amp;$C139,'Referensi Harga'!$A:$A&amp;'Referensi Harga'!$B:$B,0)),
        $G139="Pipa Stainless",
            INDEX('Referensi Harga'!$E:$E,
                  MATCH($F139&amp;$C139,'Referensi Harga'!$A:$A&amp;'Referensi Harga'!$B:$B,0))
     ),0)
  + IFERROR(VLOOKUP($H139,'Profile Size'!$A:$B,2,FALSE),0)
  + IFERROR(VLOOKUP($I139,'Ketebalan Material'!$A:$B,2,FALSE),0),
0)</f>
        <v>550000</v>
      </c>
      <c r="O139">
        <f>IF($M139="PER-M",
  IFERROR(
    IF($G139="Hollow",
       INDEX('Referensi Harga'!$C:$C, MATCH($F139 &amp; "|" &amp; $C139, 'Referensi Harga'!$F:$F, 0)),
    IF($G139="Hollow Stainless",
       INDEX('Referensi Harga'!$D:$D, MATCH($F139 &amp; "|" &amp; $C139, 'Referensi Harga'!$F:$F, 0)),
       INDEX('Referensi Harga'!$E:$E, MATCH($F139 &amp; "|" &amp; $C139, 'Referensi Harga'!$F:$F, 0))
    ))
    + IFERROR(VLOOKUP($H139, 'Profile Size'!$A:$B, 2, FALSE), 0)
    + IFERROR(VLOOKUP($I139, 'Ketebalan Material'!$A:$B, 2, FALSE), 0), 0),
0)</f>
        <v>0</v>
      </c>
      <c r="P139" cm="1">
        <f t="array" ref="P139">IF($M139="PER-LUBANG",
  IFERROR(
     _xlfn.IFS(
        $G139="Hollow",
            INDEX('Referensi Harga'!$C:$C,
                  MATCH($F139&amp;$C139,'Referensi Harga'!$A:$A&amp;'Referensi Harga'!$B:$B,0)),
        $G139="Hollow Stainless",
            INDEX('Referensi Harga'!$D:$D,
                  MATCH($F139&amp;$C139,'Referensi Harga'!$A:$A&amp;'Referensi Harga'!$B:$B,0)),
        $G139="Pipa Stainless",
            INDEX('Referensi Harga'!$E:$E,
                  MATCH($F139&amp;$C139,'Referensi Harga'!$A:$A&amp;'Referensi Harga'!$B:$B,0))
     ),0)
  + IFERROR(VLOOKUP($H139,'Profile Size'!$A:$B,2,FALSE),0)
  + IFERROR(VLOOKUP($I139,'Ketebalan Material'!$A:$B,2,FALSE),0),
0)</f>
        <v>0</v>
      </c>
      <c r="Q139">
        <f>IF($M139="PER-M2",
    IFERROR(
        SUMIFS('Upah Tenaga Ahli'!$C:$C,
               'Upah Tenaga Ahli'!$A:$A,"PER-M2",
               'Upah Tenaga Ahli'!$B:$B,$G139
        ) * $J139 * $K139,
    0),
IF($M139="PER-LUBANG",
    IFERROR(
        SUMIFS('Upah Tenaga Ahli'!$D:$D,
               'Upah Tenaga Ahli'!$A:$A,"PER-LUBANG",
               'Upah Tenaga Ahli'!$B:$B,$G139
        ) * $L139 * $K139,
    0),
IF($M139="PER-M",
    IFERROR(
        SUMIFS('Upah Tenaga Ahli'!$E:$E,
               'Upah Tenaga Ahli'!$A:$A,"PER-M",
               'Upah Tenaga Ahli'!$B:$B,$G139
        ) * $J139 * $K139,
    0),
0)))</f>
        <v>2126000</v>
      </c>
      <c r="R139" t="s">
        <v>20</v>
      </c>
      <c r="S139" t="s">
        <v>23</v>
      </c>
      <c r="T139">
        <f>IF($M139="PER-M2",
   ($N139 * $J139 * $K139)
   + IFERROR(VLOOKUP($R139,Finishing!A:B,2,FALSE),0)
   + IFERROR(VLOOKUP($S139,Kerumitan!A:B,2,FALSE),0),
IF($M139="PER-LUBANG",
   ($P139 * $L139 * $K139)
   + IFERROR(VLOOKUP($R139,Finishing!A:B,2,FALSE),0)
   + IFERROR(VLOOKUP($S139,Kerumitan!A:B,2,FALSE),0),
IF($M139="PER-M",
   ($O139 * $J139 * $K139)
   + IFERROR(VLOOKUP($R139,Finishing!A:B,2,FALSE),0)
   + IFERROR(VLOOKUP($S139,Kerumitan!A:B,2,FALSE),0),
0)))</f>
        <v>11843000</v>
      </c>
    </row>
    <row r="140" spans="1:20" x14ac:dyDescent="0.45">
      <c r="A140" t="s">
        <v>227</v>
      </c>
      <c r="B140" s="5">
        <v>45137</v>
      </c>
      <c r="C140">
        <f t="shared" si="2"/>
        <v>2023</v>
      </c>
      <c r="D140" t="s">
        <v>228</v>
      </c>
      <c r="E140" t="s">
        <v>41</v>
      </c>
      <c r="F140" t="s">
        <v>6</v>
      </c>
      <c r="G140" t="s">
        <v>13</v>
      </c>
      <c r="H140" t="s">
        <v>46</v>
      </c>
      <c r="I140">
        <v>1.2</v>
      </c>
      <c r="J140">
        <v>10.37</v>
      </c>
      <c r="K140">
        <v>1</v>
      </c>
      <c r="L140">
        <v>0</v>
      </c>
      <c r="M140" t="str" cm="1">
        <f t="array" ref="M140">_xlfn.IFS(
   OR($F140="Pagar", $F140="Pintu Gerbang", $F140="Pintu Handerson", $F140="Kanopi"), "PER-M2",
   $F140="Teralis", "PER-LUBANG",
   OR($F140="Railing", $F140="Railing/Balkon"), "PER-M",
   TRUE, ""
)</f>
        <v>PER-M2</v>
      </c>
      <c r="N140" cm="1">
        <f t="array" ref="N140">IF($M140="PER-M2",
  IFERROR(
     _xlfn.IFS(
        $G140="Hollow",
            INDEX('Referensi Harga'!$C:$C,
                  MATCH($F140&amp;$C140,'Referensi Harga'!$A:$A&amp;'Referensi Harga'!$B:$B,0)),
        $G140="Hollow Stainless",
            INDEX('Referensi Harga'!$D:$D,
                  MATCH($F140&amp;$C140,'Referensi Harga'!$A:$A&amp;'Referensi Harga'!$B:$B,0)),
        $G140="Pipa Stainless",
            INDEX('Referensi Harga'!$E:$E,
                  MATCH($F140&amp;$C140,'Referensi Harga'!$A:$A&amp;'Referensi Harga'!$B:$B,0))
     ),0)
  + IFERROR(VLOOKUP($H140,'Profile Size'!$A:$B,2,FALSE),0)
  + IFERROR(VLOOKUP($I140,'Ketebalan Material'!$A:$B,2,FALSE),0),
0)</f>
        <v>570000</v>
      </c>
      <c r="O140">
        <f>IF($M140="PER-M",
  IFERROR(
    IF($G140="Hollow",
       INDEX('Referensi Harga'!$C:$C, MATCH($F140 &amp; "|" &amp; $C140, 'Referensi Harga'!$F:$F, 0)),
    IF($G140="Hollow Stainless",
       INDEX('Referensi Harga'!$D:$D, MATCH($F140 &amp; "|" &amp; $C140, 'Referensi Harga'!$F:$F, 0)),
       INDEX('Referensi Harga'!$E:$E, MATCH($F140 &amp; "|" &amp; $C140, 'Referensi Harga'!$F:$F, 0))
    ))
    + IFERROR(VLOOKUP($H140, 'Profile Size'!$A:$B, 2, FALSE), 0)
    + IFERROR(VLOOKUP($I140, 'Ketebalan Material'!$A:$B, 2, FALSE), 0), 0),
0)</f>
        <v>0</v>
      </c>
      <c r="P140" cm="1">
        <f t="array" ref="P140">IF($M140="PER-LUBANG",
  IFERROR(
     _xlfn.IFS(
        $G140="Hollow",
            INDEX('Referensi Harga'!$C:$C,
                  MATCH($F140&amp;$C140,'Referensi Harga'!$A:$A&amp;'Referensi Harga'!$B:$B,0)),
        $G140="Hollow Stainless",
            INDEX('Referensi Harga'!$D:$D,
                  MATCH($F140&amp;$C140,'Referensi Harga'!$A:$A&amp;'Referensi Harga'!$B:$B,0)),
        $G140="Pipa Stainless",
            INDEX('Referensi Harga'!$E:$E,
                  MATCH($F140&amp;$C140,'Referensi Harga'!$A:$A&amp;'Referensi Harga'!$B:$B,0))
     ),0)
  + IFERROR(VLOOKUP($H140,'Profile Size'!$A:$B,2,FALSE),0)
  + IFERROR(VLOOKUP($I140,'Ketebalan Material'!$A:$B,2,FALSE),0),
0)</f>
        <v>0</v>
      </c>
      <c r="Q140">
        <f>IF($M140="PER-M2",
    IFERROR(
        SUMIFS('Upah Tenaga Ahli'!$C:$C,
               'Upah Tenaga Ahli'!$A:$A,"PER-M2",
               'Upah Tenaga Ahli'!$B:$B,$G140
        ) * $J140 * $K140,
    0),
IF($M140="PER-LUBANG",
    IFERROR(
        SUMIFS('Upah Tenaga Ahli'!$D:$D,
               'Upah Tenaga Ahli'!$A:$A,"PER-LUBANG",
               'Upah Tenaga Ahli'!$B:$B,$G140
        ) * $L140 * $K140,
    0),
IF($M140="PER-M",
    IFERROR(
        SUMIFS('Upah Tenaga Ahli'!$E:$E,
               'Upah Tenaga Ahli'!$A:$A,"PER-M",
               'Upah Tenaga Ahli'!$B:$B,$G140
        ) * $J140 * $K140,
    0),
0)))</f>
        <v>1036999.9999999999</v>
      </c>
      <c r="R140" t="s">
        <v>19</v>
      </c>
      <c r="S140" t="s">
        <v>23</v>
      </c>
      <c r="T140">
        <f>IF($M140="PER-M2",
   ($N140 * $J140 * $K140)
   + IFERROR(VLOOKUP($R140,Finishing!A:B,2,FALSE),0)
   + IFERROR(VLOOKUP($S140,Kerumitan!A:B,2,FALSE),0),
IF($M140="PER-LUBANG",
   ($P140 * $L140 * $K140)
   + IFERROR(VLOOKUP($R140,Finishing!A:B,2,FALSE),0)
   + IFERROR(VLOOKUP($S140,Kerumitan!A:B,2,FALSE),0),
IF($M140="PER-M",
   ($O140 * $J140 * $K140)
   + IFERROR(VLOOKUP($R140,Finishing!A:B,2,FALSE),0)
   + IFERROR(VLOOKUP($S140,Kerumitan!A:B,2,FALSE),0),
0)))</f>
        <v>5960900</v>
      </c>
    </row>
    <row r="141" spans="1:20" x14ac:dyDescent="0.45">
      <c r="A141" t="s">
        <v>229</v>
      </c>
      <c r="B141" s="5">
        <v>44974</v>
      </c>
      <c r="C141">
        <f t="shared" si="2"/>
        <v>2023</v>
      </c>
      <c r="D141" t="s">
        <v>117</v>
      </c>
      <c r="E141" t="s">
        <v>28</v>
      </c>
      <c r="F141" t="s">
        <v>6</v>
      </c>
      <c r="G141" t="s">
        <v>13</v>
      </c>
      <c r="H141" t="s">
        <v>33</v>
      </c>
      <c r="I141">
        <v>1</v>
      </c>
      <c r="J141">
        <v>13.04</v>
      </c>
      <c r="K141">
        <v>2</v>
      </c>
      <c r="L141">
        <v>0</v>
      </c>
      <c r="M141" t="str" cm="1">
        <f t="array" ref="M141">_xlfn.IFS(
   OR($F141="Pagar", $F141="Pintu Gerbang", $F141="Pintu Handerson", $F141="Kanopi"), "PER-M2",
   $F141="Teralis", "PER-LUBANG",
   OR($F141="Railing", $F141="Railing/Balkon"), "PER-M",
   TRUE, ""
)</f>
        <v>PER-M2</v>
      </c>
      <c r="N141" cm="1">
        <f t="array" ref="N141">IF($M141="PER-M2",
  IFERROR(
     _xlfn.IFS(
        $G141="Hollow",
            INDEX('Referensi Harga'!$C:$C,
                  MATCH($F141&amp;$C141,'Referensi Harga'!$A:$A&amp;'Referensi Harga'!$B:$B,0)),
        $G141="Hollow Stainless",
            INDEX('Referensi Harga'!$D:$D,
                  MATCH($F141&amp;$C141,'Referensi Harga'!$A:$A&amp;'Referensi Harga'!$B:$B,0)),
        $G141="Pipa Stainless",
            INDEX('Referensi Harga'!$E:$E,
                  MATCH($F141&amp;$C141,'Referensi Harga'!$A:$A&amp;'Referensi Harga'!$B:$B,0))
     ),0)
  + IFERROR(VLOOKUP($H141,'Profile Size'!$A:$B,2,FALSE),0)
  + IFERROR(VLOOKUP($I141,'Ketebalan Material'!$A:$B,2,FALSE),0),
0)</f>
        <v>470000</v>
      </c>
      <c r="O141">
        <f>IF($M141="PER-M",
  IFERROR(
    IF($G141="Hollow",
       INDEX('Referensi Harga'!$C:$C, MATCH($F141 &amp; "|" &amp; $C141, 'Referensi Harga'!$F:$F, 0)),
    IF($G141="Hollow Stainless",
       INDEX('Referensi Harga'!$D:$D, MATCH($F141 &amp; "|" &amp; $C141, 'Referensi Harga'!$F:$F, 0)),
       INDEX('Referensi Harga'!$E:$E, MATCH($F141 &amp; "|" &amp; $C141, 'Referensi Harga'!$F:$F, 0))
    ))
    + IFERROR(VLOOKUP($H141, 'Profile Size'!$A:$B, 2, FALSE), 0)
    + IFERROR(VLOOKUP($I141, 'Ketebalan Material'!$A:$B, 2, FALSE), 0), 0),
0)</f>
        <v>0</v>
      </c>
      <c r="P141" cm="1">
        <f t="array" ref="P141">IF($M141="PER-LUBANG",
  IFERROR(
     _xlfn.IFS(
        $G141="Hollow",
            INDEX('Referensi Harga'!$C:$C,
                  MATCH($F141&amp;$C141,'Referensi Harga'!$A:$A&amp;'Referensi Harga'!$B:$B,0)),
        $G141="Hollow Stainless",
            INDEX('Referensi Harga'!$D:$D,
                  MATCH($F141&amp;$C141,'Referensi Harga'!$A:$A&amp;'Referensi Harga'!$B:$B,0)),
        $G141="Pipa Stainless",
            INDEX('Referensi Harga'!$E:$E,
                  MATCH($F141&amp;$C141,'Referensi Harga'!$A:$A&amp;'Referensi Harga'!$B:$B,0))
     ),0)
  + IFERROR(VLOOKUP($H141,'Profile Size'!$A:$B,2,FALSE),0)
  + IFERROR(VLOOKUP($I141,'Ketebalan Material'!$A:$B,2,FALSE),0),
0)</f>
        <v>0</v>
      </c>
      <c r="Q141">
        <f>IF($M141="PER-M2",
    IFERROR(
        SUMIFS('Upah Tenaga Ahli'!$C:$C,
               'Upah Tenaga Ahli'!$A:$A,"PER-M2",
               'Upah Tenaga Ahli'!$B:$B,$G141
        ) * $J141 * $K141,
    0),
IF($M141="PER-LUBANG",
    IFERROR(
        SUMIFS('Upah Tenaga Ahli'!$D:$D,
               'Upah Tenaga Ahli'!$A:$A,"PER-LUBANG",
               'Upah Tenaga Ahli'!$B:$B,$G141
        ) * $L141 * $K141,
    0),
IF($M141="PER-M",
    IFERROR(
        SUMIFS('Upah Tenaga Ahli'!$E:$E,
               'Upah Tenaga Ahli'!$A:$A,"PER-M",
               'Upah Tenaga Ahli'!$B:$B,$G141
        ) * $J141 * $K141,
    0),
0)))</f>
        <v>2608000</v>
      </c>
      <c r="R141" t="s">
        <v>19</v>
      </c>
      <c r="S141" t="s">
        <v>23</v>
      </c>
      <c r="T141">
        <f>IF($M141="PER-M2",
   ($N141 * $J141 * $K141)
   + IFERROR(VLOOKUP($R141,Finishing!A:B,2,FALSE),0)
   + IFERROR(VLOOKUP($S141,Kerumitan!A:B,2,FALSE),0),
IF($M141="PER-LUBANG",
   ($P141 * $L141 * $K141)
   + IFERROR(VLOOKUP($R141,Finishing!A:B,2,FALSE),0)
   + IFERROR(VLOOKUP($S141,Kerumitan!A:B,2,FALSE),0),
IF($M141="PER-M",
   ($O141 * $J141 * $K141)
   + IFERROR(VLOOKUP($R141,Finishing!A:B,2,FALSE),0)
   + IFERROR(VLOOKUP($S141,Kerumitan!A:B,2,FALSE),0),
0)))</f>
        <v>12307600</v>
      </c>
    </row>
    <row r="142" spans="1:20" x14ac:dyDescent="0.45">
      <c r="A142" t="s">
        <v>230</v>
      </c>
      <c r="B142" s="5">
        <v>44509</v>
      </c>
      <c r="C142">
        <f t="shared" si="2"/>
        <v>2021</v>
      </c>
      <c r="D142" t="s">
        <v>77</v>
      </c>
      <c r="E142" t="s">
        <v>38</v>
      </c>
      <c r="F142" t="s">
        <v>625</v>
      </c>
      <c r="G142" t="s">
        <v>13</v>
      </c>
      <c r="H142" t="s">
        <v>46</v>
      </c>
      <c r="I142">
        <v>0.8</v>
      </c>
      <c r="J142">
        <v>6.27</v>
      </c>
      <c r="K142">
        <v>1</v>
      </c>
      <c r="L142">
        <v>0</v>
      </c>
      <c r="M142" t="str" cm="1">
        <f t="array" ref="M142">_xlfn.IFS(
   OR($F142="Pagar", $F142="Pintu Gerbang", $F142="Pintu Handerson", $F142="Kanopi"), "PER-M2",
   $F142="Teralis", "PER-LUBANG",
   OR($F142="Railing", $F142="Railing/Balkon"), "PER-M",
   TRUE, ""
)</f>
        <v>PER-M</v>
      </c>
      <c r="N142" cm="1">
        <f t="array" ref="N142">IF($M142="PER-M2",
  IFERROR(
     _xlfn.IFS(
        $G142="Hollow",
            INDEX('Referensi Harga'!$C:$C,
                  MATCH($F142&amp;$C142,'Referensi Harga'!$A:$A&amp;'Referensi Harga'!$B:$B,0)),
        $G142="Hollow Stainless",
            INDEX('Referensi Harga'!$D:$D,
                  MATCH($F142&amp;$C142,'Referensi Harga'!$A:$A&amp;'Referensi Harga'!$B:$B,0)),
        $G142="Pipa Stainless",
            INDEX('Referensi Harga'!$E:$E,
                  MATCH($F142&amp;$C142,'Referensi Harga'!$A:$A&amp;'Referensi Harga'!$B:$B,0))
     ),0)
  + IFERROR(VLOOKUP($H142,'Profile Size'!$A:$B,2,FALSE),0)
  + IFERROR(VLOOKUP($I142,'Ketebalan Material'!$A:$B,2,FALSE),0),
0)</f>
        <v>0</v>
      </c>
      <c r="O142">
        <f>IF($M142="PER-M",
  IFERROR(
    IF($G142="Hollow",
       INDEX('Referensi Harga'!$C:$C, MATCH($F142 &amp; "|" &amp; $C142, 'Referensi Harga'!$F:$F, 0)),
    IF($G142="Hollow Stainless",
       INDEX('Referensi Harga'!$D:$D, MATCH($F142 &amp; "|" &amp; $C142, 'Referensi Harga'!$F:$F, 0)),
       INDEX('Referensi Harga'!$E:$E, MATCH($F142 &amp; "|" &amp; $C142, 'Referensi Harga'!$F:$F, 0))
    ))
    + IFERROR(VLOOKUP($H142, 'Profile Size'!$A:$B, 2, FALSE), 0)
    + IFERROR(VLOOKUP($I142, 'Ketebalan Material'!$A:$B, 2, FALSE), 0), 0),
0)</f>
        <v>500000</v>
      </c>
      <c r="P142" cm="1">
        <f t="array" ref="P142">IF($M142="PER-LUBANG",
  IFERROR(
     _xlfn.IFS(
        $G142="Hollow",
            INDEX('Referensi Harga'!$C:$C,
                  MATCH($F142&amp;$C142,'Referensi Harga'!$A:$A&amp;'Referensi Harga'!$B:$B,0)),
        $G142="Hollow Stainless",
            INDEX('Referensi Harga'!$D:$D,
                  MATCH($F142&amp;$C142,'Referensi Harga'!$A:$A&amp;'Referensi Harga'!$B:$B,0)),
        $G142="Pipa Stainless",
            INDEX('Referensi Harga'!$E:$E,
                  MATCH($F142&amp;$C142,'Referensi Harga'!$A:$A&amp;'Referensi Harga'!$B:$B,0))
     ),0)
  + IFERROR(VLOOKUP($H142,'Profile Size'!$A:$B,2,FALSE),0)
  + IFERROR(VLOOKUP($I142,'Ketebalan Material'!$A:$B,2,FALSE),0),
0)</f>
        <v>0</v>
      </c>
      <c r="Q142">
        <f>IF($M142="PER-M2",
    IFERROR(
        SUMIFS('Upah Tenaga Ahli'!$C:$C,
               'Upah Tenaga Ahli'!$A:$A,"PER-M2",
               'Upah Tenaga Ahli'!$B:$B,$G142
        ) * $J142 * $K142,
    0),
IF($M142="PER-LUBANG",
    IFERROR(
        SUMIFS('Upah Tenaga Ahli'!$D:$D,
               'Upah Tenaga Ahli'!$A:$A,"PER-LUBANG",
               'Upah Tenaga Ahli'!$B:$B,$G142
        ) * $L142 * $K142,
    0),
IF($M142="PER-M",
    IFERROR(
        SUMIFS('Upah Tenaga Ahli'!$E:$E,
               'Upah Tenaga Ahli'!$A:$A,"PER-M",
               'Upah Tenaga Ahli'!$B:$B,$G142
        ) * $J142 * $K142,
    0),
0)))</f>
        <v>627000</v>
      </c>
      <c r="R142" t="s">
        <v>19</v>
      </c>
      <c r="S142" t="s">
        <v>23</v>
      </c>
      <c r="T142">
        <f>IF($M142="PER-M2",
   ($N142 * $J142 * $K142)
   + IFERROR(VLOOKUP($R142,Finishing!A:B,2,FALSE),0)
   + IFERROR(VLOOKUP($S142,Kerumitan!A:B,2,FALSE),0),
IF($M142="PER-LUBANG",
   ($P142 * $L142 * $K142)
   + IFERROR(VLOOKUP($R142,Finishing!A:B,2,FALSE),0)
   + IFERROR(VLOOKUP($S142,Kerumitan!A:B,2,FALSE),0),
IF($M142="PER-M",
   ($O142 * $J142 * $K142)
   + IFERROR(VLOOKUP($R142,Finishing!A:B,2,FALSE),0)
   + IFERROR(VLOOKUP($S142,Kerumitan!A:B,2,FALSE),0),
0)))</f>
        <v>3185000</v>
      </c>
    </row>
    <row r="143" spans="1:20" x14ac:dyDescent="0.45">
      <c r="A143" t="s">
        <v>231</v>
      </c>
      <c r="B143" s="5">
        <v>45952</v>
      </c>
      <c r="C143">
        <f t="shared" si="2"/>
        <v>2025</v>
      </c>
      <c r="D143" t="s">
        <v>232</v>
      </c>
      <c r="E143" t="s">
        <v>32</v>
      </c>
      <c r="F143" t="s">
        <v>10</v>
      </c>
      <c r="G143" t="s">
        <v>14</v>
      </c>
      <c r="H143" t="s">
        <v>615</v>
      </c>
      <c r="I143">
        <v>0.8</v>
      </c>
      <c r="J143">
        <v>4.45</v>
      </c>
      <c r="K143">
        <v>1</v>
      </c>
      <c r="L143">
        <v>0</v>
      </c>
      <c r="M143" t="str" cm="1">
        <f t="array" ref="M143">_xlfn.IFS(
   OR($F143="Pagar", $F143="Pintu Gerbang", $F143="Pintu Handerson", $F143="Kanopi"), "PER-M2",
   $F143="Teralis", "PER-LUBANG",
   OR($F143="Railing", $F143="Railing/Balkon"), "PER-M",
   TRUE, ""
)</f>
        <v>PER-M2</v>
      </c>
      <c r="N143" cm="1">
        <f t="array" ref="N143">IF($M143="PER-M2",
  IFERROR(
     _xlfn.IFS(
        $G143="Hollow",
            INDEX('Referensi Harga'!$C:$C,
                  MATCH($F143&amp;$C143,'Referensi Harga'!$A:$A&amp;'Referensi Harga'!$B:$B,0)),
        $G143="Hollow Stainless",
            INDEX('Referensi Harga'!$D:$D,
                  MATCH($F143&amp;$C143,'Referensi Harga'!$A:$A&amp;'Referensi Harga'!$B:$B,0)),
        $G143="Pipa Stainless",
            INDEX('Referensi Harga'!$E:$E,
                  MATCH($F143&amp;$C143,'Referensi Harga'!$A:$A&amp;'Referensi Harga'!$B:$B,0))
     ),0)
  + IFERROR(VLOOKUP($H143,'Profile Size'!$A:$B,2,FALSE),0)
  + IFERROR(VLOOKUP($I143,'Ketebalan Material'!$A:$B,2,FALSE),0),
0)</f>
        <v>1600000</v>
      </c>
      <c r="O143">
        <f>IF($M143="PER-M",
  IFERROR(
    IF($G143="Hollow",
       INDEX('Referensi Harga'!$C:$C, MATCH($F143 &amp; "|" &amp; $C143, 'Referensi Harga'!$F:$F, 0)),
    IF($G143="Hollow Stainless",
       INDEX('Referensi Harga'!$D:$D, MATCH($F143 &amp; "|" &amp; $C143, 'Referensi Harga'!$F:$F, 0)),
       INDEX('Referensi Harga'!$E:$E, MATCH($F143 &amp; "|" &amp; $C143, 'Referensi Harga'!$F:$F, 0))
    ))
    + IFERROR(VLOOKUP($H143, 'Profile Size'!$A:$B, 2, FALSE), 0)
    + IFERROR(VLOOKUP($I143, 'Ketebalan Material'!$A:$B, 2, FALSE), 0), 0),
0)</f>
        <v>0</v>
      </c>
      <c r="P143" cm="1">
        <f t="array" ref="P143">IF($M143="PER-LUBANG",
  IFERROR(
     _xlfn.IFS(
        $G143="Hollow",
            INDEX('Referensi Harga'!$C:$C,
                  MATCH($F143&amp;$C143,'Referensi Harga'!$A:$A&amp;'Referensi Harga'!$B:$B,0)),
        $G143="Hollow Stainless",
            INDEX('Referensi Harga'!$D:$D,
                  MATCH($F143&amp;$C143,'Referensi Harga'!$A:$A&amp;'Referensi Harga'!$B:$B,0)),
        $G143="Pipa Stainless",
            INDEX('Referensi Harga'!$E:$E,
                  MATCH($F143&amp;$C143,'Referensi Harga'!$A:$A&amp;'Referensi Harga'!$B:$B,0))
     ),0)
  + IFERROR(VLOOKUP($H143,'Profile Size'!$A:$B,2,FALSE),0)
  + IFERROR(VLOOKUP($I143,'Ketebalan Material'!$A:$B,2,FALSE),0),
0)</f>
        <v>0</v>
      </c>
      <c r="Q143">
        <f>IF($M143="PER-M2",
    IFERROR(
        SUMIFS('Upah Tenaga Ahli'!$C:$C,
               'Upah Tenaga Ahli'!$A:$A,"PER-M2",
               'Upah Tenaga Ahli'!$B:$B,$G143
        ) * $J143 * $K143,
    0),
IF($M143="PER-LUBANG",
    IFERROR(
        SUMIFS('Upah Tenaga Ahli'!$D:$D,
               'Upah Tenaga Ahli'!$A:$A,"PER-LUBANG",
               'Upah Tenaga Ahli'!$B:$B,$G143
        ) * $L143 * $K143,
    0),
IF($M143="PER-M",
    IFERROR(
        SUMIFS('Upah Tenaga Ahli'!$E:$E,
               'Upah Tenaga Ahli'!$A:$A,"PER-M",
               'Upah Tenaga Ahli'!$B:$B,$G143
        ) * $J143 * $K143,
    0),
0)))</f>
        <v>890000</v>
      </c>
      <c r="R143" t="s">
        <v>617</v>
      </c>
      <c r="S143" t="s">
        <v>23</v>
      </c>
      <c r="T143">
        <f>IF($M143="PER-M2",
   ($N143 * $J143 * $K143)
   + IFERROR(VLOOKUP($R143,Finishing!A:B,2,FALSE),0)
   + IFERROR(VLOOKUP($S143,Kerumitan!A:B,2,FALSE),0),
IF($M143="PER-LUBANG",
   ($P143 * $L143 * $K143)
   + IFERROR(VLOOKUP($R143,Finishing!A:B,2,FALSE),0)
   + IFERROR(VLOOKUP($S143,Kerumitan!A:B,2,FALSE),0),
IF($M143="PER-M",
   ($O143 * $J143 * $K143)
   + IFERROR(VLOOKUP($R143,Finishing!A:B,2,FALSE),0)
   + IFERROR(VLOOKUP($S143,Kerumitan!A:B,2,FALSE),0),
0)))</f>
        <v>7120000</v>
      </c>
    </row>
    <row r="144" spans="1:20" x14ac:dyDescent="0.45">
      <c r="A144" t="s">
        <v>233</v>
      </c>
      <c r="B144" s="5">
        <v>43545</v>
      </c>
      <c r="C144">
        <f t="shared" si="2"/>
        <v>2019</v>
      </c>
      <c r="D144" t="s">
        <v>123</v>
      </c>
      <c r="E144" t="s">
        <v>32</v>
      </c>
      <c r="F144" t="s">
        <v>625</v>
      </c>
      <c r="G144" t="s">
        <v>13</v>
      </c>
      <c r="H144" t="s">
        <v>46</v>
      </c>
      <c r="I144">
        <v>1</v>
      </c>
      <c r="J144">
        <v>9.08</v>
      </c>
      <c r="K144">
        <v>3</v>
      </c>
      <c r="L144">
        <v>0</v>
      </c>
      <c r="M144" t="str" cm="1">
        <f t="array" ref="M144">_xlfn.IFS(
   OR($F144="Pagar", $F144="Pintu Gerbang", $F144="Pintu Handerson", $F144="Kanopi"), "PER-M2",
   $F144="Teralis", "PER-LUBANG",
   OR($F144="Railing", $F144="Railing/Balkon"), "PER-M",
   TRUE, ""
)</f>
        <v>PER-M</v>
      </c>
      <c r="N144" cm="1">
        <f t="array" ref="N144">IF($M144="PER-M2",
  IFERROR(
     _xlfn.IFS(
        $G144="Hollow",
            INDEX('Referensi Harga'!$C:$C,
                  MATCH($F144&amp;$C144,'Referensi Harga'!$A:$A&amp;'Referensi Harga'!$B:$B,0)),
        $G144="Hollow Stainless",
            INDEX('Referensi Harga'!$D:$D,
                  MATCH($F144&amp;$C144,'Referensi Harga'!$A:$A&amp;'Referensi Harga'!$B:$B,0)),
        $G144="Pipa Stainless",
            INDEX('Referensi Harga'!$E:$E,
                  MATCH($F144&amp;$C144,'Referensi Harga'!$A:$A&amp;'Referensi Harga'!$B:$B,0))
     ),0)
  + IFERROR(VLOOKUP($H144,'Profile Size'!$A:$B,2,FALSE),0)
  + IFERROR(VLOOKUP($I144,'Ketebalan Material'!$A:$B,2,FALSE),0),
0)</f>
        <v>0</v>
      </c>
      <c r="O144">
        <f>IF($M144="PER-M",
  IFERROR(
    IF($G144="Hollow",
       INDEX('Referensi Harga'!$C:$C, MATCH($F144 &amp; "|" &amp; $C144, 'Referensi Harga'!$F:$F, 0)),
    IF($G144="Hollow Stainless",
       INDEX('Referensi Harga'!$D:$D, MATCH($F144 &amp; "|" &amp; $C144, 'Referensi Harga'!$F:$F, 0)),
       INDEX('Referensi Harga'!$E:$E, MATCH($F144 &amp; "|" &amp; $C144, 'Referensi Harga'!$F:$F, 0))
    ))
    + IFERROR(VLOOKUP($H144, 'Profile Size'!$A:$B, 2, FALSE), 0)
    + IFERROR(VLOOKUP($I144, 'Ketebalan Material'!$A:$B, 2, FALSE), 0), 0),
0)</f>
        <v>500000</v>
      </c>
      <c r="P144" cm="1">
        <f t="array" ref="P144">IF($M144="PER-LUBANG",
  IFERROR(
     _xlfn.IFS(
        $G144="Hollow",
            INDEX('Referensi Harga'!$C:$C,
                  MATCH($F144&amp;$C144,'Referensi Harga'!$A:$A&amp;'Referensi Harga'!$B:$B,0)),
        $G144="Hollow Stainless",
            INDEX('Referensi Harga'!$D:$D,
                  MATCH($F144&amp;$C144,'Referensi Harga'!$A:$A&amp;'Referensi Harga'!$B:$B,0)),
        $G144="Pipa Stainless",
            INDEX('Referensi Harga'!$E:$E,
                  MATCH($F144&amp;$C144,'Referensi Harga'!$A:$A&amp;'Referensi Harga'!$B:$B,0))
     ),0)
  + IFERROR(VLOOKUP($H144,'Profile Size'!$A:$B,2,FALSE),0)
  + IFERROR(VLOOKUP($I144,'Ketebalan Material'!$A:$B,2,FALSE),0),
0)</f>
        <v>0</v>
      </c>
      <c r="Q144">
        <f>IF($M144="PER-M2",
    IFERROR(
        SUMIFS('Upah Tenaga Ahli'!$C:$C,
               'Upah Tenaga Ahli'!$A:$A,"PER-M2",
               'Upah Tenaga Ahli'!$B:$B,$G144
        ) * $J144 * $K144,
    0),
IF($M144="PER-LUBANG",
    IFERROR(
        SUMIFS('Upah Tenaga Ahli'!$D:$D,
               'Upah Tenaga Ahli'!$A:$A,"PER-LUBANG",
               'Upah Tenaga Ahli'!$B:$B,$G144
        ) * $L144 * $K144,
    0),
IF($M144="PER-M",
    IFERROR(
        SUMIFS('Upah Tenaga Ahli'!$E:$E,
               'Upah Tenaga Ahli'!$A:$A,"PER-M",
               'Upah Tenaga Ahli'!$B:$B,$G144
        ) * $J144 * $K144,
    0),
0)))</f>
        <v>2724000</v>
      </c>
      <c r="R144" t="s">
        <v>18</v>
      </c>
      <c r="S144" t="s">
        <v>23</v>
      </c>
      <c r="T144">
        <f>IF($M144="PER-M2",
   ($N144 * $J144 * $K144)
   + IFERROR(VLOOKUP($R144,Finishing!A:B,2,FALSE),0)
   + IFERROR(VLOOKUP($S144,Kerumitan!A:B,2,FALSE),0),
IF($M144="PER-LUBANG",
   ($P144 * $L144 * $K144)
   + IFERROR(VLOOKUP($R144,Finishing!A:B,2,FALSE),0)
   + IFERROR(VLOOKUP($S144,Kerumitan!A:B,2,FALSE),0),
IF($M144="PER-M",
   ($O144 * $J144 * $K144)
   + IFERROR(VLOOKUP($R144,Finishing!A:B,2,FALSE),0)
   + IFERROR(VLOOKUP($S144,Kerumitan!A:B,2,FALSE),0),
0)))</f>
        <v>13620000</v>
      </c>
    </row>
    <row r="145" spans="1:20" x14ac:dyDescent="0.45">
      <c r="A145" t="s">
        <v>234</v>
      </c>
      <c r="B145" s="5">
        <v>43637</v>
      </c>
      <c r="C145">
        <f t="shared" si="2"/>
        <v>2019</v>
      </c>
      <c r="D145" t="s">
        <v>77</v>
      </c>
      <c r="E145" t="s">
        <v>105</v>
      </c>
      <c r="F145" t="s">
        <v>10</v>
      </c>
      <c r="G145" t="s">
        <v>13</v>
      </c>
      <c r="H145" t="s">
        <v>35</v>
      </c>
      <c r="I145">
        <v>1</v>
      </c>
      <c r="J145">
        <v>5</v>
      </c>
      <c r="K145">
        <v>2</v>
      </c>
      <c r="L145">
        <v>0</v>
      </c>
      <c r="M145" t="str" cm="1">
        <f t="array" ref="M145">_xlfn.IFS(
   OR($F145="Pagar", $F145="Pintu Gerbang", $F145="Pintu Handerson", $F145="Kanopi"), "PER-M2",
   $F145="Teralis", "PER-LUBANG",
   OR($F145="Railing", $F145="Railing/Balkon"), "PER-M",
   TRUE, ""
)</f>
        <v>PER-M2</v>
      </c>
      <c r="N145" cm="1">
        <f t="array" ref="N145">IF($M145="PER-M2",
  IFERROR(
     _xlfn.IFS(
        $G145="Hollow",
            INDEX('Referensi Harga'!$C:$C,
                  MATCH($F145&amp;$C145,'Referensi Harga'!$A:$A&amp;'Referensi Harga'!$B:$B,0)),
        $G145="Hollow Stainless",
            INDEX('Referensi Harga'!$D:$D,
                  MATCH($F145&amp;$C145,'Referensi Harga'!$A:$A&amp;'Referensi Harga'!$B:$B,0)),
        $G145="Pipa Stainless",
            INDEX('Referensi Harga'!$E:$E,
                  MATCH($F145&amp;$C145,'Referensi Harga'!$A:$A&amp;'Referensi Harga'!$B:$B,0))
     ),0)
  + IFERROR(VLOOKUP($H145,'Profile Size'!$A:$B,2,FALSE),0)
  + IFERROR(VLOOKUP($I145,'Ketebalan Material'!$A:$B,2,FALSE),0),
0)</f>
        <v>900000</v>
      </c>
      <c r="O145">
        <f>IF($M145="PER-M",
  IFERROR(
    IF($G145="Hollow",
       INDEX('Referensi Harga'!$C:$C, MATCH($F145 &amp; "|" &amp; $C145, 'Referensi Harga'!$F:$F, 0)),
    IF($G145="Hollow Stainless",
       INDEX('Referensi Harga'!$D:$D, MATCH($F145 &amp; "|" &amp; $C145, 'Referensi Harga'!$F:$F, 0)),
       INDEX('Referensi Harga'!$E:$E, MATCH($F145 &amp; "|" &amp; $C145, 'Referensi Harga'!$F:$F, 0))
    ))
    + IFERROR(VLOOKUP($H145, 'Profile Size'!$A:$B, 2, FALSE), 0)
    + IFERROR(VLOOKUP($I145, 'Ketebalan Material'!$A:$B, 2, FALSE), 0), 0),
0)</f>
        <v>0</v>
      </c>
      <c r="P145" cm="1">
        <f t="array" ref="P145">IF($M145="PER-LUBANG",
  IFERROR(
     _xlfn.IFS(
        $G145="Hollow",
            INDEX('Referensi Harga'!$C:$C,
                  MATCH($F145&amp;$C145,'Referensi Harga'!$A:$A&amp;'Referensi Harga'!$B:$B,0)),
        $G145="Hollow Stainless",
            INDEX('Referensi Harga'!$D:$D,
                  MATCH($F145&amp;$C145,'Referensi Harga'!$A:$A&amp;'Referensi Harga'!$B:$B,0)),
        $G145="Pipa Stainless",
            INDEX('Referensi Harga'!$E:$E,
                  MATCH($F145&amp;$C145,'Referensi Harga'!$A:$A&amp;'Referensi Harga'!$B:$B,0))
     ),0)
  + IFERROR(VLOOKUP($H145,'Profile Size'!$A:$B,2,FALSE),0)
  + IFERROR(VLOOKUP($I145,'Ketebalan Material'!$A:$B,2,FALSE),0),
0)</f>
        <v>0</v>
      </c>
      <c r="Q145">
        <f>IF($M145="PER-M2",
    IFERROR(
        SUMIFS('Upah Tenaga Ahli'!$C:$C,
               'Upah Tenaga Ahli'!$A:$A,"PER-M2",
               'Upah Tenaga Ahli'!$B:$B,$G145
        ) * $J145 * $K145,
    0),
IF($M145="PER-LUBANG",
    IFERROR(
        SUMIFS('Upah Tenaga Ahli'!$D:$D,
               'Upah Tenaga Ahli'!$A:$A,"PER-LUBANG",
               'Upah Tenaga Ahli'!$B:$B,$G145
        ) * $L145 * $K145,
    0),
IF($M145="PER-M",
    IFERROR(
        SUMIFS('Upah Tenaga Ahli'!$E:$E,
               'Upah Tenaga Ahli'!$A:$A,"PER-M",
               'Upah Tenaga Ahli'!$B:$B,$G145
        ) * $J145 * $K145,
    0),
0)))</f>
        <v>1000000</v>
      </c>
      <c r="R145" t="s">
        <v>19</v>
      </c>
      <c r="S145" t="s">
        <v>24</v>
      </c>
      <c r="T145">
        <f>IF($M145="PER-M2",
   ($N145 * $J145 * $K145)
   + IFERROR(VLOOKUP($R145,Finishing!A:B,2,FALSE),0)
   + IFERROR(VLOOKUP($S145,Kerumitan!A:B,2,FALSE),0),
IF($M145="PER-LUBANG",
   ($P145 * $L145 * $K145)
   + IFERROR(VLOOKUP($R145,Finishing!A:B,2,FALSE),0)
   + IFERROR(VLOOKUP($S145,Kerumitan!A:B,2,FALSE),0),
IF($M145="PER-M",
   ($O145 * $J145 * $K145)
   + IFERROR(VLOOKUP($R145,Finishing!A:B,2,FALSE),0)
   + IFERROR(VLOOKUP($S145,Kerumitan!A:B,2,FALSE),0),
0)))</f>
        <v>9150000</v>
      </c>
    </row>
    <row r="146" spans="1:20" x14ac:dyDescent="0.45">
      <c r="A146" t="s">
        <v>235</v>
      </c>
      <c r="B146" s="5">
        <v>45227</v>
      </c>
      <c r="C146">
        <f t="shared" si="2"/>
        <v>2023</v>
      </c>
      <c r="D146" t="s">
        <v>31</v>
      </c>
      <c r="E146" t="s">
        <v>41</v>
      </c>
      <c r="F146" t="s">
        <v>625</v>
      </c>
      <c r="G146" t="s">
        <v>15</v>
      </c>
      <c r="H146" t="s">
        <v>46</v>
      </c>
      <c r="I146">
        <v>1.2</v>
      </c>
      <c r="J146">
        <v>5.83</v>
      </c>
      <c r="K146">
        <v>3</v>
      </c>
      <c r="L146">
        <v>0</v>
      </c>
      <c r="M146" t="str" cm="1">
        <f t="array" ref="M146">_xlfn.IFS(
   OR($F146="Pagar", $F146="Pintu Gerbang", $F146="Pintu Handerson", $F146="Kanopi"), "PER-M2",
   $F146="Teralis", "PER-LUBANG",
   OR($F146="Railing", $F146="Railing/Balkon"), "PER-M",
   TRUE, ""
)</f>
        <v>PER-M</v>
      </c>
      <c r="N146" cm="1">
        <f t="array" ref="N146">IF($M146="PER-M2",
  IFERROR(
     _xlfn.IFS(
        $G146="Hollow",
            INDEX('Referensi Harga'!$C:$C,
                  MATCH($F146&amp;$C146,'Referensi Harga'!$A:$A&amp;'Referensi Harga'!$B:$B,0)),
        $G146="Hollow Stainless",
            INDEX('Referensi Harga'!$D:$D,
                  MATCH($F146&amp;$C146,'Referensi Harga'!$A:$A&amp;'Referensi Harga'!$B:$B,0)),
        $G146="Pipa Stainless",
            INDEX('Referensi Harga'!$E:$E,
                  MATCH($F146&amp;$C146,'Referensi Harga'!$A:$A&amp;'Referensi Harga'!$B:$B,0))
     ),0)
  + IFERROR(VLOOKUP($H146,'Profile Size'!$A:$B,2,FALSE),0)
  + IFERROR(VLOOKUP($I146,'Ketebalan Material'!$A:$B,2,FALSE),0),
0)</f>
        <v>0</v>
      </c>
      <c r="O146">
        <f>IF($M146="PER-M",
  IFERROR(
    IF($G146="Hollow",
       INDEX('Referensi Harga'!$C:$C, MATCH($F146 &amp; "|" &amp; $C146, 'Referensi Harga'!$F:$F, 0)),
    IF($G146="Hollow Stainless",
       INDEX('Referensi Harga'!$D:$D, MATCH($F146 &amp; "|" &amp; $C146, 'Referensi Harga'!$F:$F, 0)),
       INDEX('Referensi Harga'!$E:$E, MATCH($F146 &amp; "|" &amp; $C146, 'Referensi Harga'!$F:$F, 0))
    ))
    + IFERROR(VLOOKUP($H146, 'Profile Size'!$A:$B, 2, FALSE), 0)
    + IFERROR(VLOOKUP($I146, 'Ketebalan Material'!$A:$B, 2, FALSE), 0), 0),
0)</f>
        <v>1300000</v>
      </c>
      <c r="P146" cm="1">
        <f t="array" ref="P146">IF($M146="PER-LUBANG",
  IFERROR(
     _xlfn.IFS(
        $G146="Hollow",
            INDEX('Referensi Harga'!$C:$C,
                  MATCH($F146&amp;$C146,'Referensi Harga'!$A:$A&amp;'Referensi Harga'!$B:$B,0)),
        $G146="Hollow Stainless",
            INDEX('Referensi Harga'!$D:$D,
                  MATCH($F146&amp;$C146,'Referensi Harga'!$A:$A&amp;'Referensi Harga'!$B:$B,0)),
        $G146="Pipa Stainless",
            INDEX('Referensi Harga'!$E:$E,
                  MATCH($F146&amp;$C146,'Referensi Harga'!$A:$A&amp;'Referensi Harga'!$B:$B,0))
     ),0)
  + IFERROR(VLOOKUP($H146,'Profile Size'!$A:$B,2,FALSE),0)
  + IFERROR(VLOOKUP($I146,'Ketebalan Material'!$A:$B,2,FALSE),0),
0)</f>
        <v>0</v>
      </c>
      <c r="Q146">
        <f>IF($M146="PER-M2",
    IFERROR(
        SUMIFS('Upah Tenaga Ahli'!$C:$C,
               'Upah Tenaga Ahli'!$A:$A,"PER-M2",
               'Upah Tenaga Ahli'!$B:$B,$G146
        ) * $J146 * $K146,
    0),
IF($M146="PER-LUBANG",
    IFERROR(
        SUMIFS('Upah Tenaga Ahli'!$D:$D,
               'Upah Tenaga Ahli'!$A:$A,"PER-LUBANG",
               'Upah Tenaga Ahli'!$B:$B,$G146
        ) * $L146 * $K146,
    0),
IF($M146="PER-M",
    IFERROR(
        SUMIFS('Upah Tenaga Ahli'!$E:$E,
               'Upah Tenaga Ahli'!$A:$A,"PER-M",
               'Upah Tenaga Ahli'!$B:$B,$G146
        ) * $J146 * $K146,
    0),
0)))</f>
        <v>2623500</v>
      </c>
      <c r="R146" t="s">
        <v>617</v>
      </c>
      <c r="S146" t="s">
        <v>23</v>
      </c>
      <c r="T146">
        <f>IF($M146="PER-M2",
   ($N146 * $J146 * $K146)
   + IFERROR(VLOOKUP($R146,Finishing!A:B,2,FALSE),0)
   + IFERROR(VLOOKUP($S146,Kerumitan!A:B,2,FALSE),0),
IF($M146="PER-LUBANG",
   ($P146 * $L146 * $K146)
   + IFERROR(VLOOKUP($R146,Finishing!A:B,2,FALSE),0)
   + IFERROR(VLOOKUP($S146,Kerumitan!A:B,2,FALSE),0),
IF($M146="PER-M",
   ($O146 * $J146 * $K146)
   + IFERROR(VLOOKUP($R146,Finishing!A:B,2,FALSE),0)
   + IFERROR(VLOOKUP($S146,Kerumitan!A:B,2,FALSE),0),
0)))</f>
        <v>22737000</v>
      </c>
    </row>
    <row r="147" spans="1:20" x14ac:dyDescent="0.45">
      <c r="A147" t="s">
        <v>236</v>
      </c>
      <c r="B147" s="5">
        <v>45972</v>
      </c>
      <c r="C147">
        <f t="shared" si="2"/>
        <v>2025</v>
      </c>
      <c r="D147" t="s">
        <v>148</v>
      </c>
      <c r="E147" t="s">
        <v>61</v>
      </c>
      <c r="F147" t="s">
        <v>7</v>
      </c>
      <c r="G147" t="s">
        <v>14</v>
      </c>
      <c r="H147" s="4" t="s">
        <v>614</v>
      </c>
      <c r="I147">
        <v>0.8</v>
      </c>
      <c r="J147">
        <v>14.57</v>
      </c>
      <c r="K147">
        <v>1</v>
      </c>
      <c r="L147">
        <v>0</v>
      </c>
      <c r="M147" t="str" cm="1">
        <f t="array" ref="M147">_xlfn.IFS(
   OR($F147="Pagar", $F147="Pintu Gerbang", $F147="Pintu Handerson", $F147="Kanopi"), "PER-M2",
   $F147="Teralis", "PER-LUBANG",
   OR($F147="Railing", $F147="Railing/Balkon"), "PER-M",
   TRUE, ""
)</f>
        <v>PER-M2</v>
      </c>
      <c r="N147" cm="1">
        <f t="array" ref="N147">IF($M147="PER-M2",
  IFERROR(
     _xlfn.IFS(
        $G147="Hollow",
            INDEX('Referensi Harga'!$C:$C,
                  MATCH($F147&amp;$C147,'Referensi Harga'!$A:$A&amp;'Referensi Harga'!$B:$B,0)),
        $G147="Hollow Stainless",
            INDEX('Referensi Harga'!$D:$D,
                  MATCH($F147&amp;$C147,'Referensi Harga'!$A:$A&amp;'Referensi Harga'!$B:$B,0)),
        $G147="Pipa Stainless",
            INDEX('Referensi Harga'!$E:$E,
                  MATCH($F147&amp;$C147,'Referensi Harga'!$A:$A&amp;'Referensi Harga'!$B:$B,0))
     ),0)
  + IFERROR(VLOOKUP($H147,'Profile Size'!$A:$B,2,FALSE),0)
  + IFERROR(VLOOKUP($I147,'Ketebalan Material'!$A:$B,2,FALSE),0),
0)</f>
        <v>1200000</v>
      </c>
      <c r="O147">
        <f>IF($M147="PER-M",
  IFERROR(
    IF($G147="Hollow",
       INDEX('Referensi Harga'!$C:$C, MATCH($F147 &amp; "|" &amp; $C147, 'Referensi Harga'!$F:$F, 0)),
    IF($G147="Hollow Stainless",
       INDEX('Referensi Harga'!$D:$D, MATCH($F147 &amp; "|" &amp; $C147, 'Referensi Harga'!$F:$F, 0)),
       INDEX('Referensi Harga'!$E:$E, MATCH($F147 &amp; "|" &amp; $C147, 'Referensi Harga'!$F:$F, 0))
    ))
    + IFERROR(VLOOKUP($H147, 'Profile Size'!$A:$B, 2, FALSE), 0)
    + IFERROR(VLOOKUP($I147, 'Ketebalan Material'!$A:$B, 2, FALSE), 0), 0),
0)</f>
        <v>0</v>
      </c>
      <c r="P147" cm="1">
        <f t="array" ref="P147">IF($M147="PER-LUBANG",
  IFERROR(
     _xlfn.IFS(
        $G147="Hollow",
            INDEX('Referensi Harga'!$C:$C,
                  MATCH($F147&amp;$C147,'Referensi Harga'!$A:$A&amp;'Referensi Harga'!$B:$B,0)),
        $G147="Hollow Stainless",
            INDEX('Referensi Harga'!$D:$D,
                  MATCH($F147&amp;$C147,'Referensi Harga'!$A:$A&amp;'Referensi Harga'!$B:$B,0)),
        $G147="Pipa Stainless",
            INDEX('Referensi Harga'!$E:$E,
                  MATCH($F147&amp;$C147,'Referensi Harga'!$A:$A&amp;'Referensi Harga'!$B:$B,0))
     ),0)
  + IFERROR(VLOOKUP($H147,'Profile Size'!$A:$B,2,FALSE),0)
  + IFERROR(VLOOKUP($I147,'Ketebalan Material'!$A:$B,2,FALSE),0),
0)</f>
        <v>0</v>
      </c>
      <c r="Q147">
        <f>IF($M147="PER-M2",
    IFERROR(
        SUMIFS('Upah Tenaga Ahli'!$C:$C,
               'Upah Tenaga Ahli'!$A:$A,"PER-M2",
               'Upah Tenaga Ahli'!$B:$B,$G147
        ) * $J147 * $K147,
    0),
IF($M147="PER-LUBANG",
    IFERROR(
        SUMIFS('Upah Tenaga Ahli'!$D:$D,
               'Upah Tenaga Ahli'!$A:$A,"PER-LUBANG",
               'Upah Tenaga Ahli'!$B:$B,$G147
        ) * $L147 * $K147,
    0),
IF($M147="PER-M",
    IFERROR(
        SUMIFS('Upah Tenaga Ahli'!$E:$E,
               'Upah Tenaga Ahli'!$A:$A,"PER-M",
               'Upah Tenaga Ahli'!$B:$B,$G147
        ) * $J147 * $K147,
    0),
0)))</f>
        <v>2914000</v>
      </c>
      <c r="R147" t="s">
        <v>617</v>
      </c>
      <c r="S147" t="s">
        <v>23</v>
      </c>
      <c r="T147">
        <f>IF($M147="PER-M2",
   ($N147 * $J147 * $K147)
   + IFERROR(VLOOKUP($R147,Finishing!A:B,2,FALSE),0)
   + IFERROR(VLOOKUP($S147,Kerumitan!A:B,2,FALSE),0),
IF($M147="PER-LUBANG",
   ($P147 * $L147 * $K147)
   + IFERROR(VLOOKUP($R147,Finishing!A:B,2,FALSE),0)
   + IFERROR(VLOOKUP($S147,Kerumitan!A:B,2,FALSE),0),
IF($M147="PER-M",
   ($O147 * $J147 * $K147)
   + IFERROR(VLOOKUP($R147,Finishing!A:B,2,FALSE),0)
   + IFERROR(VLOOKUP($S147,Kerumitan!A:B,2,FALSE),0),
0)))</f>
        <v>17484000</v>
      </c>
    </row>
    <row r="148" spans="1:20" x14ac:dyDescent="0.45">
      <c r="A148" t="s">
        <v>237</v>
      </c>
      <c r="B148" s="5">
        <v>45878</v>
      </c>
      <c r="C148">
        <f t="shared" si="2"/>
        <v>2025</v>
      </c>
      <c r="D148" t="s">
        <v>65</v>
      </c>
      <c r="E148" t="s">
        <v>61</v>
      </c>
      <c r="F148" t="s">
        <v>8</v>
      </c>
      <c r="G148" t="s">
        <v>15</v>
      </c>
      <c r="H148" t="s">
        <v>612</v>
      </c>
      <c r="I148">
        <v>0.8</v>
      </c>
      <c r="J148">
        <v>0</v>
      </c>
      <c r="K148">
        <v>1</v>
      </c>
      <c r="L148">
        <v>11</v>
      </c>
      <c r="M148" t="str" cm="1">
        <f t="array" ref="M148">_xlfn.IFS(
   OR($F148="Pagar", $F148="Pintu Gerbang", $F148="Pintu Handerson", $F148="Kanopi"), "PER-M2",
   $F148="Teralis", "PER-LUBANG",
   OR($F148="Railing", $F148="Railing/Balkon"), "PER-M",
   TRUE, ""
)</f>
        <v>PER-LUBANG</v>
      </c>
      <c r="N148" cm="1">
        <f t="array" ref="N148">IF($M148="PER-M2",
  IFERROR(
     _xlfn.IFS(
        $G148="Hollow",
            INDEX('Referensi Harga'!$C:$C,
                  MATCH($F148&amp;$C148,'Referensi Harga'!$A:$A&amp;'Referensi Harga'!$B:$B,0)),
        $G148="Hollow Stainless",
            INDEX('Referensi Harga'!$D:$D,
                  MATCH($F148&amp;$C148,'Referensi Harga'!$A:$A&amp;'Referensi Harga'!$B:$B,0)),
        $G148="Pipa Stainless",
            INDEX('Referensi Harga'!$E:$E,
                  MATCH($F148&amp;$C148,'Referensi Harga'!$A:$A&amp;'Referensi Harga'!$B:$B,0))
     ),0)
  + IFERROR(VLOOKUP($H148,'Profile Size'!$A:$B,2,FALSE),0)
  + IFERROR(VLOOKUP($I148,'Ketebalan Material'!$A:$B,2,FALSE),0),
0)</f>
        <v>0</v>
      </c>
      <c r="O148">
        <f>IF($M148="PER-M",
  IFERROR(
    IF($G148="Hollow",
       INDEX('Referensi Harga'!$C:$C, MATCH($F148 &amp; "|" &amp; $C148, 'Referensi Harga'!$F:$F, 0)),
    IF($G148="Hollow Stainless",
       INDEX('Referensi Harga'!$D:$D, MATCH($F148 &amp; "|" &amp; $C148, 'Referensi Harga'!$F:$F, 0)),
       INDEX('Referensi Harga'!$E:$E, MATCH($F148 &amp; "|" &amp; $C148, 'Referensi Harga'!$F:$F, 0))
    ))
    + IFERROR(VLOOKUP($H148, 'Profile Size'!$A:$B, 2, FALSE), 0)
    + IFERROR(VLOOKUP($I148, 'Ketebalan Material'!$A:$B, 2, FALSE), 0), 0),
0)</f>
        <v>0</v>
      </c>
      <c r="P148" cm="1">
        <f t="array" ref="P148">IF($M148="PER-LUBANG",
  IFERROR(
     _xlfn.IFS(
        $G148="Hollow",
            INDEX('Referensi Harga'!$C:$C,
                  MATCH($F148&amp;$C148,'Referensi Harga'!$A:$A&amp;'Referensi Harga'!$B:$B,0)),
        $G148="Hollow Stainless",
            INDEX('Referensi Harga'!$D:$D,
                  MATCH($F148&amp;$C148,'Referensi Harga'!$A:$A&amp;'Referensi Harga'!$B:$B,0)),
        $G148="Pipa Stainless",
            INDEX('Referensi Harga'!$E:$E,
                  MATCH($F148&amp;$C148,'Referensi Harga'!$A:$A&amp;'Referensi Harga'!$B:$B,0))
     ),0)
  + IFERROR(VLOOKUP($H148,'Profile Size'!$A:$B,2,FALSE),0)
  + IFERROR(VLOOKUP($I148,'Ketebalan Material'!$A:$B,2,FALSE),0),
0)</f>
        <v>800000</v>
      </c>
      <c r="Q148">
        <f>IF($M148="PER-M2",
    IFERROR(
        SUMIFS('Upah Tenaga Ahli'!$C:$C,
               'Upah Tenaga Ahli'!$A:$A,"PER-M2",
               'Upah Tenaga Ahli'!$B:$B,$G148
        ) * $J148 * $K148,
    0),
IF($M148="PER-LUBANG",
    IFERROR(
        SUMIFS('Upah Tenaga Ahli'!$D:$D,
               'Upah Tenaga Ahli'!$A:$A,"PER-LUBANG",
               'Upah Tenaga Ahli'!$B:$B,$G148
        ) * $L148 * $K148,
    0),
IF($M148="PER-M",
    IFERROR(
        SUMIFS('Upah Tenaga Ahli'!$E:$E,
               'Upah Tenaga Ahli'!$A:$A,"PER-M",
               'Upah Tenaga Ahli'!$B:$B,$G148
        ) * $J148 * $K148,
    0),
0)))</f>
        <v>1650000</v>
      </c>
      <c r="R148" t="s">
        <v>617</v>
      </c>
      <c r="S148" t="s">
        <v>24</v>
      </c>
      <c r="T148">
        <f>IF($M148="PER-M2",
   ($N148 * $J148 * $K148)
   + IFERROR(VLOOKUP($R148,Finishing!A:B,2,FALSE),0)
   + IFERROR(VLOOKUP($S148,Kerumitan!A:B,2,FALSE),0),
IF($M148="PER-LUBANG",
   ($P148 * $L148 * $K148)
   + IFERROR(VLOOKUP($R148,Finishing!A:B,2,FALSE),0)
   + IFERROR(VLOOKUP($S148,Kerumitan!A:B,2,FALSE),0),
IF($M148="PER-M",
   ($O148 * $J148 * $K148)
   + IFERROR(VLOOKUP($R148,Finishing!A:B,2,FALSE),0)
   + IFERROR(VLOOKUP($S148,Kerumitan!A:B,2,FALSE),0),
0)))</f>
        <v>8900000</v>
      </c>
    </row>
    <row r="149" spans="1:20" x14ac:dyDescent="0.45">
      <c r="A149" t="s">
        <v>238</v>
      </c>
      <c r="B149" s="5">
        <v>45679</v>
      </c>
      <c r="C149">
        <f t="shared" si="2"/>
        <v>2025</v>
      </c>
      <c r="D149" t="s">
        <v>49</v>
      </c>
      <c r="E149" t="s">
        <v>54</v>
      </c>
      <c r="F149" t="s">
        <v>7</v>
      </c>
      <c r="G149" t="s">
        <v>15</v>
      </c>
      <c r="H149" t="s">
        <v>46</v>
      </c>
      <c r="I149">
        <v>1</v>
      </c>
      <c r="J149">
        <v>9.98</v>
      </c>
      <c r="K149">
        <v>1</v>
      </c>
      <c r="L149">
        <v>0</v>
      </c>
      <c r="M149" t="str" cm="1">
        <f t="array" ref="M149">_xlfn.IFS(
   OR($F149="Pagar", $F149="Pintu Gerbang", $F149="Pintu Handerson", $F149="Kanopi"), "PER-M2",
   $F149="Teralis", "PER-LUBANG",
   OR($F149="Railing", $F149="Railing/Balkon"), "PER-M",
   TRUE, ""
)</f>
        <v>PER-M2</v>
      </c>
      <c r="N149" cm="1">
        <f t="array" ref="N149">IF($M149="PER-M2",
  IFERROR(
     _xlfn.IFS(
        $G149="Hollow",
            INDEX('Referensi Harga'!$C:$C,
                  MATCH($F149&amp;$C149,'Referensi Harga'!$A:$A&amp;'Referensi Harga'!$B:$B,0)),
        $G149="Hollow Stainless",
            INDEX('Referensi Harga'!$D:$D,
                  MATCH($F149&amp;$C149,'Referensi Harga'!$A:$A&amp;'Referensi Harga'!$B:$B,0)),
        $G149="Pipa Stainless",
            INDEX('Referensi Harga'!$E:$E,
                  MATCH($F149&amp;$C149,'Referensi Harga'!$A:$A&amp;'Referensi Harga'!$B:$B,0))
     ),0)
  + IFERROR(VLOOKUP($H149,'Profile Size'!$A:$B,2,FALSE),0)
  + IFERROR(VLOOKUP($I149,'Ketebalan Material'!$A:$B,2,FALSE),0),
0)</f>
        <v>1600000</v>
      </c>
      <c r="O149">
        <f>IF($M149="PER-M",
  IFERROR(
    IF($G149="Hollow",
       INDEX('Referensi Harga'!$C:$C, MATCH($F149 &amp; "|" &amp; $C149, 'Referensi Harga'!$F:$F, 0)),
    IF($G149="Hollow Stainless",
       INDEX('Referensi Harga'!$D:$D, MATCH($F149 &amp; "|" &amp; $C149, 'Referensi Harga'!$F:$F, 0)),
       INDEX('Referensi Harga'!$E:$E, MATCH($F149 &amp; "|" &amp; $C149, 'Referensi Harga'!$F:$F, 0))
    ))
    + IFERROR(VLOOKUP($H149, 'Profile Size'!$A:$B, 2, FALSE), 0)
    + IFERROR(VLOOKUP($I149, 'Ketebalan Material'!$A:$B, 2, FALSE), 0), 0),
0)</f>
        <v>0</v>
      </c>
      <c r="P149" cm="1">
        <f t="array" ref="P149">IF($M149="PER-LUBANG",
  IFERROR(
     _xlfn.IFS(
        $G149="Hollow",
            INDEX('Referensi Harga'!$C:$C,
                  MATCH($F149&amp;$C149,'Referensi Harga'!$A:$A&amp;'Referensi Harga'!$B:$B,0)),
        $G149="Hollow Stainless",
            INDEX('Referensi Harga'!$D:$D,
                  MATCH($F149&amp;$C149,'Referensi Harga'!$A:$A&amp;'Referensi Harga'!$B:$B,0)),
        $G149="Pipa Stainless",
            INDEX('Referensi Harga'!$E:$E,
                  MATCH($F149&amp;$C149,'Referensi Harga'!$A:$A&amp;'Referensi Harga'!$B:$B,0))
     ),0)
  + IFERROR(VLOOKUP($H149,'Profile Size'!$A:$B,2,FALSE),0)
  + IFERROR(VLOOKUP($I149,'Ketebalan Material'!$A:$B,2,FALSE),0),
0)</f>
        <v>0</v>
      </c>
      <c r="Q149">
        <f>IF($M149="PER-M2",
    IFERROR(
        SUMIFS('Upah Tenaga Ahli'!$C:$C,
               'Upah Tenaga Ahli'!$A:$A,"PER-M2",
               'Upah Tenaga Ahli'!$B:$B,$G149
        ) * $J149 * $K149,
    0),
IF($M149="PER-LUBANG",
    IFERROR(
        SUMIFS('Upah Tenaga Ahli'!$D:$D,
               'Upah Tenaga Ahli'!$A:$A,"PER-LUBANG",
               'Upah Tenaga Ahli'!$B:$B,$G149
        ) * $L149 * $K149,
    0),
IF($M149="PER-M",
    IFERROR(
        SUMIFS('Upah Tenaga Ahli'!$E:$E,
               'Upah Tenaga Ahli'!$A:$A,"PER-M",
               'Upah Tenaga Ahli'!$B:$B,$G149
        ) * $J149 * $K149,
    0),
0)))</f>
        <v>1497000</v>
      </c>
      <c r="R149" t="s">
        <v>617</v>
      </c>
      <c r="S149" t="s">
        <v>23</v>
      </c>
      <c r="T149">
        <f>IF($M149="PER-M2",
   ($N149 * $J149 * $K149)
   + IFERROR(VLOOKUP($R149,Finishing!A:B,2,FALSE),0)
   + IFERROR(VLOOKUP($S149,Kerumitan!A:B,2,FALSE),0),
IF($M149="PER-LUBANG",
   ($P149 * $L149 * $K149)
   + IFERROR(VLOOKUP($R149,Finishing!A:B,2,FALSE),0)
   + IFERROR(VLOOKUP($S149,Kerumitan!A:B,2,FALSE),0),
IF($M149="PER-M",
   ($O149 * $J149 * $K149)
   + IFERROR(VLOOKUP($R149,Finishing!A:B,2,FALSE),0)
   + IFERROR(VLOOKUP($S149,Kerumitan!A:B,2,FALSE),0),
0)))</f>
        <v>15968000</v>
      </c>
    </row>
    <row r="150" spans="1:20" x14ac:dyDescent="0.45">
      <c r="A150" t="s">
        <v>239</v>
      </c>
      <c r="B150" s="5">
        <v>44046</v>
      </c>
      <c r="C150">
        <f t="shared" si="2"/>
        <v>2020</v>
      </c>
      <c r="D150" t="s">
        <v>53</v>
      </c>
      <c r="E150" t="s">
        <v>87</v>
      </c>
      <c r="F150" t="s">
        <v>625</v>
      </c>
      <c r="G150" t="s">
        <v>15</v>
      </c>
      <c r="H150" s="4" t="s">
        <v>33</v>
      </c>
      <c r="I150">
        <v>1</v>
      </c>
      <c r="J150">
        <v>10.83</v>
      </c>
      <c r="K150">
        <v>2</v>
      </c>
      <c r="L150">
        <v>0</v>
      </c>
      <c r="M150" t="str" cm="1">
        <f t="array" ref="M150">_xlfn.IFS(
   OR($F150="Pagar", $F150="Pintu Gerbang", $F150="Pintu Handerson", $F150="Kanopi"), "PER-M2",
   $F150="Teralis", "PER-LUBANG",
   OR($F150="Railing", $F150="Railing/Balkon"), "PER-M",
   TRUE, ""
)</f>
        <v>PER-M</v>
      </c>
      <c r="N150" cm="1">
        <f t="array" ref="N150">IF($M150="PER-M2",
  IFERROR(
     _xlfn.IFS(
        $G150="Hollow",
            INDEX('Referensi Harga'!$C:$C,
                  MATCH($F150&amp;$C150,'Referensi Harga'!$A:$A&amp;'Referensi Harga'!$B:$B,0)),
        $G150="Hollow Stainless",
            INDEX('Referensi Harga'!$D:$D,
                  MATCH($F150&amp;$C150,'Referensi Harga'!$A:$A&amp;'Referensi Harga'!$B:$B,0)),
        $G150="Pipa Stainless",
            INDEX('Referensi Harga'!$E:$E,
                  MATCH($F150&amp;$C150,'Referensi Harga'!$A:$A&amp;'Referensi Harga'!$B:$B,0))
     ),0)
  + IFERROR(VLOOKUP($H150,'Profile Size'!$A:$B,2,FALSE),0)
  + IFERROR(VLOOKUP($I150,'Ketebalan Material'!$A:$B,2,FALSE),0),
0)</f>
        <v>0</v>
      </c>
      <c r="O150">
        <f>IF($M150="PER-M",
  IFERROR(
    IF($G150="Hollow",
       INDEX('Referensi Harga'!$C:$C, MATCH($F150 &amp; "|" &amp; $C150, 'Referensi Harga'!$F:$F, 0)),
    IF($G150="Hollow Stainless",
       INDEX('Referensi Harga'!$D:$D, MATCH($F150 &amp; "|" &amp; $C150, 'Referensi Harga'!$F:$F, 0)),
       INDEX('Referensi Harga'!$E:$E, MATCH($F150 &amp; "|" &amp; $C150, 'Referensi Harga'!$F:$F, 0))
    ))
    + IFERROR(VLOOKUP($H150, 'Profile Size'!$A:$B, 2, FALSE), 0)
    + IFERROR(VLOOKUP($I150, 'Ketebalan Material'!$A:$B, 2, FALSE), 0), 0),
0)</f>
        <v>1100000</v>
      </c>
      <c r="P150" cm="1">
        <f t="array" ref="P150">IF($M150="PER-LUBANG",
  IFERROR(
     _xlfn.IFS(
        $G150="Hollow",
            INDEX('Referensi Harga'!$C:$C,
                  MATCH($F150&amp;$C150,'Referensi Harga'!$A:$A&amp;'Referensi Harga'!$B:$B,0)),
        $G150="Hollow Stainless",
            INDEX('Referensi Harga'!$D:$D,
                  MATCH($F150&amp;$C150,'Referensi Harga'!$A:$A&amp;'Referensi Harga'!$B:$B,0)),
        $G150="Pipa Stainless",
            INDEX('Referensi Harga'!$E:$E,
                  MATCH($F150&amp;$C150,'Referensi Harga'!$A:$A&amp;'Referensi Harga'!$B:$B,0))
     ),0)
  + IFERROR(VLOOKUP($H150,'Profile Size'!$A:$B,2,FALSE),0)
  + IFERROR(VLOOKUP($I150,'Ketebalan Material'!$A:$B,2,FALSE),0),
0)</f>
        <v>0</v>
      </c>
      <c r="Q150">
        <f>IF($M150="PER-M2",
    IFERROR(
        SUMIFS('Upah Tenaga Ahli'!$C:$C,
               'Upah Tenaga Ahli'!$A:$A,"PER-M2",
               'Upah Tenaga Ahli'!$B:$B,$G150
        ) * $J150 * $K150,
    0),
IF($M150="PER-LUBANG",
    IFERROR(
        SUMIFS('Upah Tenaga Ahli'!$D:$D,
               'Upah Tenaga Ahli'!$A:$A,"PER-LUBANG",
               'Upah Tenaga Ahli'!$B:$B,$G150
        ) * $L150 * $K150,
    0),
IF($M150="PER-M",
    IFERROR(
        SUMIFS('Upah Tenaga Ahli'!$E:$E,
               'Upah Tenaga Ahli'!$A:$A,"PER-M",
               'Upah Tenaga Ahli'!$B:$B,$G150
        ) * $J150 * $K150,
    0),
0)))</f>
        <v>3249000</v>
      </c>
      <c r="R150" t="s">
        <v>617</v>
      </c>
      <c r="S150" t="s">
        <v>25</v>
      </c>
      <c r="T150">
        <f>IF($M150="PER-M2",
   ($N150 * $J150 * $K150)
   + IFERROR(VLOOKUP($R150,Finishing!A:B,2,FALSE),0)
   + IFERROR(VLOOKUP($S150,Kerumitan!A:B,2,FALSE),0),
IF($M150="PER-LUBANG",
   ($P150 * $L150 * $K150)
   + IFERROR(VLOOKUP($R150,Finishing!A:B,2,FALSE),0)
   + IFERROR(VLOOKUP($S150,Kerumitan!A:B,2,FALSE),0),
IF($M150="PER-M",
   ($O150 * $J150 * $K150)
   + IFERROR(VLOOKUP($R150,Finishing!A:B,2,FALSE),0)
   + IFERROR(VLOOKUP($S150,Kerumitan!A:B,2,FALSE),0),
0)))</f>
        <v>23976000</v>
      </c>
    </row>
    <row r="151" spans="1:20" x14ac:dyDescent="0.45">
      <c r="A151" t="s">
        <v>240</v>
      </c>
      <c r="B151" s="5">
        <v>44871</v>
      </c>
      <c r="C151">
        <f t="shared" si="2"/>
        <v>2022</v>
      </c>
      <c r="D151" t="s">
        <v>199</v>
      </c>
      <c r="E151" t="s">
        <v>32</v>
      </c>
      <c r="F151" t="s">
        <v>6</v>
      </c>
      <c r="G151" t="s">
        <v>13</v>
      </c>
      <c r="H151" t="s">
        <v>46</v>
      </c>
      <c r="I151">
        <v>1</v>
      </c>
      <c r="J151">
        <v>19.079999999999998</v>
      </c>
      <c r="K151">
        <v>1</v>
      </c>
      <c r="L151">
        <v>0</v>
      </c>
      <c r="M151" t="str" cm="1">
        <f t="array" ref="M151">_xlfn.IFS(
   OR($F151="Pagar", $F151="Pintu Gerbang", $F151="Pintu Handerson", $F151="Kanopi"), "PER-M2",
   $F151="Teralis", "PER-LUBANG",
   OR($F151="Railing", $F151="Railing/Balkon"), "PER-M",
   TRUE, ""
)</f>
        <v>PER-M2</v>
      </c>
      <c r="N151" cm="1">
        <f t="array" ref="N151">IF($M151="PER-M2",
  IFERROR(
     _xlfn.IFS(
        $G151="Hollow",
            INDEX('Referensi Harga'!$C:$C,
                  MATCH($F151&amp;$C151,'Referensi Harga'!$A:$A&amp;'Referensi Harga'!$B:$B,0)),
        $G151="Hollow Stainless",
            INDEX('Referensi Harga'!$D:$D,
                  MATCH($F151&amp;$C151,'Referensi Harga'!$A:$A&amp;'Referensi Harga'!$B:$B,0)),
        $G151="Pipa Stainless",
            INDEX('Referensi Harga'!$E:$E,
                  MATCH($F151&amp;$C151,'Referensi Harga'!$A:$A&amp;'Referensi Harga'!$B:$B,0))
     ),0)
  + IFERROR(VLOOKUP($H151,'Profile Size'!$A:$B,2,FALSE),0)
  + IFERROR(VLOOKUP($I151,'Ketebalan Material'!$A:$B,2,FALSE),0),
0)</f>
        <v>450000</v>
      </c>
      <c r="O151">
        <f>IF($M151="PER-M",
  IFERROR(
    IF($G151="Hollow",
       INDEX('Referensi Harga'!$C:$C, MATCH($F151 &amp; "|" &amp; $C151, 'Referensi Harga'!$F:$F, 0)),
    IF($G151="Hollow Stainless",
       INDEX('Referensi Harga'!$D:$D, MATCH($F151 &amp; "|" &amp; $C151, 'Referensi Harga'!$F:$F, 0)),
       INDEX('Referensi Harga'!$E:$E, MATCH($F151 &amp; "|" &amp; $C151, 'Referensi Harga'!$F:$F, 0))
    ))
    + IFERROR(VLOOKUP($H151, 'Profile Size'!$A:$B, 2, FALSE), 0)
    + IFERROR(VLOOKUP($I151, 'Ketebalan Material'!$A:$B, 2, FALSE), 0), 0),
0)</f>
        <v>0</v>
      </c>
      <c r="P151" cm="1">
        <f t="array" ref="P151">IF($M151="PER-LUBANG",
  IFERROR(
     _xlfn.IFS(
        $G151="Hollow",
            INDEX('Referensi Harga'!$C:$C,
                  MATCH($F151&amp;$C151,'Referensi Harga'!$A:$A&amp;'Referensi Harga'!$B:$B,0)),
        $G151="Hollow Stainless",
            INDEX('Referensi Harga'!$D:$D,
                  MATCH($F151&amp;$C151,'Referensi Harga'!$A:$A&amp;'Referensi Harga'!$B:$B,0)),
        $G151="Pipa Stainless",
            INDEX('Referensi Harga'!$E:$E,
                  MATCH($F151&amp;$C151,'Referensi Harga'!$A:$A&amp;'Referensi Harga'!$B:$B,0))
     ),0)
  + IFERROR(VLOOKUP($H151,'Profile Size'!$A:$B,2,FALSE),0)
  + IFERROR(VLOOKUP($I151,'Ketebalan Material'!$A:$B,2,FALSE),0),
0)</f>
        <v>0</v>
      </c>
      <c r="Q151">
        <f>IF($M151="PER-M2",
    IFERROR(
        SUMIFS('Upah Tenaga Ahli'!$C:$C,
               'Upah Tenaga Ahli'!$A:$A,"PER-M2",
               'Upah Tenaga Ahli'!$B:$B,$G151
        ) * $J151 * $K151,
    0),
IF($M151="PER-LUBANG",
    IFERROR(
        SUMIFS('Upah Tenaga Ahli'!$D:$D,
               'Upah Tenaga Ahli'!$A:$A,"PER-LUBANG",
               'Upah Tenaga Ahli'!$B:$B,$G151
        ) * $L151 * $K151,
    0),
IF($M151="PER-M",
    IFERROR(
        SUMIFS('Upah Tenaga Ahli'!$E:$E,
               'Upah Tenaga Ahli'!$A:$A,"PER-M",
               'Upah Tenaga Ahli'!$B:$B,$G151
        ) * $J151 * $K151,
    0),
0)))</f>
        <v>1907999.9999999998</v>
      </c>
      <c r="R151" t="s">
        <v>19</v>
      </c>
      <c r="S151" t="s">
        <v>23</v>
      </c>
      <c r="T151">
        <f>IF($M151="PER-M2",
   ($N151 * $J151 * $K151)
   + IFERROR(VLOOKUP($R151,Finishing!A:B,2,FALSE),0)
   + IFERROR(VLOOKUP($S151,Kerumitan!A:B,2,FALSE),0),
IF($M151="PER-LUBANG",
   ($P151 * $L151 * $K151)
   + IFERROR(VLOOKUP($R151,Finishing!A:B,2,FALSE),0)
   + IFERROR(VLOOKUP($S151,Kerumitan!A:B,2,FALSE),0),
IF($M151="PER-M",
   ($O151 * $J151 * $K151)
   + IFERROR(VLOOKUP($R151,Finishing!A:B,2,FALSE),0)
   + IFERROR(VLOOKUP($S151,Kerumitan!A:B,2,FALSE),0),
0)))</f>
        <v>8636000</v>
      </c>
    </row>
    <row r="152" spans="1:20" x14ac:dyDescent="0.45">
      <c r="A152" t="s">
        <v>241</v>
      </c>
      <c r="B152" s="5">
        <v>45787</v>
      </c>
      <c r="C152">
        <f t="shared" si="2"/>
        <v>2025</v>
      </c>
      <c r="D152" t="s">
        <v>101</v>
      </c>
      <c r="E152" t="s">
        <v>28</v>
      </c>
      <c r="F152" t="s">
        <v>6</v>
      </c>
      <c r="G152" t="s">
        <v>14</v>
      </c>
      <c r="H152" t="s">
        <v>614</v>
      </c>
      <c r="I152">
        <v>0.8</v>
      </c>
      <c r="J152">
        <v>8.89</v>
      </c>
      <c r="K152">
        <v>1</v>
      </c>
      <c r="L152">
        <v>0</v>
      </c>
      <c r="M152" t="str" cm="1">
        <f t="array" ref="M152">_xlfn.IFS(
   OR($F152="Pagar", $F152="Pintu Gerbang", $F152="Pintu Handerson", $F152="Kanopi"), "PER-M2",
   $F152="Teralis", "PER-LUBANG",
   OR($F152="Railing", $F152="Railing/Balkon"), "PER-M",
   TRUE, ""
)</f>
        <v>PER-M2</v>
      </c>
      <c r="N152" cm="1">
        <f t="array" ref="N152">IF($M152="PER-M2",
  IFERROR(
     _xlfn.IFS(
        $G152="Hollow",
            INDEX('Referensi Harga'!$C:$C,
                  MATCH($F152&amp;$C152,'Referensi Harga'!$A:$A&amp;'Referensi Harga'!$B:$B,0)),
        $G152="Hollow Stainless",
            INDEX('Referensi Harga'!$D:$D,
                  MATCH($F152&amp;$C152,'Referensi Harga'!$A:$A&amp;'Referensi Harga'!$B:$B,0)),
        $G152="Pipa Stainless",
            INDEX('Referensi Harga'!$E:$E,
                  MATCH($F152&amp;$C152,'Referensi Harga'!$A:$A&amp;'Referensi Harga'!$B:$B,0))
     ),0)
  + IFERROR(VLOOKUP($H152,'Profile Size'!$A:$B,2,FALSE),0)
  + IFERROR(VLOOKUP($I152,'Ketebalan Material'!$A:$B,2,FALSE),0),
0)</f>
        <v>700000</v>
      </c>
      <c r="O152">
        <f>IF($M152="PER-M",
  IFERROR(
    IF($G152="Hollow",
       INDEX('Referensi Harga'!$C:$C, MATCH($F152 &amp; "|" &amp; $C152, 'Referensi Harga'!$F:$F, 0)),
    IF($G152="Hollow Stainless",
       INDEX('Referensi Harga'!$D:$D, MATCH($F152 &amp; "|" &amp; $C152, 'Referensi Harga'!$F:$F, 0)),
       INDEX('Referensi Harga'!$E:$E, MATCH($F152 &amp; "|" &amp; $C152, 'Referensi Harga'!$F:$F, 0))
    ))
    + IFERROR(VLOOKUP($H152, 'Profile Size'!$A:$B, 2, FALSE), 0)
    + IFERROR(VLOOKUP($I152, 'Ketebalan Material'!$A:$B, 2, FALSE), 0), 0),
0)</f>
        <v>0</v>
      </c>
      <c r="P152" cm="1">
        <f t="array" ref="P152">IF($M152="PER-LUBANG",
  IFERROR(
     _xlfn.IFS(
        $G152="Hollow",
            INDEX('Referensi Harga'!$C:$C,
                  MATCH($F152&amp;$C152,'Referensi Harga'!$A:$A&amp;'Referensi Harga'!$B:$B,0)),
        $G152="Hollow Stainless",
            INDEX('Referensi Harga'!$D:$D,
                  MATCH($F152&amp;$C152,'Referensi Harga'!$A:$A&amp;'Referensi Harga'!$B:$B,0)),
        $G152="Pipa Stainless",
            INDEX('Referensi Harga'!$E:$E,
                  MATCH($F152&amp;$C152,'Referensi Harga'!$A:$A&amp;'Referensi Harga'!$B:$B,0))
     ),0)
  + IFERROR(VLOOKUP($H152,'Profile Size'!$A:$B,2,FALSE),0)
  + IFERROR(VLOOKUP($I152,'Ketebalan Material'!$A:$B,2,FALSE),0),
0)</f>
        <v>0</v>
      </c>
      <c r="Q152">
        <f>IF($M152="PER-M2",
    IFERROR(
        SUMIFS('Upah Tenaga Ahli'!$C:$C,
               'Upah Tenaga Ahli'!$A:$A,"PER-M2",
               'Upah Tenaga Ahli'!$B:$B,$G152
        ) * $J152 * $K152,
    0),
IF($M152="PER-LUBANG",
    IFERROR(
        SUMIFS('Upah Tenaga Ahli'!$D:$D,
               'Upah Tenaga Ahli'!$A:$A,"PER-LUBANG",
               'Upah Tenaga Ahli'!$B:$B,$G152
        ) * $L152 * $K152,
    0),
IF($M152="PER-M",
    IFERROR(
        SUMIFS('Upah Tenaga Ahli'!$E:$E,
               'Upah Tenaga Ahli'!$A:$A,"PER-M",
               'Upah Tenaga Ahli'!$B:$B,$G152
        ) * $J152 * $K152,
    0),
0)))</f>
        <v>1778000</v>
      </c>
      <c r="R152" t="s">
        <v>617</v>
      </c>
      <c r="S152" t="s">
        <v>24</v>
      </c>
      <c r="T152">
        <f>IF($M152="PER-M2",
   ($N152 * $J152 * $K152)
   + IFERROR(VLOOKUP($R152,Finishing!A:B,2,FALSE),0)
   + IFERROR(VLOOKUP($S152,Kerumitan!A:B,2,FALSE),0),
IF($M152="PER-LUBANG",
   ($P152 * $L152 * $K152)
   + IFERROR(VLOOKUP($R152,Finishing!A:B,2,FALSE),0)
   + IFERROR(VLOOKUP($S152,Kerumitan!A:B,2,FALSE),0),
IF($M152="PER-M",
   ($O152 * $J152 * $K152)
   + IFERROR(VLOOKUP($R152,Finishing!A:B,2,FALSE),0)
   + IFERROR(VLOOKUP($S152,Kerumitan!A:B,2,FALSE),0),
0)))</f>
        <v>6323000</v>
      </c>
    </row>
    <row r="153" spans="1:20" x14ac:dyDescent="0.45">
      <c r="A153" t="s">
        <v>242</v>
      </c>
      <c r="B153" s="5">
        <v>44648</v>
      </c>
      <c r="C153">
        <f t="shared" si="2"/>
        <v>2022</v>
      </c>
      <c r="D153" t="s">
        <v>81</v>
      </c>
      <c r="E153" t="s">
        <v>32</v>
      </c>
      <c r="F153" t="s">
        <v>625</v>
      </c>
      <c r="G153" t="s">
        <v>13</v>
      </c>
      <c r="H153" t="s">
        <v>33</v>
      </c>
      <c r="I153">
        <v>0.8</v>
      </c>
      <c r="J153">
        <v>3.89</v>
      </c>
      <c r="K153">
        <v>2</v>
      </c>
      <c r="L153">
        <v>0</v>
      </c>
      <c r="M153" t="str" cm="1">
        <f t="array" ref="M153">_xlfn.IFS(
   OR($F153="Pagar", $F153="Pintu Gerbang", $F153="Pintu Handerson", $F153="Kanopi"), "PER-M2",
   $F153="Teralis", "PER-LUBANG",
   OR($F153="Railing", $F153="Railing/Balkon"), "PER-M",
   TRUE, ""
)</f>
        <v>PER-M</v>
      </c>
      <c r="N153" cm="1">
        <f t="array" ref="N153">IF($M153="PER-M2",
  IFERROR(
     _xlfn.IFS(
        $G153="Hollow",
            INDEX('Referensi Harga'!$C:$C,
                  MATCH($F153&amp;$C153,'Referensi Harga'!$A:$A&amp;'Referensi Harga'!$B:$B,0)),
        $G153="Hollow Stainless",
            INDEX('Referensi Harga'!$D:$D,
                  MATCH($F153&amp;$C153,'Referensi Harga'!$A:$A&amp;'Referensi Harga'!$B:$B,0)),
        $G153="Pipa Stainless",
            INDEX('Referensi Harga'!$E:$E,
                  MATCH($F153&amp;$C153,'Referensi Harga'!$A:$A&amp;'Referensi Harga'!$B:$B,0))
     ),0)
  + IFERROR(VLOOKUP($H153,'Profile Size'!$A:$B,2,FALSE),0)
  + IFERROR(VLOOKUP($I153,'Ketebalan Material'!$A:$B,2,FALSE),0),
0)</f>
        <v>0</v>
      </c>
      <c r="O153">
        <f>IF($M153="PER-M",
  IFERROR(
    IF($G153="Hollow",
       INDEX('Referensi Harga'!$C:$C, MATCH($F153 &amp; "|" &amp; $C153, 'Referensi Harga'!$F:$F, 0)),
    IF($G153="Hollow Stainless",
       INDEX('Referensi Harga'!$D:$D, MATCH($F153 &amp; "|" &amp; $C153, 'Referensi Harga'!$F:$F, 0)),
       INDEX('Referensi Harga'!$E:$E, MATCH($F153 &amp; "|" &amp; $C153, 'Referensi Harga'!$F:$F, 0))
    ))
    + IFERROR(VLOOKUP($H153, 'Profile Size'!$A:$B, 2, FALSE), 0)
    + IFERROR(VLOOKUP($I153, 'Ketebalan Material'!$A:$B, 2, FALSE), 0), 0),
0)</f>
        <v>450000</v>
      </c>
      <c r="P153" cm="1">
        <f t="array" ref="P153">IF($M153="PER-LUBANG",
  IFERROR(
     _xlfn.IFS(
        $G153="Hollow",
            INDEX('Referensi Harga'!$C:$C,
                  MATCH($F153&amp;$C153,'Referensi Harga'!$A:$A&amp;'Referensi Harga'!$B:$B,0)),
        $G153="Hollow Stainless",
            INDEX('Referensi Harga'!$D:$D,
                  MATCH($F153&amp;$C153,'Referensi Harga'!$A:$A&amp;'Referensi Harga'!$B:$B,0)),
        $G153="Pipa Stainless",
            INDEX('Referensi Harga'!$E:$E,
                  MATCH($F153&amp;$C153,'Referensi Harga'!$A:$A&amp;'Referensi Harga'!$B:$B,0))
     ),0)
  + IFERROR(VLOOKUP($H153,'Profile Size'!$A:$B,2,FALSE),0)
  + IFERROR(VLOOKUP($I153,'Ketebalan Material'!$A:$B,2,FALSE),0),
0)</f>
        <v>0</v>
      </c>
      <c r="Q153">
        <f>IF($M153="PER-M2",
    IFERROR(
        SUMIFS('Upah Tenaga Ahli'!$C:$C,
               'Upah Tenaga Ahli'!$A:$A,"PER-M2",
               'Upah Tenaga Ahli'!$B:$B,$G153
        ) * $J153 * $K153,
    0),
IF($M153="PER-LUBANG",
    IFERROR(
        SUMIFS('Upah Tenaga Ahli'!$D:$D,
               'Upah Tenaga Ahli'!$A:$A,"PER-LUBANG",
               'Upah Tenaga Ahli'!$B:$B,$G153
        ) * $L153 * $K153,
    0),
IF($M153="PER-M",
    IFERROR(
        SUMIFS('Upah Tenaga Ahli'!$E:$E,
               'Upah Tenaga Ahli'!$A:$A,"PER-M",
               'Upah Tenaga Ahli'!$B:$B,$G153
        ) * $J153 * $K153,
    0),
0)))</f>
        <v>778000</v>
      </c>
      <c r="R153" t="s">
        <v>18</v>
      </c>
      <c r="S153" t="s">
        <v>23</v>
      </c>
      <c r="T153">
        <f>IF($M153="PER-M2",
   ($N153 * $J153 * $K153)
   + IFERROR(VLOOKUP($R153,Finishing!A:B,2,FALSE),0)
   + IFERROR(VLOOKUP($S153,Kerumitan!A:B,2,FALSE),0),
IF($M153="PER-LUBANG",
   ($P153 * $L153 * $K153)
   + IFERROR(VLOOKUP($R153,Finishing!A:B,2,FALSE),0)
   + IFERROR(VLOOKUP($S153,Kerumitan!A:B,2,FALSE),0),
IF($M153="PER-M",
   ($O153 * $J153 * $K153)
   + IFERROR(VLOOKUP($R153,Finishing!A:B,2,FALSE),0)
   + IFERROR(VLOOKUP($S153,Kerumitan!A:B,2,FALSE),0),
0)))</f>
        <v>3501000</v>
      </c>
    </row>
    <row r="154" spans="1:20" x14ac:dyDescent="0.45">
      <c r="A154" t="s">
        <v>243</v>
      </c>
      <c r="B154" s="5">
        <v>43780</v>
      </c>
      <c r="C154">
        <f t="shared" si="2"/>
        <v>2019</v>
      </c>
      <c r="D154" t="s">
        <v>37</v>
      </c>
      <c r="E154" t="s">
        <v>108</v>
      </c>
      <c r="F154" t="s">
        <v>625</v>
      </c>
      <c r="G154" t="s">
        <v>14</v>
      </c>
      <c r="H154" t="s">
        <v>614</v>
      </c>
      <c r="I154">
        <v>0.8</v>
      </c>
      <c r="J154">
        <v>8.01</v>
      </c>
      <c r="K154">
        <v>2</v>
      </c>
      <c r="L154">
        <v>0</v>
      </c>
      <c r="M154" t="str" cm="1">
        <f t="array" ref="M154">_xlfn.IFS(
   OR($F154="Pagar", $F154="Pintu Gerbang", $F154="Pintu Handerson", $F154="Kanopi"), "PER-M2",
   $F154="Teralis", "PER-LUBANG",
   OR($F154="Railing", $F154="Railing/Balkon"), "PER-M",
   TRUE, ""
)</f>
        <v>PER-M</v>
      </c>
      <c r="N154" cm="1">
        <f t="array" ref="N154">IF($M154="PER-M2",
  IFERROR(
     _xlfn.IFS(
        $G154="Hollow",
            INDEX('Referensi Harga'!$C:$C,
                  MATCH($F154&amp;$C154,'Referensi Harga'!$A:$A&amp;'Referensi Harga'!$B:$B,0)),
        $G154="Hollow Stainless",
            INDEX('Referensi Harga'!$D:$D,
                  MATCH($F154&amp;$C154,'Referensi Harga'!$A:$A&amp;'Referensi Harga'!$B:$B,0)),
        $G154="Pipa Stainless",
            INDEX('Referensi Harga'!$E:$E,
                  MATCH($F154&amp;$C154,'Referensi Harga'!$A:$A&amp;'Referensi Harga'!$B:$B,0))
     ),0)
  + IFERROR(VLOOKUP($H154,'Profile Size'!$A:$B,2,FALSE),0)
  + IFERROR(VLOOKUP($I154,'Ketebalan Material'!$A:$B,2,FALSE),0),
0)</f>
        <v>0</v>
      </c>
      <c r="O154">
        <f>IF($M154="PER-M",
  IFERROR(
    IF($G154="Hollow",
       INDEX('Referensi Harga'!$C:$C, MATCH($F154 &amp; "|" &amp; $C154, 'Referensi Harga'!$F:$F, 0)),
    IF($G154="Hollow Stainless",
       INDEX('Referensi Harga'!$D:$D, MATCH($F154 &amp; "|" &amp; $C154, 'Referensi Harga'!$F:$F, 0)),
       INDEX('Referensi Harga'!$E:$E, MATCH($F154 &amp; "|" &amp; $C154, 'Referensi Harga'!$F:$F, 0))
    ))
    + IFERROR(VLOOKUP($H154, 'Profile Size'!$A:$B, 2, FALSE), 0)
    + IFERROR(VLOOKUP($I154, 'Ketebalan Material'!$A:$B, 2, FALSE), 0), 0),
0)</f>
        <v>850000</v>
      </c>
      <c r="P154" cm="1">
        <f t="array" ref="P154">IF($M154="PER-LUBANG",
  IFERROR(
     _xlfn.IFS(
        $G154="Hollow",
            INDEX('Referensi Harga'!$C:$C,
                  MATCH($F154&amp;$C154,'Referensi Harga'!$A:$A&amp;'Referensi Harga'!$B:$B,0)),
        $G154="Hollow Stainless",
            INDEX('Referensi Harga'!$D:$D,
                  MATCH($F154&amp;$C154,'Referensi Harga'!$A:$A&amp;'Referensi Harga'!$B:$B,0)),
        $G154="Pipa Stainless",
            INDEX('Referensi Harga'!$E:$E,
                  MATCH($F154&amp;$C154,'Referensi Harga'!$A:$A&amp;'Referensi Harga'!$B:$B,0))
     ),0)
  + IFERROR(VLOOKUP($H154,'Profile Size'!$A:$B,2,FALSE),0)
  + IFERROR(VLOOKUP($I154,'Ketebalan Material'!$A:$B,2,FALSE),0),
0)</f>
        <v>0</v>
      </c>
      <c r="Q154">
        <f>IF($M154="PER-M2",
    IFERROR(
        SUMIFS('Upah Tenaga Ahli'!$C:$C,
               'Upah Tenaga Ahli'!$A:$A,"PER-M2",
               'Upah Tenaga Ahli'!$B:$B,$G154
        ) * $J154 * $K154,
    0),
IF($M154="PER-LUBANG",
    IFERROR(
        SUMIFS('Upah Tenaga Ahli'!$D:$D,
               'Upah Tenaga Ahli'!$A:$A,"PER-LUBANG",
               'Upah Tenaga Ahli'!$B:$B,$G154
        ) * $L154 * $K154,
    0),
IF($M154="PER-M",
    IFERROR(
        SUMIFS('Upah Tenaga Ahli'!$E:$E,
               'Upah Tenaga Ahli'!$A:$A,"PER-M",
               'Upah Tenaga Ahli'!$B:$B,$G154
        ) * $J154 * $K154,
    0),
0)))</f>
        <v>3204000</v>
      </c>
      <c r="R154" t="s">
        <v>617</v>
      </c>
      <c r="S154" t="s">
        <v>23</v>
      </c>
      <c r="T154">
        <f>IF($M154="PER-M2",
   ($N154 * $J154 * $K154)
   + IFERROR(VLOOKUP($R154,Finishing!A:B,2,FALSE),0)
   + IFERROR(VLOOKUP($S154,Kerumitan!A:B,2,FALSE),0),
IF($M154="PER-LUBANG",
   ($P154 * $L154 * $K154)
   + IFERROR(VLOOKUP($R154,Finishing!A:B,2,FALSE),0)
   + IFERROR(VLOOKUP($S154,Kerumitan!A:B,2,FALSE),0),
IF($M154="PER-M",
   ($O154 * $J154 * $K154)
   + IFERROR(VLOOKUP($R154,Finishing!A:B,2,FALSE),0)
   + IFERROR(VLOOKUP($S154,Kerumitan!A:B,2,FALSE),0),
0)))</f>
        <v>13617000</v>
      </c>
    </row>
    <row r="155" spans="1:20" x14ac:dyDescent="0.45">
      <c r="A155" t="s">
        <v>244</v>
      </c>
      <c r="B155" s="5">
        <v>44939</v>
      </c>
      <c r="C155">
        <f t="shared" si="2"/>
        <v>2023</v>
      </c>
      <c r="D155" t="s">
        <v>93</v>
      </c>
      <c r="E155" t="s">
        <v>41</v>
      </c>
      <c r="F155" t="s">
        <v>4</v>
      </c>
      <c r="G155" t="s">
        <v>14</v>
      </c>
      <c r="H155" t="s">
        <v>615</v>
      </c>
      <c r="I155">
        <v>1.2</v>
      </c>
      <c r="J155">
        <v>19.48</v>
      </c>
      <c r="K155">
        <v>1</v>
      </c>
      <c r="L155">
        <v>0</v>
      </c>
      <c r="M155" t="str" cm="1">
        <f t="array" ref="M155">_xlfn.IFS(
   OR($F155="Pagar", $F155="Pintu Gerbang", $F155="Pintu Handerson", $F155="Kanopi"), "PER-M2",
   $F155="Teralis", "PER-LUBANG",
   OR($F155="Railing", $F155="Railing/Balkon"), "PER-M",
   TRUE, ""
)</f>
        <v>PER-M2</v>
      </c>
      <c r="N155" cm="1">
        <f t="array" ref="N155">IF($M155="PER-M2",
  IFERROR(
     _xlfn.IFS(
        $G155="Hollow",
            INDEX('Referensi Harga'!$C:$C,
                  MATCH($F155&amp;$C155,'Referensi Harga'!$A:$A&amp;'Referensi Harga'!$B:$B,0)),
        $G155="Hollow Stainless",
            INDEX('Referensi Harga'!$D:$D,
                  MATCH($F155&amp;$C155,'Referensi Harga'!$A:$A&amp;'Referensi Harga'!$B:$B,0)),
        $G155="Pipa Stainless",
            INDEX('Referensi Harga'!$E:$E,
                  MATCH($F155&amp;$C155,'Referensi Harga'!$A:$A&amp;'Referensi Harga'!$B:$B,0))
     ),0)
  + IFERROR(VLOOKUP($H155,'Profile Size'!$A:$B,2,FALSE),0)
  + IFERROR(VLOOKUP($I155,'Ketebalan Material'!$A:$B,2,FALSE),0),
0)</f>
        <v>1140000</v>
      </c>
      <c r="O155">
        <f>IF($M155="PER-M",
  IFERROR(
    IF($G155="Hollow",
       INDEX('Referensi Harga'!$C:$C, MATCH($F155 &amp; "|" &amp; $C155, 'Referensi Harga'!$F:$F, 0)),
    IF($G155="Hollow Stainless",
       INDEX('Referensi Harga'!$D:$D, MATCH($F155 &amp; "|" &amp; $C155, 'Referensi Harga'!$F:$F, 0)),
       INDEX('Referensi Harga'!$E:$E, MATCH($F155 &amp; "|" &amp; $C155, 'Referensi Harga'!$F:$F, 0))
    ))
    + IFERROR(VLOOKUP($H155, 'Profile Size'!$A:$B, 2, FALSE), 0)
    + IFERROR(VLOOKUP($I155, 'Ketebalan Material'!$A:$B, 2, FALSE), 0), 0),
0)</f>
        <v>0</v>
      </c>
      <c r="P155" cm="1">
        <f t="array" ref="P155">IF($M155="PER-LUBANG",
  IFERROR(
     _xlfn.IFS(
        $G155="Hollow",
            INDEX('Referensi Harga'!$C:$C,
                  MATCH($F155&amp;$C155,'Referensi Harga'!$A:$A&amp;'Referensi Harga'!$B:$B,0)),
        $G155="Hollow Stainless",
            INDEX('Referensi Harga'!$D:$D,
                  MATCH($F155&amp;$C155,'Referensi Harga'!$A:$A&amp;'Referensi Harga'!$B:$B,0)),
        $G155="Pipa Stainless",
            INDEX('Referensi Harga'!$E:$E,
                  MATCH($F155&amp;$C155,'Referensi Harga'!$A:$A&amp;'Referensi Harga'!$B:$B,0))
     ),0)
  + IFERROR(VLOOKUP($H155,'Profile Size'!$A:$B,2,FALSE),0)
  + IFERROR(VLOOKUP($I155,'Ketebalan Material'!$A:$B,2,FALSE),0),
0)</f>
        <v>0</v>
      </c>
      <c r="Q155">
        <f>IF($M155="PER-M2",
    IFERROR(
        SUMIFS('Upah Tenaga Ahli'!$C:$C,
               'Upah Tenaga Ahli'!$A:$A,"PER-M2",
               'Upah Tenaga Ahli'!$B:$B,$G155
        ) * $J155 * $K155,
    0),
IF($M155="PER-LUBANG",
    IFERROR(
        SUMIFS('Upah Tenaga Ahli'!$D:$D,
               'Upah Tenaga Ahli'!$A:$A,"PER-LUBANG",
               'Upah Tenaga Ahli'!$B:$B,$G155
        ) * $L155 * $K155,
    0),
IF($M155="PER-M",
    IFERROR(
        SUMIFS('Upah Tenaga Ahli'!$E:$E,
               'Upah Tenaga Ahli'!$A:$A,"PER-M",
               'Upah Tenaga Ahli'!$B:$B,$G155
        ) * $J155 * $K155,
    0),
0)))</f>
        <v>3896000</v>
      </c>
      <c r="R155" t="s">
        <v>617</v>
      </c>
      <c r="S155" t="s">
        <v>24</v>
      </c>
      <c r="T155">
        <f>IF($M155="PER-M2",
   ($N155 * $J155 * $K155)
   + IFERROR(VLOOKUP($R155,Finishing!A:B,2,FALSE),0)
   + IFERROR(VLOOKUP($S155,Kerumitan!A:B,2,FALSE),0),
IF($M155="PER-LUBANG",
   ($P155 * $L155 * $K155)
   + IFERROR(VLOOKUP($R155,Finishing!A:B,2,FALSE),0)
   + IFERROR(VLOOKUP($S155,Kerumitan!A:B,2,FALSE),0),
IF($M155="PER-M",
   ($O155 * $J155 * $K155)
   + IFERROR(VLOOKUP($R155,Finishing!A:B,2,FALSE),0)
   + IFERROR(VLOOKUP($S155,Kerumitan!A:B,2,FALSE),0),
0)))</f>
        <v>22307200</v>
      </c>
    </row>
    <row r="156" spans="1:20" x14ac:dyDescent="0.45">
      <c r="A156" t="s">
        <v>245</v>
      </c>
      <c r="B156" s="5">
        <v>44924</v>
      </c>
      <c r="C156">
        <f t="shared" si="2"/>
        <v>2022</v>
      </c>
      <c r="D156" t="s">
        <v>199</v>
      </c>
      <c r="E156" t="s">
        <v>44</v>
      </c>
      <c r="F156" t="s">
        <v>8</v>
      </c>
      <c r="G156" t="s">
        <v>14</v>
      </c>
      <c r="H156" t="s">
        <v>612</v>
      </c>
      <c r="I156">
        <v>1</v>
      </c>
      <c r="J156">
        <v>0</v>
      </c>
      <c r="K156">
        <v>1</v>
      </c>
      <c r="L156">
        <v>11</v>
      </c>
      <c r="M156" t="str" cm="1">
        <f t="array" ref="M156">_xlfn.IFS(
   OR($F156="Pagar", $F156="Pintu Gerbang", $F156="Pintu Handerson", $F156="Kanopi"), "PER-M2",
   $F156="Teralis", "PER-LUBANG",
   OR($F156="Railing", $F156="Railing/Balkon"), "PER-M",
   TRUE, ""
)</f>
        <v>PER-LUBANG</v>
      </c>
      <c r="N156" cm="1">
        <f t="array" ref="N156">IF($M156="PER-M2",
  IFERROR(
     _xlfn.IFS(
        $G156="Hollow",
            INDEX('Referensi Harga'!$C:$C,
                  MATCH($F156&amp;$C156,'Referensi Harga'!$A:$A&amp;'Referensi Harga'!$B:$B,0)),
        $G156="Hollow Stainless",
            INDEX('Referensi Harga'!$D:$D,
                  MATCH($F156&amp;$C156,'Referensi Harga'!$A:$A&amp;'Referensi Harga'!$B:$B,0)),
        $G156="Pipa Stainless",
            INDEX('Referensi Harga'!$E:$E,
                  MATCH($F156&amp;$C156,'Referensi Harga'!$A:$A&amp;'Referensi Harga'!$B:$B,0))
     ),0)
  + IFERROR(VLOOKUP($H156,'Profile Size'!$A:$B,2,FALSE),0)
  + IFERROR(VLOOKUP($I156,'Ketebalan Material'!$A:$B,2,FALSE),0),
0)</f>
        <v>0</v>
      </c>
      <c r="O156">
        <f>IF($M156="PER-M",
  IFERROR(
    IF($G156="Hollow",
       INDEX('Referensi Harga'!$C:$C, MATCH($F156 &amp; "|" &amp; $C156, 'Referensi Harga'!$F:$F, 0)),
    IF($G156="Hollow Stainless",
       INDEX('Referensi Harga'!$D:$D, MATCH($F156 &amp; "|" &amp; $C156, 'Referensi Harga'!$F:$F, 0)),
       INDEX('Referensi Harga'!$E:$E, MATCH($F156 &amp; "|" &amp; $C156, 'Referensi Harga'!$F:$F, 0))
    ))
    + IFERROR(VLOOKUP($H156, 'Profile Size'!$A:$B, 2, FALSE), 0)
    + IFERROR(VLOOKUP($I156, 'Ketebalan Material'!$A:$B, 2, FALSE), 0), 0),
0)</f>
        <v>0</v>
      </c>
      <c r="P156" cm="1">
        <f t="array" ref="P156">IF($M156="PER-LUBANG",
  IFERROR(
     _xlfn.IFS(
        $G156="Hollow",
            INDEX('Referensi Harga'!$C:$C,
                  MATCH($F156&amp;$C156,'Referensi Harga'!$A:$A&amp;'Referensi Harga'!$B:$B,0)),
        $G156="Hollow Stainless",
            INDEX('Referensi Harga'!$D:$D,
                  MATCH($F156&amp;$C156,'Referensi Harga'!$A:$A&amp;'Referensi Harga'!$B:$B,0)),
        $G156="Pipa Stainless",
            INDEX('Referensi Harga'!$E:$E,
                  MATCH($F156&amp;$C156,'Referensi Harga'!$A:$A&amp;'Referensi Harga'!$B:$B,0))
     ),0)
  + IFERROR(VLOOKUP($H156,'Profile Size'!$A:$B,2,FALSE),0)
  + IFERROR(VLOOKUP($I156,'Ketebalan Material'!$A:$B,2,FALSE),0),
0)</f>
        <v>710000</v>
      </c>
      <c r="Q156">
        <f>IF($M156="PER-M2",
    IFERROR(
        SUMIFS('Upah Tenaga Ahli'!$C:$C,
               'Upah Tenaga Ahli'!$A:$A,"PER-M2",
               'Upah Tenaga Ahli'!$B:$B,$G156
        ) * $J156 * $K156,
    0),
IF($M156="PER-LUBANG",
    IFERROR(
        SUMIFS('Upah Tenaga Ahli'!$D:$D,
               'Upah Tenaga Ahli'!$A:$A,"PER-LUBANG",
               'Upah Tenaga Ahli'!$B:$B,$G156
        ) * $L156 * $K156,
    0),
IF($M156="PER-M",
    IFERROR(
        SUMIFS('Upah Tenaga Ahli'!$E:$E,
               'Upah Tenaga Ahli'!$A:$A,"PER-M",
               'Upah Tenaga Ahli'!$B:$B,$G156
        ) * $J156 * $K156,
    0),
0)))</f>
        <v>1650000</v>
      </c>
      <c r="R156" t="s">
        <v>617</v>
      </c>
      <c r="S156" t="s">
        <v>24</v>
      </c>
      <c r="T156">
        <f>IF($M156="PER-M2",
   ($N156 * $J156 * $K156)
   + IFERROR(VLOOKUP($R156,Finishing!A:B,2,FALSE),0)
   + IFERROR(VLOOKUP($S156,Kerumitan!A:B,2,FALSE),0),
IF($M156="PER-LUBANG",
   ($P156 * $L156 * $K156)
   + IFERROR(VLOOKUP($R156,Finishing!A:B,2,FALSE),0)
   + IFERROR(VLOOKUP($S156,Kerumitan!A:B,2,FALSE),0),
IF($M156="PER-M",
   ($O156 * $J156 * $K156)
   + IFERROR(VLOOKUP($R156,Finishing!A:B,2,FALSE),0)
   + IFERROR(VLOOKUP($S156,Kerumitan!A:B,2,FALSE),0),
0)))</f>
        <v>7910000</v>
      </c>
    </row>
    <row r="157" spans="1:20" x14ac:dyDescent="0.45">
      <c r="A157" t="s">
        <v>246</v>
      </c>
      <c r="B157" s="5">
        <v>44309</v>
      </c>
      <c r="C157">
        <f t="shared" si="2"/>
        <v>2021</v>
      </c>
      <c r="D157" t="s">
        <v>63</v>
      </c>
      <c r="E157" t="s">
        <v>87</v>
      </c>
      <c r="F157" t="s">
        <v>625</v>
      </c>
      <c r="G157" t="s">
        <v>15</v>
      </c>
      <c r="H157" t="s">
        <v>33</v>
      </c>
      <c r="I157">
        <v>1.2</v>
      </c>
      <c r="J157">
        <v>5.54</v>
      </c>
      <c r="K157">
        <v>1</v>
      </c>
      <c r="L157">
        <v>0</v>
      </c>
      <c r="M157" t="str" cm="1">
        <f t="array" ref="M157">_xlfn.IFS(
   OR($F157="Pagar", $F157="Pintu Gerbang", $F157="Pintu Handerson", $F157="Kanopi"), "PER-M2",
   $F157="Teralis", "PER-LUBANG",
   OR($F157="Railing", $F157="Railing/Balkon"), "PER-M",
   TRUE, ""
)</f>
        <v>PER-M</v>
      </c>
      <c r="N157" cm="1">
        <f t="array" ref="N157">IF($M157="PER-M2",
  IFERROR(
     _xlfn.IFS(
        $G157="Hollow",
            INDEX('Referensi Harga'!$C:$C,
                  MATCH($F157&amp;$C157,'Referensi Harga'!$A:$A&amp;'Referensi Harga'!$B:$B,0)),
        $G157="Hollow Stainless",
            INDEX('Referensi Harga'!$D:$D,
                  MATCH($F157&amp;$C157,'Referensi Harga'!$A:$A&amp;'Referensi Harga'!$B:$B,0)),
        $G157="Pipa Stainless",
            INDEX('Referensi Harga'!$E:$E,
                  MATCH($F157&amp;$C157,'Referensi Harga'!$A:$A&amp;'Referensi Harga'!$B:$B,0))
     ),0)
  + IFERROR(VLOOKUP($H157,'Profile Size'!$A:$B,2,FALSE),0)
  + IFERROR(VLOOKUP($I157,'Ketebalan Material'!$A:$B,2,FALSE),0),
0)</f>
        <v>0</v>
      </c>
      <c r="O157">
        <f>IF($M157="PER-M",
  IFERROR(
    IF($G157="Hollow",
       INDEX('Referensi Harga'!$C:$C, MATCH($F157 &amp; "|" &amp; $C157, 'Referensi Harga'!$F:$F, 0)),
    IF($G157="Hollow Stainless",
       INDEX('Referensi Harga'!$D:$D, MATCH($F157 &amp; "|" &amp; $C157, 'Referensi Harga'!$F:$F, 0)),
       INDEX('Referensi Harga'!$E:$E, MATCH($F157 &amp; "|" &amp; $C157, 'Referensi Harga'!$F:$F, 0))
    ))
    + IFERROR(VLOOKUP($H157, 'Profile Size'!$A:$B, 2, FALSE), 0)
    + IFERROR(VLOOKUP($I157, 'Ketebalan Material'!$A:$B, 2, FALSE), 0), 0),
0)</f>
        <v>1200000</v>
      </c>
      <c r="P157" cm="1">
        <f t="array" ref="P157">IF($M157="PER-LUBANG",
  IFERROR(
     _xlfn.IFS(
        $G157="Hollow",
            INDEX('Referensi Harga'!$C:$C,
                  MATCH($F157&amp;$C157,'Referensi Harga'!$A:$A&amp;'Referensi Harga'!$B:$B,0)),
        $G157="Hollow Stainless",
            INDEX('Referensi Harga'!$D:$D,
                  MATCH($F157&amp;$C157,'Referensi Harga'!$A:$A&amp;'Referensi Harga'!$B:$B,0)),
        $G157="Pipa Stainless",
            INDEX('Referensi Harga'!$E:$E,
                  MATCH($F157&amp;$C157,'Referensi Harga'!$A:$A&amp;'Referensi Harga'!$B:$B,0))
     ),0)
  + IFERROR(VLOOKUP($H157,'Profile Size'!$A:$B,2,FALSE),0)
  + IFERROR(VLOOKUP($I157,'Ketebalan Material'!$A:$B,2,FALSE),0),
0)</f>
        <v>0</v>
      </c>
      <c r="Q157">
        <f>IF($M157="PER-M2",
    IFERROR(
        SUMIFS('Upah Tenaga Ahli'!$C:$C,
               'Upah Tenaga Ahli'!$A:$A,"PER-M2",
               'Upah Tenaga Ahli'!$B:$B,$G157
        ) * $J157 * $K157,
    0),
IF($M157="PER-LUBANG",
    IFERROR(
        SUMIFS('Upah Tenaga Ahli'!$D:$D,
               'Upah Tenaga Ahli'!$A:$A,"PER-LUBANG",
               'Upah Tenaga Ahli'!$B:$B,$G157
        ) * $L157 * $K157,
    0),
IF($M157="PER-M",
    IFERROR(
        SUMIFS('Upah Tenaga Ahli'!$E:$E,
               'Upah Tenaga Ahli'!$A:$A,"PER-M",
               'Upah Tenaga Ahli'!$B:$B,$G157
        ) * $J157 * $K157,
    0),
0)))</f>
        <v>831000</v>
      </c>
      <c r="R157" t="s">
        <v>617</v>
      </c>
      <c r="S157" t="s">
        <v>24</v>
      </c>
      <c r="T157">
        <f>IF($M157="PER-M2",
   ($N157 * $J157 * $K157)
   + IFERROR(VLOOKUP($R157,Finishing!A:B,2,FALSE),0)
   + IFERROR(VLOOKUP($S157,Kerumitan!A:B,2,FALSE),0),
IF($M157="PER-LUBANG",
   ($P157 * $L157 * $K157)
   + IFERROR(VLOOKUP($R157,Finishing!A:B,2,FALSE),0)
   + IFERROR(VLOOKUP($S157,Kerumitan!A:B,2,FALSE),0),
IF($M157="PER-M",
   ($O157 * $J157 * $K157)
   + IFERROR(VLOOKUP($R157,Finishing!A:B,2,FALSE),0)
   + IFERROR(VLOOKUP($S157,Kerumitan!A:B,2,FALSE),0),
0)))</f>
        <v>6748000</v>
      </c>
    </row>
    <row r="158" spans="1:20" x14ac:dyDescent="0.45">
      <c r="A158" t="s">
        <v>247</v>
      </c>
      <c r="B158" s="5">
        <v>45316</v>
      </c>
      <c r="C158">
        <f t="shared" si="2"/>
        <v>2024</v>
      </c>
      <c r="D158" t="s">
        <v>115</v>
      </c>
      <c r="E158" t="s">
        <v>32</v>
      </c>
      <c r="F158" t="s">
        <v>7</v>
      </c>
      <c r="G158" t="s">
        <v>14</v>
      </c>
      <c r="H158" t="s">
        <v>615</v>
      </c>
      <c r="I158">
        <v>1</v>
      </c>
      <c r="J158">
        <v>5.98</v>
      </c>
      <c r="K158">
        <v>1</v>
      </c>
      <c r="L158">
        <v>0</v>
      </c>
      <c r="M158" t="str" cm="1">
        <f t="array" ref="M158">_xlfn.IFS(
   OR($F158="Pagar", $F158="Pintu Gerbang", $F158="Pintu Handerson", $F158="Kanopi"), "PER-M2",
   $F158="Teralis", "PER-LUBANG",
   OR($F158="Railing", $F158="Railing/Balkon"), "PER-M",
   TRUE, ""
)</f>
        <v>PER-M2</v>
      </c>
      <c r="N158" cm="1">
        <f t="array" ref="N158">IF($M158="PER-M2",
  IFERROR(
     _xlfn.IFS(
        $G158="Hollow",
            INDEX('Referensi Harga'!$C:$C,
                  MATCH($F158&amp;$C158,'Referensi Harga'!$A:$A&amp;'Referensi Harga'!$B:$B,0)),
        $G158="Hollow Stainless",
            INDEX('Referensi Harga'!$D:$D,
                  MATCH($F158&amp;$C158,'Referensi Harga'!$A:$A&amp;'Referensi Harga'!$B:$B,0)),
        $G158="Pipa Stainless",
            INDEX('Referensi Harga'!$E:$E,
                  MATCH($F158&amp;$C158,'Referensi Harga'!$A:$A&amp;'Referensi Harga'!$B:$B,0))
     ),0)
  + IFERROR(VLOOKUP($H158,'Profile Size'!$A:$B,2,FALSE),0)
  + IFERROR(VLOOKUP($I158,'Ketebalan Material'!$A:$B,2,FALSE),0),
0)</f>
        <v>1330000</v>
      </c>
      <c r="O158">
        <f>IF($M158="PER-M",
  IFERROR(
    IF($G158="Hollow",
       INDEX('Referensi Harga'!$C:$C, MATCH($F158 &amp; "|" &amp; $C158, 'Referensi Harga'!$F:$F, 0)),
    IF($G158="Hollow Stainless",
       INDEX('Referensi Harga'!$D:$D, MATCH($F158 &amp; "|" &amp; $C158, 'Referensi Harga'!$F:$F, 0)),
       INDEX('Referensi Harga'!$E:$E, MATCH($F158 &amp; "|" &amp; $C158, 'Referensi Harga'!$F:$F, 0))
    ))
    + IFERROR(VLOOKUP($H158, 'Profile Size'!$A:$B, 2, FALSE), 0)
    + IFERROR(VLOOKUP($I158, 'Ketebalan Material'!$A:$B, 2, FALSE), 0), 0),
0)</f>
        <v>0</v>
      </c>
      <c r="P158" cm="1">
        <f t="array" ref="P158">IF($M158="PER-LUBANG",
  IFERROR(
     _xlfn.IFS(
        $G158="Hollow",
            INDEX('Referensi Harga'!$C:$C,
                  MATCH($F158&amp;$C158,'Referensi Harga'!$A:$A&amp;'Referensi Harga'!$B:$B,0)),
        $G158="Hollow Stainless",
            INDEX('Referensi Harga'!$D:$D,
                  MATCH($F158&amp;$C158,'Referensi Harga'!$A:$A&amp;'Referensi Harga'!$B:$B,0)),
        $G158="Pipa Stainless",
            INDEX('Referensi Harga'!$E:$E,
                  MATCH($F158&amp;$C158,'Referensi Harga'!$A:$A&amp;'Referensi Harga'!$B:$B,0))
     ),0)
  + IFERROR(VLOOKUP($H158,'Profile Size'!$A:$B,2,FALSE),0)
  + IFERROR(VLOOKUP($I158,'Ketebalan Material'!$A:$B,2,FALSE),0),
0)</f>
        <v>0</v>
      </c>
      <c r="Q158">
        <f>IF($M158="PER-M2",
    IFERROR(
        SUMIFS('Upah Tenaga Ahli'!$C:$C,
               'Upah Tenaga Ahli'!$A:$A,"PER-M2",
               'Upah Tenaga Ahli'!$B:$B,$G158
        ) * $J158 * $K158,
    0),
IF($M158="PER-LUBANG",
    IFERROR(
        SUMIFS('Upah Tenaga Ahli'!$D:$D,
               'Upah Tenaga Ahli'!$A:$A,"PER-LUBANG",
               'Upah Tenaga Ahli'!$B:$B,$G158
        ) * $L158 * $K158,
    0),
IF($M158="PER-M",
    IFERROR(
        SUMIFS('Upah Tenaga Ahli'!$E:$E,
               'Upah Tenaga Ahli'!$A:$A,"PER-M",
               'Upah Tenaga Ahli'!$B:$B,$G158
        ) * $J158 * $K158,
    0),
0)))</f>
        <v>1196000</v>
      </c>
      <c r="R158" t="s">
        <v>617</v>
      </c>
      <c r="S158" t="s">
        <v>24</v>
      </c>
      <c r="T158">
        <f>IF($M158="PER-M2",
   ($N158 * $J158 * $K158)
   + IFERROR(VLOOKUP($R158,Finishing!A:B,2,FALSE),0)
   + IFERROR(VLOOKUP($S158,Kerumitan!A:B,2,FALSE),0),
IF($M158="PER-LUBANG",
   ($P158 * $L158 * $K158)
   + IFERROR(VLOOKUP($R158,Finishing!A:B,2,FALSE),0)
   + IFERROR(VLOOKUP($S158,Kerumitan!A:B,2,FALSE),0),
IF($M158="PER-M",
   ($O158 * $J158 * $K158)
   + IFERROR(VLOOKUP($R158,Finishing!A:B,2,FALSE),0)
   + IFERROR(VLOOKUP($S158,Kerumitan!A:B,2,FALSE),0),
0)))</f>
        <v>8053400.0000000009</v>
      </c>
    </row>
    <row r="159" spans="1:20" x14ac:dyDescent="0.45">
      <c r="A159" t="s">
        <v>248</v>
      </c>
      <c r="B159" s="5">
        <v>44220</v>
      </c>
      <c r="C159">
        <f t="shared" si="2"/>
        <v>2021</v>
      </c>
      <c r="D159" t="s">
        <v>199</v>
      </c>
      <c r="E159" t="s">
        <v>38</v>
      </c>
      <c r="F159" t="s">
        <v>8</v>
      </c>
      <c r="G159" t="s">
        <v>13</v>
      </c>
      <c r="H159" s="4" t="s">
        <v>612</v>
      </c>
      <c r="I159">
        <v>0.8</v>
      </c>
      <c r="J159">
        <v>0</v>
      </c>
      <c r="K159">
        <v>1</v>
      </c>
      <c r="L159">
        <v>15</v>
      </c>
      <c r="M159" t="str" cm="1">
        <f t="array" ref="M159">_xlfn.IFS(
   OR($F159="Pagar", $F159="Pintu Gerbang", $F159="Pintu Handerson", $F159="Kanopi"), "PER-M2",
   $F159="Teralis", "PER-LUBANG",
   OR($F159="Railing", $F159="Railing/Balkon"), "PER-M",
   TRUE, ""
)</f>
        <v>PER-LUBANG</v>
      </c>
      <c r="N159" cm="1">
        <f t="array" ref="N159">IF($M159="PER-M2",
  IFERROR(
     _xlfn.IFS(
        $G159="Hollow",
            INDEX('Referensi Harga'!$C:$C,
                  MATCH($F159&amp;$C159,'Referensi Harga'!$A:$A&amp;'Referensi Harga'!$B:$B,0)),
        $G159="Hollow Stainless",
            INDEX('Referensi Harga'!$D:$D,
                  MATCH($F159&amp;$C159,'Referensi Harga'!$A:$A&amp;'Referensi Harga'!$B:$B,0)),
        $G159="Pipa Stainless",
            INDEX('Referensi Harga'!$E:$E,
                  MATCH($F159&amp;$C159,'Referensi Harga'!$A:$A&amp;'Referensi Harga'!$B:$B,0))
     ),0)
  + IFERROR(VLOOKUP($H159,'Profile Size'!$A:$B,2,FALSE),0)
  + IFERROR(VLOOKUP($I159,'Ketebalan Material'!$A:$B,2,FALSE),0),
0)</f>
        <v>0</v>
      </c>
      <c r="O159">
        <f>IF($M159="PER-M",
  IFERROR(
    IF($G159="Hollow",
       INDEX('Referensi Harga'!$C:$C, MATCH($F159 &amp; "|" &amp; $C159, 'Referensi Harga'!$F:$F, 0)),
    IF($G159="Hollow Stainless",
       INDEX('Referensi Harga'!$D:$D, MATCH($F159 &amp; "|" &amp; $C159, 'Referensi Harga'!$F:$F, 0)),
       INDEX('Referensi Harga'!$E:$E, MATCH($F159 &amp; "|" &amp; $C159, 'Referensi Harga'!$F:$F, 0))
    ))
    + IFERROR(VLOOKUP($H159, 'Profile Size'!$A:$B, 2, FALSE), 0)
    + IFERROR(VLOOKUP($I159, 'Ketebalan Material'!$A:$B, 2, FALSE), 0), 0),
0)</f>
        <v>0</v>
      </c>
      <c r="P159" cm="1">
        <f t="array" ref="P159">IF($M159="PER-LUBANG",
  IFERROR(
     _xlfn.IFS(
        $G159="Hollow",
            INDEX('Referensi Harga'!$C:$C,
                  MATCH($F159&amp;$C159,'Referensi Harga'!$A:$A&amp;'Referensi Harga'!$B:$B,0)),
        $G159="Hollow Stainless",
            INDEX('Referensi Harga'!$D:$D,
                  MATCH($F159&amp;$C159,'Referensi Harga'!$A:$A&amp;'Referensi Harga'!$B:$B,0)),
        $G159="Pipa Stainless",
            INDEX('Referensi Harga'!$E:$E,
                  MATCH($F159&amp;$C159,'Referensi Harga'!$A:$A&amp;'Referensi Harga'!$B:$B,0))
     ),0)
  + IFERROR(VLOOKUP($H159,'Profile Size'!$A:$B,2,FALSE),0)
  + IFERROR(VLOOKUP($I159,'Ketebalan Material'!$A:$B,2,FALSE),0),
0)</f>
        <v>300000</v>
      </c>
      <c r="Q159">
        <f>IF($M159="PER-M2",
    IFERROR(
        SUMIFS('Upah Tenaga Ahli'!$C:$C,
               'Upah Tenaga Ahli'!$A:$A,"PER-M2",
               'Upah Tenaga Ahli'!$B:$B,$G159
        ) * $J159 * $K159,
    0),
IF($M159="PER-LUBANG",
    IFERROR(
        SUMIFS('Upah Tenaga Ahli'!$D:$D,
               'Upah Tenaga Ahli'!$A:$A,"PER-LUBANG",
               'Upah Tenaga Ahli'!$B:$B,$G159
        ) * $L159 * $K159,
    0),
IF($M159="PER-M",
    IFERROR(
        SUMIFS('Upah Tenaga Ahli'!$E:$E,
               'Upah Tenaga Ahli'!$A:$A,"PER-M",
               'Upah Tenaga Ahli'!$B:$B,$G159
        ) * $J159 * $K159,
    0),
0)))</f>
        <v>1125000</v>
      </c>
      <c r="R159" t="s">
        <v>19</v>
      </c>
      <c r="S159" t="s">
        <v>24</v>
      </c>
      <c r="T159">
        <f>IF($M159="PER-M2",
   ($N159 * $J159 * $K159)
   + IFERROR(VLOOKUP($R159,Finishing!A:B,2,FALSE),0)
   + IFERROR(VLOOKUP($S159,Kerumitan!A:B,2,FALSE),0),
IF($M159="PER-LUBANG",
   ($P159 * $L159 * $K159)
   + IFERROR(VLOOKUP($R159,Finishing!A:B,2,FALSE),0)
   + IFERROR(VLOOKUP($S159,Kerumitan!A:B,2,FALSE),0),
IF($M159="PER-M",
   ($O159 * $J159 * $K159)
   + IFERROR(VLOOKUP($R159,Finishing!A:B,2,FALSE),0)
   + IFERROR(VLOOKUP($S159,Kerumitan!A:B,2,FALSE),0),
0)))</f>
        <v>4650000</v>
      </c>
    </row>
    <row r="160" spans="1:20" x14ac:dyDescent="0.45">
      <c r="A160" t="s">
        <v>249</v>
      </c>
      <c r="B160" s="5">
        <v>44065</v>
      </c>
      <c r="C160">
        <f t="shared" si="2"/>
        <v>2020</v>
      </c>
      <c r="D160" t="s">
        <v>156</v>
      </c>
      <c r="E160" t="s">
        <v>75</v>
      </c>
      <c r="F160" t="s">
        <v>4</v>
      </c>
      <c r="G160" t="s">
        <v>15</v>
      </c>
      <c r="H160" t="s">
        <v>33</v>
      </c>
      <c r="I160">
        <v>1</v>
      </c>
      <c r="J160">
        <v>19.09</v>
      </c>
      <c r="K160">
        <v>1</v>
      </c>
      <c r="L160">
        <v>0</v>
      </c>
      <c r="M160" t="str" cm="1">
        <f t="array" ref="M160">_xlfn.IFS(
   OR($F160="Pagar", $F160="Pintu Gerbang", $F160="Pintu Handerson", $F160="Kanopi"), "PER-M2",
   $F160="Teralis", "PER-LUBANG",
   OR($F160="Railing", $F160="Railing/Balkon"), "PER-M",
   TRUE, ""
)</f>
        <v>PER-M2</v>
      </c>
      <c r="N160" cm="1">
        <f t="array" ref="N160">IF($M160="PER-M2",
  IFERROR(
     _xlfn.IFS(
        $G160="Hollow",
            INDEX('Referensi Harga'!$C:$C,
                  MATCH($F160&amp;$C160,'Referensi Harga'!$A:$A&amp;'Referensi Harga'!$B:$B,0)),
        $G160="Hollow Stainless",
            INDEX('Referensi Harga'!$D:$D,
                  MATCH($F160&amp;$C160,'Referensi Harga'!$A:$A&amp;'Referensi Harga'!$B:$B,0)),
        $G160="Pipa Stainless",
            INDEX('Referensi Harga'!$E:$E,
                  MATCH($F160&amp;$C160,'Referensi Harga'!$A:$A&amp;'Referensi Harga'!$B:$B,0))
     ),0)
  + IFERROR(VLOOKUP($H160,'Profile Size'!$A:$B,2,FALSE),0)
  + IFERROR(VLOOKUP($I160,'Ketebalan Material'!$A:$B,2,FALSE),0),
0)</f>
        <v>1100000</v>
      </c>
      <c r="O160">
        <f>IF($M160="PER-M",
  IFERROR(
    IF($G160="Hollow",
       INDEX('Referensi Harga'!$C:$C, MATCH($F160 &amp; "|" &amp; $C160, 'Referensi Harga'!$F:$F, 0)),
    IF($G160="Hollow Stainless",
       INDEX('Referensi Harga'!$D:$D, MATCH($F160 &amp; "|" &amp; $C160, 'Referensi Harga'!$F:$F, 0)),
       INDEX('Referensi Harga'!$E:$E, MATCH($F160 &amp; "|" &amp; $C160, 'Referensi Harga'!$F:$F, 0))
    ))
    + IFERROR(VLOOKUP($H160, 'Profile Size'!$A:$B, 2, FALSE), 0)
    + IFERROR(VLOOKUP($I160, 'Ketebalan Material'!$A:$B, 2, FALSE), 0), 0),
0)</f>
        <v>0</v>
      </c>
      <c r="P160" cm="1">
        <f t="array" ref="P160">IF($M160="PER-LUBANG",
  IFERROR(
     _xlfn.IFS(
        $G160="Hollow",
            INDEX('Referensi Harga'!$C:$C,
                  MATCH($F160&amp;$C160,'Referensi Harga'!$A:$A&amp;'Referensi Harga'!$B:$B,0)),
        $G160="Hollow Stainless",
            INDEX('Referensi Harga'!$D:$D,
                  MATCH($F160&amp;$C160,'Referensi Harga'!$A:$A&amp;'Referensi Harga'!$B:$B,0)),
        $G160="Pipa Stainless",
            INDEX('Referensi Harga'!$E:$E,
                  MATCH($F160&amp;$C160,'Referensi Harga'!$A:$A&amp;'Referensi Harga'!$B:$B,0))
     ),0)
  + IFERROR(VLOOKUP($H160,'Profile Size'!$A:$B,2,FALSE),0)
  + IFERROR(VLOOKUP($I160,'Ketebalan Material'!$A:$B,2,FALSE),0),
0)</f>
        <v>0</v>
      </c>
      <c r="Q160">
        <f>IF($M160="PER-M2",
    IFERROR(
        SUMIFS('Upah Tenaga Ahli'!$C:$C,
               'Upah Tenaga Ahli'!$A:$A,"PER-M2",
               'Upah Tenaga Ahli'!$B:$B,$G160
        ) * $J160 * $K160,
    0),
IF($M160="PER-LUBANG",
    IFERROR(
        SUMIFS('Upah Tenaga Ahli'!$D:$D,
               'Upah Tenaga Ahli'!$A:$A,"PER-LUBANG",
               'Upah Tenaga Ahli'!$B:$B,$G160
        ) * $L160 * $K160,
    0),
IF($M160="PER-M",
    IFERROR(
        SUMIFS('Upah Tenaga Ahli'!$E:$E,
               'Upah Tenaga Ahli'!$A:$A,"PER-M",
               'Upah Tenaga Ahli'!$B:$B,$G160
        ) * $J160 * $K160,
    0),
0)))</f>
        <v>2863500</v>
      </c>
      <c r="R160" t="s">
        <v>617</v>
      </c>
      <c r="S160" t="s">
        <v>24</v>
      </c>
      <c r="T160">
        <f>IF($M160="PER-M2",
   ($N160 * $J160 * $K160)
   + IFERROR(VLOOKUP($R160,Finishing!A:B,2,FALSE),0)
   + IFERROR(VLOOKUP($S160,Kerumitan!A:B,2,FALSE),0),
IF($M160="PER-LUBANG",
   ($P160 * $L160 * $K160)
   + IFERROR(VLOOKUP($R160,Finishing!A:B,2,FALSE),0)
   + IFERROR(VLOOKUP($S160,Kerumitan!A:B,2,FALSE),0),
IF($M160="PER-M",
   ($O160 * $J160 * $K160)
   + IFERROR(VLOOKUP($R160,Finishing!A:B,2,FALSE),0)
   + IFERROR(VLOOKUP($S160,Kerumitan!A:B,2,FALSE),0),
0)))</f>
        <v>21099000</v>
      </c>
    </row>
    <row r="161" spans="1:20" x14ac:dyDescent="0.45">
      <c r="A161" t="s">
        <v>250</v>
      </c>
      <c r="B161" s="5">
        <v>44878</v>
      </c>
      <c r="C161">
        <f t="shared" si="2"/>
        <v>2022</v>
      </c>
      <c r="D161" t="s">
        <v>251</v>
      </c>
      <c r="E161" t="s">
        <v>61</v>
      </c>
      <c r="F161" t="s">
        <v>4</v>
      </c>
      <c r="G161" t="s">
        <v>14</v>
      </c>
      <c r="H161" t="s">
        <v>612</v>
      </c>
      <c r="I161">
        <v>1.2</v>
      </c>
      <c r="J161">
        <v>22.51</v>
      </c>
      <c r="K161">
        <v>1</v>
      </c>
      <c r="L161">
        <v>0</v>
      </c>
      <c r="M161" t="str" cm="1">
        <f t="array" ref="M161">_xlfn.IFS(
   OR($F161="Pagar", $F161="Pintu Gerbang", $F161="Pintu Handerson", $F161="Kanopi"), "PER-M2",
   $F161="Teralis", "PER-LUBANG",
   OR($F161="Railing", $F161="Railing/Balkon"), "PER-M",
   TRUE, ""
)</f>
        <v>PER-M2</v>
      </c>
      <c r="N161" cm="1">
        <f t="array" ref="N161">IF($M161="PER-M2",
  IFERROR(
     _xlfn.IFS(
        $G161="Hollow",
            INDEX('Referensi Harga'!$C:$C,
                  MATCH($F161&amp;$C161,'Referensi Harga'!$A:$A&amp;'Referensi Harga'!$B:$B,0)),
        $G161="Hollow Stainless",
            INDEX('Referensi Harga'!$D:$D,
                  MATCH($F161&amp;$C161,'Referensi Harga'!$A:$A&amp;'Referensi Harga'!$B:$B,0)),
        $G161="Pipa Stainless",
            INDEX('Referensi Harga'!$E:$E,
                  MATCH($F161&amp;$C161,'Referensi Harga'!$A:$A&amp;'Referensi Harga'!$B:$B,0))
     ),0)
  + IFERROR(VLOOKUP($H161,'Profile Size'!$A:$B,2,FALSE),0)
  + IFERROR(VLOOKUP($I161,'Ketebalan Material'!$A:$B,2,FALSE),0),
0)</f>
        <v>1020000</v>
      </c>
      <c r="O161">
        <f>IF($M161="PER-M",
  IFERROR(
    IF($G161="Hollow",
       INDEX('Referensi Harga'!$C:$C, MATCH($F161 &amp; "|" &amp; $C161, 'Referensi Harga'!$F:$F, 0)),
    IF($G161="Hollow Stainless",
       INDEX('Referensi Harga'!$D:$D, MATCH($F161 &amp; "|" &amp; $C161, 'Referensi Harga'!$F:$F, 0)),
       INDEX('Referensi Harga'!$E:$E, MATCH($F161 &amp; "|" &amp; $C161, 'Referensi Harga'!$F:$F, 0))
    ))
    + IFERROR(VLOOKUP($H161, 'Profile Size'!$A:$B, 2, FALSE), 0)
    + IFERROR(VLOOKUP($I161, 'Ketebalan Material'!$A:$B, 2, FALSE), 0), 0),
0)</f>
        <v>0</v>
      </c>
      <c r="P161" cm="1">
        <f t="array" ref="P161">IF($M161="PER-LUBANG",
  IFERROR(
     _xlfn.IFS(
        $G161="Hollow",
            INDEX('Referensi Harga'!$C:$C,
                  MATCH($F161&amp;$C161,'Referensi Harga'!$A:$A&amp;'Referensi Harga'!$B:$B,0)),
        $G161="Hollow Stainless",
            INDEX('Referensi Harga'!$D:$D,
                  MATCH($F161&amp;$C161,'Referensi Harga'!$A:$A&amp;'Referensi Harga'!$B:$B,0)),
        $G161="Pipa Stainless",
            INDEX('Referensi Harga'!$E:$E,
                  MATCH($F161&amp;$C161,'Referensi Harga'!$A:$A&amp;'Referensi Harga'!$B:$B,0))
     ),0)
  + IFERROR(VLOOKUP($H161,'Profile Size'!$A:$B,2,FALSE),0)
  + IFERROR(VLOOKUP($I161,'Ketebalan Material'!$A:$B,2,FALSE),0),
0)</f>
        <v>0</v>
      </c>
      <c r="Q161">
        <f>IF($M161="PER-M2",
    IFERROR(
        SUMIFS('Upah Tenaga Ahli'!$C:$C,
               'Upah Tenaga Ahli'!$A:$A,"PER-M2",
               'Upah Tenaga Ahli'!$B:$B,$G161
        ) * $J161 * $K161,
    0),
IF($M161="PER-LUBANG",
    IFERROR(
        SUMIFS('Upah Tenaga Ahli'!$D:$D,
               'Upah Tenaga Ahli'!$A:$A,"PER-LUBANG",
               'Upah Tenaga Ahli'!$B:$B,$G161
        ) * $L161 * $K161,
    0),
IF($M161="PER-M",
    IFERROR(
        SUMIFS('Upah Tenaga Ahli'!$E:$E,
               'Upah Tenaga Ahli'!$A:$A,"PER-M",
               'Upah Tenaga Ahli'!$B:$B,$G161
        ) * $J161 * $K161,
    0),
0)))</f>
        <v>4502000</v>
      </c>
      <c r="R161" t="s">
        <v>617</v>
      </c>
      <c r="S161" t="s">
        <v>24</v>
      </c>
      <c r="T161">
        <f>IF($M161="PER-M2",
   ($N161 * $J161 * $K161)
   + IFERROR(VLOOKUP($R161,Finishing!A:B,2,FALSE),0)
   + IFERROR(VLOOKUP($S161,Kerumitan!A:B,2,FALSE),0),
IF($M161="PER-LUBANG",
   ($P161 * $L161 * $K161)
   + IFERROR(VLOOKUP($R161,Finishing!A:B,2,FALSE),0)
   + IFERROR(VLOOKUP($S161,Kerumitan!A:B,2,FALSE),0),
IF($M161="PER-M",
   ($O161 * $J161 * $K161)
   + IFERROR(VLOOKUP($R161,Finishing!A:B,2,FALSE),0)
   + IFERROR(VLOOKUP($S161,Kerumitan!A:B,2,FALSE),0),
0)))</f>
        <v>23060200</v>
      </c>
    </row>
    <row r="162" spans="1:20" x14ac:dyDescent="0.45">
      <c r="A162" t="s">
        <v>252</v>
      </c>
      <c r="B162" s="5">
        <v>45261</v>
      </c>
      <c r="C162">
        <f t="shared" si="2"/>
        <v>2023</v>
      </c>
      <c r="D162" t="s">
        <v>73</v>
      </c>
      <c r="E162" t="s">
        <v>41</v>
      </c>
      <c r="F162" t="s">
        <v>7</v>
      </c>
      <c r="G162" t="s">
        <v>13</v>
      </c>
      <c r="H162" t="s">
        <v>35</v>
      </c>
      <c r="I162">
        <v>0.8</v>
      </c>
      <c r="J162">
        <v>6.52</v>
      </c>
      <c r="K162">
        <v>1</v>
      </c>
      <c r="L162">
        <v>0</v>
      </c>
      <c r="M162" t="str" cm="1">
        <f t="array" ref="M162">_xlfn.IFS(
   OR($F162="Pagar", $F162="Pintu Gerbang", $F162="Pintu Handerson", $F162="Kanopi"), "PER-M2",
   $F162="Teralis", "PER-LUBANG",
   OR($F162="Railing", $F162="Railing/Balkon"), "PER-M",
   TRUE, ""
)</f>
        <v>PER-M2</v>
      </c>
      <c r="N162" cm="1">
        <f t="array" ref="N162">IF($M162="PER-M2",
  IFERROR(
     _xlfn.IFS(
        $G162="Hollow",
            INDEX('Referensi Harga'!$C:$C,
                  MATCH($F162&amp;$C162,'Referensi Harga'!$A:$A&amp;'Referensi Harga'!$B:$B,0)),
        $G162="Hollow Stainless",
            INDEX('Referensi Harga'!$D:$D,
                  MATCH($F162&amp;$C162,'Referensi Harga'!$A:$A&amp;'Referensi Harga'!$B:$B,0)),
        $G162="Pipa Stainless",
            INDEX('Referensi Harga'!$E:$E,
                  MATCH($F162&amp;$C162,'Referensi Harga'!$A:$A&amp;'Referensi Harga'!$B:$B,0))
     ),0)
  + IFERROR(VLOOKUP($H162,'Profile Size'!$A:$B,2,FALSE),0)
  + IFERROR(VLOOKUP($I162,'Ketebalan Material'!$A:$B,2,FALSE),0),
0)</f>
        <v>800000</v>
      </c>
      <c r="O162">
        <f>IF($M162="PER-M",
  IFERROR(
    IF($G162="Hollow",
       INDEX('Referensi Harga'!$C:$C, MATCH($F162 &amp; "|" &amp; $C162, 'Referensi Harga'!$F:$F, 0)),
    IF($G162="Hollow Stainless",
       INDEX('Referensi Harga'!$D:$D, MATCH($F162 &amp; "|" &amp; $C162, 'Referensi Harga'!$F:$F, 0)),
       INDEX('Referensi Harga'!$E:$E, MATCH($F162 &amp; "|" &amp; $C162, 'Referensi Harga'!$F:$F, 0))
    ))
    + IFERROR(VLOOKUP($H162, 'Profile Size'!$A:$B, 2, FALSE), 0)
    + IFERROR(VLOOKUP($I162, 'Ketebalan Material'!$A:$B, 2, FALSE), 0), 0),
0)</f>
        <v>0</v>
      </c>
      <c r="P162" cm="1">
        <f t="array" ref="P162">IF($M162="PER-LUBANG",
  IFERROR(
     _xlfn.IFS(
        $G162="Hollow",
            INDEX('Referensi Harga'!$C:$C,
                  MATCH($F162&amp;$C162,'Referensi Harga'!$A:$A&amp;'Referensi Harga'!$B:$B,0)),
        $G162="Hollow Stainless",
            INDEX('Referensi Harga'!$D:$D,
                  MATCH($F162&amp;$C162,'Referensi Harga'!$A:$A&amp;'Referensi Harga'!$B:$B,0)),
        $G162="Pipa Stainless",
            INDEX('Referensi Harga'!$E:$E,
                  MATCH($F162&amp;$C162,'Referensi Harga'!$A:$A&amp;'Referensi Harga'!$B:$B,0))
     ),0)
  + IFERROR(VLOOKUP($H162,'Profile Size'!$A:$B,2,FALSE),0)
  + IFERROR(VLOOKUP($I162,'Ketebalan Material'!$A:$B,2,FALSE),0),
0)</f>
        <v>0</v>
      </c>
      <c r="Q162">
        <f>IF($M162="PER-M2",
    IFERROR(
        SUMIFS('Upah Tenaga Ahli'!$C:$C,
               'Upah Tenaga Ahli'!$A:$A,"PER-M2",
               'Upah Tenaga Ahli'!$B:$B,$G162
        ) * $J162 * $K162,
    0),
IF($M162="PER-LUBANG",
    IFERROR(
        SUMIFS('Upah Tenaga Ahli'!$D:$D,
               'Upah Tenaga Ahli'!$A:$A,"PER-LUBANG",
               'Upah Tenaga Ahli'!$B:$B,$G162
        ) * $L162 * $K162,
    0),
IF($M162="PER-M",
    IFERROR(
        SUMIFS('Upah Tenaga Ahli'!$E:$E,
               'Upah Tenaga Ahli'!$A:$A,"PER-M",
               'Upah Tenaga Ahli'!$B:$B,$G162
        ) * $J162 * $K162,
    0),
0)))</f>
        <v>652000</v>
      </c>
      <c r="R162" t="s">
        <v>20</v>
      </c>
      <c r="S162" t="s">
        <v>24</v>
      </c>
      <c r="T162">
        <f>IF($M162="PER-M2",
   ($N162 * $J162 * $K162)
   + IFERROR(VLOOKUP($R162,Finishing!A:B,2,FALSE),0)
   + IFERROR(VLOOKUP($S162,Kerumitan!A:B,2,FALSE),0),
IF($M162="PER-LUBANG",
   ($P162 * $L162 * $K162)
   + IFERROR(VLOOKUP($R162,Finishing!A:B,2,FALSE),0)
   + IFERROR(VLOOKUP($S162,Kerumitan!A:B,2,FALSE),0),
IF($M162="PER-M",
   ($O162 * $J162 * $K162)
   + IFERROR(VLOOKUP($R162,Finishing!A:B,2,FALSE),0)
   + IFERROR(VLOOKUP($S162,Kerumitan!A:B,2,FALSE),0),
0)))</f>
        <v>5466000</v>
      </c>
    </row>
    <row r="163" spans="1:20" x14ac:dyDescent="0.45">
      <c r="A163" t="s">
        <v>253</v>
      </c>
      <c r="B163" s="5">
        <v>44869</v>
      </c>
      <c r="C163">
        <f t="shared" si="2"/>
        <v>2022</v>
      </c>
      <c r="D163" t="s">
        <v>53</v>
      </c>
      <c r="E163" t="s">
        <v>108</v>
      </c>
      <c r="F163" t="s">
        <v>7</v>
      </c>
      <c r="G163" t="s">
        <v>13</v>
      </c>
      <c r="H163" t="s">
        <v>33</v>
      </c>
      <c r="I163">
        <v>1.2</v>
      </c>
      <c r="J163">
        <v>6.4</v>
      </c>
      <c r="K163">
        <v>1</v>
      </c>
      <c r="L163">
        <v>0</v>
      </c>
      <c r="M163" t="str" cm="1">
        <f t="array" ref="M163">_xlfn.IFS(
   OR($F163="Pagar", $F163="Pintu Gerbang", $F163="Pintu Handerson", $F163="Kanopi"), "PER-M2",
   $F163="Teralis", "PER-LUBANG",
   OR($F163="Railing", $F163="Railing/Balkon"), "PER-M",
   TRUE, ""
)</f>
        <v>PER-M2</v>
      </c>
      <c r="N163" cm="1">
        <f t="array" ref="N163">IF($M163="PER-M2",
  IFERROR(
     _xlfn.IFS(
        $G163="Hollow",
            INDEX('Referensi Harga'!$C:$C,
                  MATCH($F163&amp;$C163,'Referensi Harga'!$A:$A&amp;'Referensi Harga'!$B:$B,0)),
        $G163="Hollow Stainless",
            INDEX('Referensi Harga'!$D:$D,
                  MATCH($F163&amp;$C163,'Referensi Harga'!$A:$A&amp;'Referensi Harga'!$B:$B,0)),
        $G163="Pipa Stainless",
            INDEX('Referensi Harga'!$E:$E,
                  MATCH($F163&amp;$C163,'Referensi Harga'!$A:$A&amp;'Referensi Harga'!$B:$B,0))
     ),0)
  + IFERROR(VLOOKUP($H163,'Profile Size'!$A:$B,2,FALSE),0)
  + IFERROR(VLOOKUP($I163,'Ketebalan Material'!$A:$B,2,FALSE),0),
0)</f>
        <v>750000</v>
      </c>
      <c r="O163">
        <f>IF($M163="PER-M",
  IFERROR(
    IF($G163="Hollow",
       INDEX('Referensi Harga'!$C:$C, MATCH($F163 &amp; "|" &amp; $C163, 'Referensi Harga'!$F:$F, 0)),
    IF($G163="Hollow Stainless",
       INDEX('Referensi Harga'!$D:$D, MATCH($F163 &amp; "|" &amp; $C163, 'Referensi Harga'!$F:$F, 0)),
       INDEX('Referensi Harga'!$E:$E, MATCH($F163 &amp; "|" &amp; $C163, 'Referensi Harga'!$F:$F, 0))
    ))
    + IFERROR(VLOOKUP($H163, 'Profile Size'!$A:$B, 2, FALSE), 0)
    + IFERROR(VLOOKUP($I163, 'Ketebalan Material'!$A:$B, 2, FALSE), 0), 0),
0)</f>
        <v>0</v>
      </c>
      <c r="P163" cm="1">
        <f t="array" ref="P163">IF($M163="PER-LUBANG",
  IFERROR(
     _xlfn.IFS(
        $G163="Hollow",
            INDEX('Referensi Harga'!$C:$C,
                  MATCH($F163&amp;$C163,'Referensi Harga'!$A:$A&amp;'Referensi Harga'!$B:$B,0)),
        $G163="Hollow Stainless",
            INDEX('Referensi Harga'!$D:$D,
                  MATCH($F163&amp;$C163,'Referensi Harga'!$A:$A&amp;'Referensi Harga'!$B:$B,0)),
        $G163="Pipa Stainless",
            INDEX('Referensi Harga'!$E:$E,
                  MATCH($F163&amp;$C163,'Referensi Harga'!$A:$A&amp;'Referensi Harga'!$B:$B,0))
     ),0)
  + IFERROR(VLOOKUP($H163,'Profile Size'!$A:$B,2,FALSE),0)
  + IFERROR(VLOOKUP($I163,'Ketebalan Material'!$A:$B,2,FALSE),0),
0)</f>
        <v>0</v>
      </c>
      <c r="Q163">
        <f>IF($M163="PER-M2",
    IFERROR(
        SUMIFS('Upah Tenaga Ahli'!$C:$C,
               'Upah Tenaga Ahli'!$A:$A,"PER-M2",
               'Upah Tenaga Ahli'!$B:$B,$G163
        ) * $J163 * $K163,
    0),
IF($M163="PER-LUBANG",
    IFERROR(
        SUMIFS('Upah Tenaga Ahli'!$D:$D,
               'Upah Tenaga Ahli'!$A:$A,"PER-LUBANG",
               'Upah Tenaga Ahli'!$B:$B,$G163
        ) * $L163 * $K163,
    0),
IF($M163="PER-M",
    IFERROR(
        SUMIFS('Upah Tenaga Ahli'!$E:$E,
               'Upah Tenaga Ahli'!$A:$A,"PER-M",
               'Upah Tenaga Ahli'!$B:$B,$G163
        ) * $J163 * $K163,
    0),
0)))</f>
        <v>640000</v>
      </c>
      <c r="R163" t="s">
        <v>19</v>
      </c>
      <c r="S163" t="s">
        <v>23</v>
      </c>
      <c r="T163">
        <f>IF($M163="PER-M2",
   ($N163 * $J163 * $K163)
   + IFERROR(VLOOKUP($R163,Finishing!A:B,2,FALSE),0)
   + IFERROR(VLOOKUP($S163,Kerumitan!A:B,2,FALSE),0),
IF($M163="PER-LUBANG",
   ($P163 * $L163 * $K163)
   + IFERROR(VLOOKUP($R163,Finishing!A:B,2,FALSE),0)
   + IFERROR(VLOOKUP($S163,Kerumitan!A:B,2,FALSE),0),
IF($M163="PER-M",
   ($O163 * $J163 * $K163)
   + IFERROR(VLOOKUP($R163,Finishing!A:B,2,FALSE),0)
   + IFERROR(VLOOKUP($S163,Kerumitan!A:B,2,FALSE),0),
0)))</f>
        <v>4850000</v>
      </c>
    </row>
    <row r="164" spans="1:20" x14ac:dyDescent="0.45">
      <c r="A164" t="s">
        <v>254</v>
      </c>
      <c r="B164" s="5">
        <v>44205</v>
      </c>
      <c r="C164">
        <f t="shared" si="2"/>
        <v>2021</v>
      </c>
      <c r="D164" t="s">
        <v>71</v>
      </c>
      <c r="E164" t="s">
        <v>38</v>
      </c>
      <c r="F164" t="s">
        <v>625</v>
      </c>
      <c r="G164" t="s">
        <v>13</v>
      </c>
      <c r="H164" t="s">
        <v>46</v>
      </c>
      <c r="I164">
        <v>0.8</v>
      </c>
      <c r="J164">
        <v>14.41</v>
      </c>
      <c r="K164">
        <v>1</v>
      </c>
      <c r="L164">
        <v>0</v>
      </c>
      <c r="M164" t="str" cm="1">
        <f t="array" ref="M164">_xlfn.IFS(
   OR($F164="Pagar", $F164="Pintu Gerbang", $F164="Pintu Handerson", $F164="Kanopi"), "PER-M2",
   $F164="Teralis", "PER-LUBANG",
   OR($F164="Railing", $F164="Railing/Balkon"), "PER-M",
   TRUE, ""
)</f>
        <v>PER-M</v>
      </c>
      <c r="N164" cm="1">
        <f t="array" ref="N164">IF($M164="PER-M2",
  IFERROR(
     _xlfn.IFS(
        $G164="Hollow",
            INDEX('Referensi Harga'!$C:$C,
                  MATCH($F164&amp;$C164,'Referensi Harga'!$A:$A&amp;'Referensi Harga'!$B:$B,0)),
        $G164="Hollow Stainless",
            INDEX('Referensi Harga'!$D:$D,
                  MATCH($F164&amp;$C164,'Referensi Harga'!$A:$A&amp;'Referensi Harga'!$B:$B,0)),
        $G164="Pipa Stainless",
            INDEX('Referensi Harga'!$E:$E,
                  MATCH($F164&amp;$C164,'Referensi Harga'!$A:$A&amp;'Referensi Harga'!$B:$B,0))
     ),0)
  + IFERROR(VLOOKUP($H164,'Profile Size'!$A:$B,2,FALSE),0)
  + IFERROR(VLOOKUP($I164,'Ketebalan Material'!$A:$B,2,FALSE),0),
0)</f>
        <v>0</v>
      </c>
      <c r="O164">
        <f>IF($M164="PER-M",
  IFERROR(
    IF($G164="Hollow",
       INDEX('Referensi Harga'!$C:$C, MATCH($F164 &amp; "|" &amp; $C164, 'Referensi Harga'!$F:$F, 0)),
    IF($G164="Hollow Stainless",
       INDEX('Referensi Harga'!$D:$D, MATCH($F164 &amp; "|" &amp; $C164, 'Referensi Harga'!$F:$F, 0)),
       INDEX('Referensi Harga'!$E:$E, MATCH($F164 &amp; "|" &amp; $C164, 'Referensi Harga'!$F:$F, 0))
    ))
    + IFERROR(VLOOKUP($H164, 'Profile Size'!$A:$B, 2, FALSE), 0)
    + IFERROR(VLOOKUP($I164, 'Ketebalan Material'!$A:$B, 2, FALSE), 0), 0),
0)</f>
        <v>500000</v>
      </c>
      <c r="P164" cm="1">
        <f t="array" ref="P164">IF($M164="PER-LUBANG",
  IFERROR(
     _xlfn.IFS(
        $G164="Hollow",
            INDEX('Referensi Harga'!$C:$C,
                  MATCH($F164&amp;$C164,'Referensi Harga'!$A:$A&amp;'Referensi Harga'!$B:$B,0)),
        $G164="Hollow Stainless",
            INDEX('Referensi Harga'!$D:$D,
                  MATCH($F164&amp;$C164,'Referensi Harga'!$A:$A&amp;'Referensi Harga'!$B:$B,0)),
        $G164="Pipa Stainless",
            INDEX('Referensi Harga'!$E:$E,
                  MATCH($F164&amp;$C164,'Referensi Harga'!$A:$A&amp;'Referensi Harga'!$B:$B,0))
     ),0)
  + IFERROR(VLOOKUP($H164,'Profile Size'!$A:$B,2,FALSE),0)
  + IFERROR(VLOOKUP($I164,'Ketebalan Material'!$A:$B,2,FALSE),0),
0)</f>
        <v>0</v>
      </c>
      <c r="Q164">
        <f>IF($M164="PER-M2",
    IFERROR(
        SUMIFS('Upah Tenaga Ahli'!$C:$C,
               'Upah Tenaga Ahli'!$A:$A,"PER-M2",
               'Upah Tenaga Ahli'!$B:$B,$G164
        ) * $J164 * $K164,
    0),
IF($M164="PER-LUBANG",
    IFERROR(
        SUMIFS('Upah Tenaga Ahli'!$D:$D,
               'Upah Tenaga Ahli'!$A:$A,"PER-LUBANG",
               'Upah Tenaga Ahli'!$B:$B,$G164
        ) * $L164 * $K164,
    0),
IF($M164="PER-M",
    IFERROR(
        SUMIFS('Upah Tenaga Ahli'!$E:$E,
               'Upah Tenaga Ahli'!$A:$A,"PER-M",
               'Upah Tenaga Ahli'!$B:$B,$G164
        ) * $J164 * $K164,
    0),
0)))</f>
        <v>1441000</v>
      </c>
      <c r="R164" t="s">
        <v>18</v>
      </c>
      <c r="S164" t="s">
        <v>23</v>
      </c>
      <c r="T164">
        <f>IF($M164="PER-M2",
   ($N164 * $J164 * $K164)
   + IFERROR(VLOOKUP($R164,Finishing!A:B,2,FALSE),0)
   + IFERROR(VLOOKUP($S164,Kerumitan!A:B,2,FALSE),0),
IF($M164="PER-LUBANG",
   ($P164 * $L164 * $K164)
   + IFERROR(VLOOKUP($R164,Finishing!A:B,2,FALSE),0)
   + IFERROR(VLOOKUP($S164,Kerumitan!A:B,2,FALSE),0),
IF($M164="PER-M",
   ($O164 * $J164 * $K164)
   + IFERROR(VLOOKUP($R164,Finishing!A:B,2,FALSE),0)
   + IFERROR(VLOOKUP($S164,Kerumitan!A:B,2,FALSE),0),
0)))</f>
        <v>7205000</v>
      </c>
    </row>
    <row r="165" spans="1:20" x14ac:dyDescent="0.45">
      <c r="A165" t="s">
        <v>255</v>
      </c>
      <c r="B165" s="5">
        <v>45207</v>
      </c>
      <c r="C165">
        <f t="shared" si="2"/>
        <v>2023</v>
      </c>
      <c r="D165" t="s">
        <v>73</v>
      </c>
      <c r="E165" t="s">
        <v>54</v>
      </c>
      <c r="F165" t="s">
        <v>7</v>
      </c>
      <c r="G165" t="s">
        <v>14</v>
      </c>
      <c r="H165" t="s">
        <v>615</v>
      </c>
      <c r="I165">
        <v>1</v>
      </c>
      <c r="J165">
        <v>11.97</v>
      </c>
      <c r="K165">
        <v>1</v>
      </c>
      <c r="L165">
        <v>0</v>
      </c>
      <c r="M165" t="str" cm="1">
        <f t="array" ref="M165">_xlfn.IFS(
   OR($F165="Pagar", $F165="Pintu Gerbang", $F165="Pintu Handerson", $F165="Kanopi"), "PER-M2",
   $F165="Teralis", "PER-LUBANG",
   OR($F165="Railing", $F165="Railing/Balkon"), "PER-M",
   TRUE, ""
)</f>
        <v>PER-M2</v>
      </c>
      <c r="N165" cm="1">
        <f t="array" ref="N165">IF($M165="PER-M2",
  IFERROR(
     _xlfn.IFS(
        $G165="Hollow",
            INDEX('Referensi Harga'!$C:$C,
                  MATCH($F165&amp;$C165,'Referensi Harga'!$A:$A&amp;'Referensi Harga'!$B:$B,0)),
        $G165="Hollow Stainless",
            INDEX('Referensi Harga'!$D:$D,
                  MATCH($F165&amp;$C165,'Referensi Harga'!$A:$A&amp;'Referensi Harga'!$B:$B,0)),
        $G165="Pipa Stainless",
            INDEX('Referensi Harga'!$E:$E,
                  MATCH($F165&amp;$C165,'Referensi Harga'!$A:$A&amp;'Referensi Harga'!$B:$B,0))
     ),0)
  + IFERROR(VLOOKUP($H165,'Profile Size'!$A:$B,2,FALSE),0)
  + IFERROR(VLOOKUP($I165,'Ketebalan Material'!$A:$B,2,FALSE),0),
0)</f>
        <v>1300000</v>
      </c>
      <c r="O165">
        <f>IF($M165="PER-M",
  IFERROR(
    IF($G165="Hollow",
       INDEX('Referensi Harga'!$C:$C, MATCH($F165 &amp; "|" &amp; $C165, 'Referensi Harga'!$F:$F, 0)),
    IF($G165="Hollow Stainless",
       INDEX('Referensi Harga'!$D:$D, MATCH($F165 &amp; "|" &amp; $C165, 'Referensi Harga'!$F:$F, 0)),
       INDEX('Referensi Harga'!$E:$E, MATCH($F165 &amp; "|" &amp; $C165, 'Referensi Harga'!$F:$F, 0))
    ))
    + IFERROR(VLOOKUP($H165, 'Profile Size'!$A:$B, 2, FALSE), 0)
    + IFERROR(VLOOKUP($I165, 'Ketebalan Material'!$A:$B, 2, FALSE), 0), 0),
0)</f>
        <v>0</v>
      </c>
      <c r="P165" cm="1">
        <f t="array" ref="P165">IF($M165="PER-LUBANG",
  IFERROR(
     _xlfn.IFS(
        $G165="Hollow",
            INDEX('Referensi Harga'!$C:$C,
                  MATCH($F165&amp;$C165,'Referensi Harga'!$A:$A&amp;'Referensi Harga'!$B:$B,0)),
        $G165="Hollow Stainless",
            INDEX('Referensi Harga'!$D:$D,
                  MATCH($F165&amp;$C165,'Referensi Harga'!$A:$A&amp;'Referensi Harga'!$B:$B,0)),
        $G165="Pipa Stainless",
            INDEX('Referensi Harga'!$E:$E,
                  MATCH($F165&amp;$C165,'Referensi Harga'!$A:$A&amp;'Referensi Harga'!$B:$B,0))
     ),0)
  + IFERROR(VLOOKUP($H165,'Profile Size'!$A:$B,2,FALSE),0)
  + IFERROR(VLOOKUP($I165,'Ketebalan Material'!$A:$B,2,FALSE),0),
0)</f>
        <v>0</v>
      </c>
      <c r="Q165">
        <f>IF($M165="PER-M2",
    IFERROR(
        SUMIFS('Upah Tenaga Ahli'!$C:$C,
               'Upah Tenaga Ahli'!$A:$A,"PER-M2",
               'Upah Tenaga Ahli'!$B:$B,$G165
        ) * $J165 * $K165,
    0),
IF($M165="PER-LUBANG",
    IFERROR(
        SUMIFS('Upah Tenaga Ahli'!$D:$D,
               'Upah Tenaga Ahli'!$A:$A,"PER-LUBANG",
               'Upah Tenaga Ahli'!$B:$B,$G165
        ) * $L165 * $K165,
    0),
IF($M165="PER-M",
    IFERROR(
        SUMIFS('Upah Tenaga Ahli'!$E:$E,
               'Upah Tenaga Ahli'!$A:$A,"PER-M",
               'Upah Tenaga Ahli'!$B:$B,$G165
        ) * $J165 * $K165,
    0),
0)))</f>
        <v>2394000</v>
      </c>
      <c r="R165" t="s">
        <v>617</v>
      </c>
      <c r="S165" t="s">
        <v>23</v>
      </c>
      <c r="T165">
        <f>IF($M165="PER-M2",
   ($N165 * $J165 * $K165)
   + IFERROR(VLOOKUP($R165,Finishing!A:B,2,FALSE),0)
   + IFERROR(VLOOKUP($S165,Kerumitan!A:B,2,FALSE),0),
IF($M165="PER-LUBANG",
   ($P165 * $L165 * $K165)
   + IFERROR(VLOOKUP($R165,Finishing!A:B,2,FALSE),0)
   + IFERROR(VLOOKUP($S165,Kerumitan!A:B,2,FALSE),0),
IF($M165="PER-M",
   ($O165 * $J165 * $K165)
   + IFERROR(VLOOKUP($R165,Finishing!A:B,2,FALSE),0)
   + IFERROR(VLOOKUP($S165,Kerumitan!A:B,2,FALSE),0),
0)))</f>
        <v>15561000</v>
      </c>
    </row>
    <row r="166" spans="1:20" x14ac:dyDescent="0.45">
      <c r="A166" t="s">
        <v>256</v>
      </c>
      <c r="B166" s="5">
        <v>43929</v>
      </c>
      <c r="C166">
        <f t="shared" si="2"/>
        <v>2020</v>
      </c>
      <c r="D166" t="s">
        <v>77</v>
      </c>
      <c r="E166" t="s">
        <v>57</v>
      </c>
      <c r="F166" t="s">
        <v>10</v>
      </c>
      <c r="G166" t="s">
        <v>15</v>
      </c>
      <c r="H166" t="s">
        <v>33</v>
      </c>
      <c r="I166">
        <v>0.8</v>
      </c>
      <c r="J166">
        <v>2.14</v>
      </c>
      <c r="K166">
        <v>2</v>
      </c>
      <c r="L166">
        <v>0</v>
      </c>
      <c r="M166" t="str" cm="1">
        <f t="array" ref="M166">_xlfn.IFS(
   OR($F166="Pagar", $F166="Pintu Gerbang", $F166="Pintu Handerson", $F166="Kanopi"), "PER-M2",
   $F166="Teralis", "PER-LUBANG",
   OR($F166="Railing", $F166="Railing/Balkon"), "PER-M",
   TRUE, ""
)</f>
        <v>PER-M2</v>
      </c>
      <c r="N166" cm="1">
        <f t="array" ref="N166">IF($M166="PER-M2",
  IFERROR(
     _xlfn.IFS(
        $G166="Hollow",
            INDEX('Referensi Harga'!$C:$C,
                  MATCH($F166&amp;$C166,'Referensi Harga'!$A:$A&amp;'Referensi Harga'!$B:$B,0)),
        $G166="Hollow Stainless",
            INDEX('Referensi Harga'!$D:$D,
                  MATCH($F166&amp;$C166,'Referensi Harga'!$A:$A&amp;'Referensi Harga'!$B:$B,0)),
        $G166="Pipa Stainless",
            INDEX('Referensi Harga'!$E:$E,
                  MATCH($F166&amp;$C166,'Referensi Harga'!$A:$A&amp;'Referensi Harga'!$B:$B,0))
     ),0)
  + IFERROR(VLOOKUP($H166,'Profile Size'!$A:$B,2,FALSE),0)
  + IFERROR(VLOOKUP($I166,'Ketebalan Material'!$A:$B,2,FALSE),0),
0)</f>
        <v>1350000</v>
      </c>
      <c r="O166">
        <f>IF($M166="PER-M",
  IFERROR(
    IF($G166="Hollow",
       INDEX('Referensi Harga'!$C:$C, MATCH($F166 &amp; "|" &amp; $C166, 'Referensi Harga'!$F:$F, 0)),
    IF($G166="Hollow Stainless",
       INDEX('Referensi Harga'!$D:$D, MATCH($F166 &amp; "|" &amp; $C166, 'Referensi Harga'!$F:$F, 0)),
       INDEX('Referensi Harga'!$E:$E, MATCH($F166 &amp; "|" &amp; $C166, 'Referensi Harga'!$F:$F, 0))
    ))
    + IFERROR(VLOOKUP($H166, 'Profile Size'!$A:$B, 2, FALSE), 0)
    + IFERROR(VLOOKUP($I166, 'Ketebalan Material'!$A:$B, 2, FALSE), 0), 0),
0)</f>
        <v>0</v>
      </c>
      <c r="P166" cm="1">
        <f t="array" ref="P166">IF($M166="PER-LUBANG",
  IFERROR(
     _xlfn.IFS(
        $G166="Hollow",
            INDEX('Referensi Harga'!$C:$C,
                  MATCH($F166&amp;$C166,'Referensi Harga'!$A:$A&amp;'Referensi Harga'!$B:$B,0)),
        $G166="Hollow Stainless",
            INDEX('Referensi Harga'!$D:$D,
                  MATCH($F166&amp;$C166,'Referensi Harga'!$A:$A&amp;'Referensi Harga'!$B:$B,0)),
        $G166="Pipa Stainless",
            INDEX('Referensi Harga'!$E:$E,
                  MATCH($F166&amp;$C166,'Referensi Harga'!$A:$A&amp;'Referensi Harga'!$B:$B,0))
     ),0)
  + IFERROR(VLOOKUP($H166,'Profile Size'!$A:$B,2,FALSE),0)
  + IFERROR(VLOOKUP($I166,'Ketebalan Material'!$A:$B,2,FALSE),0),
0)</f>
        <v>0</v>
      </c>
      <c r="Q166">
        <f>IF($M166="PER-M2",
    IFERROR(
        SUMIFS('Upah Tenaga Ahli'!$C:$C,
               'Upah Tenaga Ahli'!$A:$A,"PER-M2",
               'Upah Tenaga Ahli'!$B:$B,$G166
        ) * $J166 * $K166,
    0),
IF($M166="PER-LUBANG",
    IFERROR(
        SUMIFS('Upah Tenaga Ahli'!$D:$D,
               'Upah Tenaga Ahli'!$A:$A,"PER-LUBANG",
               'Upah Tenaga Ahli'!$B:$B,$G166
        ) * $L166 * $K166,
    0),
IF($M166="PER-M",
    IFERROR(
        SUMIFS('Upah Tenaga Ahli'!$E:$E,
               'Upah Tenaga Ahli'!$A:$A,"PER-M",
               'Upah Tenaga Ahli'!$B:$B,$G166
        ) * $J166 * $K166,
    0),
0)))</f>
        <v>642000</v>
      </c>
      <c r="R166" t="s">
        <v>617</v>
      </c>
      <c r="S166" t="s">
        <v>23</v>
      </c>
      <c r="T166">
        <f>IF($M166="PER-M2",
   ($N166 * $J166 * $K166)
   + IFERROR(VLOOKUP($R166,Finishing!A:B,2,FALSE),0)
   + IFERROR(VLOOKUP($S166,Kerumitan!A:B,2,FALSE),0),
IF($M166="PER-LUBANG",
   ($P166 * $L166 * $K166)
   + IFERROR(VLOOKUP($R166,Finishing!A:B,2,FALSE),0)
   + IFERROR(VLOOKUP($S166,Kerumitan!A:B,2,FALSE),0),
IF($M166="PER-M",
   ($O166 * $J166 * $K166)
   + IFERROR(VLOOKUP($R166,Finishing!A:B,2,FALSE),0)
   + IFERROR(VLOOKUP($S166,Kerumitan!A:B,2,FALSE),0),
0)))</f>
        <v>5778000</v>
      </c>
    </row>
    <row r="167" spans="1:20" x14ac:dyDescent="0.45">
      <c r="A167" t="s">
        <v>257</v>
      </c>
      <c r="B167" s="5">
        <v>44578</v>
      </c>
      <c r="C167">
        <f t="shared" si="2"/>
        <v>2022</v>
      </c>
      <c r="D167" t="s">
        <v>258</v>
      </c>
      <c r="E167" t="s">
        <v>121</v>
      </c>
      <c r="F167" t="s">
        <v>7</v>
      </c>
      <c r="G167" t="s">
        <v>13</v>
      </c>
      <c r="H167" t="s">
        <v>33</v>
      </c>
      <c r="I167">
        <v>1.2</v>
      </c>
      <c r="J167">
        <v>14.8</v>
      </c>
      <c r="K167">
        <v>1</v>
      </c>
      <c r="L167">
        <v>0</v>
      </c>
      <c r="M167" t="str" cm="1">
        <f t="array" ref="M167">_xlfn.IFS(
   OR($F167="Pagar", $F167="Pintu Gerbang", $F167="Pintu Handerson", $F167="Kanopi"), "PER-M2",
   $F167="Teralis", "PER-LUBANG",
   OR($F167="Railing", $F167="Railing/Balkon"), "PER-M",
   TRUE, ""
)</f>
        <v>PER-M2</v>
      </c>
      <c r="N167" cm="1">
        <f t="array" ref="N167">IF($M167="PER-M2",
  IFERROR(
     _xlfn.IFS(
        $G167="Hollow",
            INDEX('Referensi Harga'!$C:$C,
                  MATCH($F167&amp;$C167,'Referensi Harga'!$A:$A&amp;'Referensi Harga'!$B:$B,0)),
        $G167="Hollow Stainless",
            INDEX('Referensi Harga'!$D:$D,
                  MATCH($F167&amp;$C167,'Referensi Harga'!$A:$A&amp;'Referensi Harga'!$B:$B,0)),
        $G167="Pipa Stainless",
            INDEX('Referensi Harga'!$E:$E,
                  MATCH($F167&amp;$C167,'Referensi Harga'!$A:$A&amp;'Referensi Harga'!$B:$B,0))
     ),0)
  + IFERROR(VLOOKUP($H167,'Profile Size'!$A:$B,2,FALSE),0)
  + IFERROR(VLOOKUP($I167,'Ketebalan Material'!$A:$B,2,FALSE),0),
0)</f>
        <v>750000</v>
      </c>
      <c r="O167">
        <f>IF($M167="PER-M",
  IFERROR(
    IF($G167="Hollow",
       INDEX('Referensi Harga'!$C:$C, MATCH($F167 &amp; "|" &amp; $C167, 'Referensi Harga'!$F:$F, 0)),
    IF($G167="Hollow Stainless",
       INDEX('Referensi Harga'!$D:$D, MATCH($F167 &amp; "|" &amp; $C167, 'Referensi Harga'!$F:$F, 0)),
       INDEX('Referensi Harga'!$E:$E, MATCH($F167 &amp; "|" &amp; $C167, 'Referensi Harga'!$F:$F, 0))
    ))
    + IFERROR(VLOOKUP($H167, 'Profile Size'!$A:$B, 2, FALSE), 0)
    + IFERROR(VLOOKUP($I167, 'Ketebalan Material'!$A:$B, 2, FALSE), 0), 0),
0)</f>
        <v>0</v>
      </c>
      <c r="P167" cm="1">
        <f t="array" ref="P167">IF($M167="PER-LUBANG",
  IFERROR(
     _xlfn.IFS(
        $G167="Hollow",
            INDEX('Referensi Harga'!$C:$C,
                  MATCH($F167&amp;$C167,'Referensi Harga'!$A:$A&amp;'Referensi Harga'!$B:$B,0)),
        $G167="Hollow Stainless",
            INDEX('Referensi Harga'!$D:$D,
                  MATCH($F167&amp;$C167,'Referensi Harga'!$A:$A&amp;'Referensi Harga'!$B:$B,0)),
        $G167="Pipa Stainless",
            INDEX('Referensi Harga'!$E:$E,
                  MATCH($F167&amp;$C167,'Referensi Harga'!$A:$A&amp;'Referensi Harga'!$B:$B,0))
     ),0)
  + IFERROR(VLOOKUP($H167,'Profile Size'!$A:$B,2,FALSE),0)
  + IFERROR(VLOOKUP($I167,'Ketebalan Material'!$A:$B,2,FALSE),0),
0)</f>
        <v>0</v>
      </c>
      <c r="Q167">
        <f>IF($M167="PER-M2",
    IFERROR(
        SUMIFS('Upah Tenaga Ahli'!$C:$C,
               'Upah Tenaga Ahli'!$A:$A,"PER-M2",
               'Upah Tenaga Ahli'!$B:$B,$G167
        ) * $J167 * $K167,
    0),
IF($M167="PER-LUBANG",
    IFERROR(
        SUMIFS('Upah Tenaga Ahli'!$D:$D,
               'Upah Tenaga Ahli'!$A:$A,"PER-LUBANG",
               'Upah Tenaga Ahli'!$B:$B,$G167
        ) * $L167 * $K167,
    0),
IF($M167="PER-M",
    IFERROR(
        SUMIFS('Upah Tenaga Ahli'!$E:$E,
               'Upah Tenaga Ahli'!$A:$A,"PER-M",
               'Upah Tenaga Ahli'!$B:$B,$G167
        ) * $J167 * $K167,
    0),
0)))</f>
        <v>1480000</v>
      </c>
      <c r="R167" t="s">
        <v>19</v>
      </c>
      <c r="S167" t="s">
        <v>25</v>
      </c>
      <c r="T167">
        <f>IF($M167="PER-M2",
   ($N167 * $J167 * $K167)
   + IFERROR(VLOOKUP($R167,Finishing!A:B,2,FALSE),0)
   + IFERROR(VLOOKUP($S167,Kerumitan!A:B,2,FALSE),0),
IF($M167="PER-LUBANG",
   ($P167 * $L167 * $K167)
   + IFERROR(VLOOKUP($R167,Finishing!A:B,2,FALSE),0)
   + IFERROR(VLOOKUP($S167,Kerumitan!A:B,2,FALSE),0),
IF($M167="PER-M",
   ($O167 * $J167 * $K167)
   + IFERROR(VLOOKUP($R167,Finishing!A:B,2,FALSE),0)
   + IFERROR(VLOOKUP($S167,Kerumitan!A:B,2,FALSE),0),
0)))</f>
        <v>11300000</v>
      </c>
    </row>
    <row r="168" spans="1:20" x14ac:dyDescent="0.45">
      <c r="A168" t="s">
        <v>259</v>
      </c>
      <c r="B168" s="5">
        <v>44932</v>
      </c>
      <c r="C168">
        <f t="shared" si="2"/>
        <v>2023</v>
      </c>
      <c r="D168" t="s">
        <v>110</v>
      </c>
      <c r="E168" t="s">
        <v>105</v>
      </c>
      <c r="F168" t="s">
        <v>625</v>
      </c>
      <c r="G168" t="s">
        <v>13</v>
      </c>
      <c r="H168" t="s">
        <v>46</v>
      </c>
      <c r="I168">
        <v>1.2</v>
      </c>
      <c r="J168">
        <v>2.11</v>
      </c>
      <c r="K168">
        <v>2</v>
      </c>
      <c r="L168">
        <v>0</v>
      </c>
      <c r="M168" t="str" cm="1">
        <f t="array" ref="M168">_xlfn.IFS(
   OR($F168="Pagar", $F168="Pintu Gerbang", $F168="Pintu Handerson", $F168="Kanopi"), "PER-M2",
   $F168="Teralis", "PER-LUBANG",
   OR($F168="Railing", $F168="Railing/Balkon"), "PER-M",
   TRUE, ""
)</f>
        <v>PER-M</v>
      </c>
      <c r="N168" cm="1">
        <f t="array" ref="N168">IF($M168="PER-M2",
  IFERROR(
     _xlfn.IFS(
        $G168="Hollow",
            INDEX('Referensi Harga'!$C:$C,
                  MATCH($F168&amp;$C168,'Referensi Harga'!$A:$A&amp;'Referensi Harga'!$B:$B,0)),
        $G168="Hollow Stainless",
            INDEX('Referensi Harga'!$D:$D,
                  MATCH($F168&amp;$C168,'Referensi Harga'!$A:$A&amp;'Referensi Harga'!$B:$B,0)),
        $G168="Pipa Stainless",
            INDEX('Referensi Harga'!$E:$E,
                  MATCH($F168&amp;$C168,'Referensi Harga'!$A:$A&amp;'Referensi Harga'!$B:$B,0))
     ),0)
  + IFERROR(VLOOKUP($H168,'Profile Size'!$A:$B,2,FALSE),0)
  + IFERROR(VLOOKUP($I168,'Ketebalan Material'!$A:$B,2,FALSE),0),
0)</f>
        <v>0</v>
      </c>
      <c r="O168">
        <f>IF($M168="PER-M",
  IFERROR(
    IF($G168="Hollow",
       INDEX('Referensi Harga'!$C:$C, MATCH($F168 &amp; "|" &amp; $C168, 'Referensi Harga'!$F:$F, 0)),
    IF($G168="Hollow Stainless",
       INDEX('Referensi Harga'!$D:$D, MATCH($F168 &amp; "|" &amp; $C168, 'Referensi Harga'!$F:$F, 0)),
       INDEX('Referensi Harga'!$E:$E, MATCH($F168 &amp; "|" &amp; $C168, 'Referensi Harga'!$F:$F, 0))
    ))
    + IFERROR(VLOOKUP($H168, 'Profile Size'!$A:$B, 2, FALSE), 0)
    + IFERROR(VLOOKUP($I168, 'Ketebalan Material'!$A:$B, 2, FALSE), 0), 0),
0)</f>
        <v>650000</v>
      </c>
      <c r="P168" cm="1">
        <f t="array" ref="P168">IF($M168="PER-LUBANG",
  IFERROR(
     _xlfn.IFS(
        $G168="Hollow",
            INDEX('Referensi Harga'!$C:$C,
                  MATCH($F168&amp;$C168,'Referensi Harga'!$A:$A&amp;'Referensi Harga'!$B:$B,0)),
        $G168="Hollow Stainless",
            INDEX('Referensi Harga'!$D:$D,
                  MATCH($F168&amp;$C168,'Referensi Harga'!$A:$A&amp;'Referensi Harga'!$B:$B,0)),
        $G168="Pipa Stainless",
            INDEX('Referensi Harga'!$E:$E,
                  MATCH($F168&amp;$C168,'Referensi Harga'!$A:$A&amp;'Referensi Harga'!$B:$B,0))
     ),0)
  + IFERROR(VLOOKUP($H168,'Profile Size'!$A:$B,2,FALSE),0)
  + IFERROR(VLOOKUP($I168,'Ketebalan Material'!$A:$B,2,FALSE),0),
0)</f>
        <v>0</v>
      </c>
      <c r="Q168">
        <f>IF($M168="PER-M2",
    IFERROR(
        SUMIFS('Upah Tenaga Ahli'!$C:$C,
               'Upah Tenaga Ahli'!$A:$A,"PER-M2",
               'Upah Tenaga Ahli'!$B:$B,$G168
        ) * $J168 * $K168,
    0),
IF($M168="PER-LUBANG",
    IFERROR(
        SUMIFS('Upah Tenaga Ahli'!$D:$D,
               'Upah Tenaga Ahli'!$A:$A,"PER-LUBANG",
               'Upah Tenaga Ahli'!$B:$B,$G168
        ) * $L168 * $K168,
    0),
IF($M168="PER-M",
    IFERROR(
        SUMIFS('Upah Tenaga Ahli'!$E:$E,
               'Upah Tenaga Ahli'!$A:$A,"PER-M",
               'Upah Tenaga Ahli'!$B:$B,$G168
        ) * $J168 * $K168,
    0),
0)))</f>
        <v>422000</v>
      </c>
      <c r="R168" t="s">
        <v>20</v>
      </c>
      <c r="S168" t="s">
        <v>24</v>
      </c>
      <c r="T168">
        <f>IF($M168="PER-M2",
   ($N168 * $J168 * $K168)
   + IFERROR(VLOOKUP($R168,Finishing!A:B,2,FALSE),0)
   + IFERROR(VLOOKUP($S168,Kerumitan!A:B,2,FALSE),0),
IF($M168="PER-LUBANG",
   ($P168 * $L168 * $K168)
   + IFERROR(VLOOKUP($R168,Finishing!A:B,2,FALSE),0)
   + IFERROR(VLOOKUP($S168,Kerumitan!A:B,2,FALSE),0),
IF($M168="PER-M",
   ($O168 * $J168 * $K168)
   + IFERROR(VLOOKUP($R168,Finishing!A:B,2,FALSE),0)
   + IFERROR(VLOOKUP($S168,Kerumitan!A:B,2,FALSE),0),
0)))</f>
        <v>2993000</v>
      </c>
    </row>
    <row r="169" spans="1:20" x14ac:dyDescent="0.45">
      <c r="A169" t="s">
        <v>260</v>
      </c>
      <c r="B169" s="5">
        <v>44314</v>
      </c>
      <c r="C169">
        <f t="shared" si="2"/>
        <v>2021</v>
      </c>
      <c r="D169" t="s">
        <v>129</v>
      </c>
      <c r="E169" t="s">
        <v>75</v>
      </c>
      <c r="F169" t="s">
        <v>10</v>
      </c>
      <c r="G169" t="s">
        <v>14</v>
      </c>
      <c r="H169" t="s">
        <v>615</v>
      </c>
      <c r="I169">
        <v>1.2</v>
      </c>
      <c r="J169">
        <v>3.06</v>
      </c>
      <c r="K169">
        <v>2</v>
      </c>
      <c r="L169">
        <v>0</v>
      </c>
      <c r="M169" t="str" cm="1">
        <f t="array" ref="M169">_xlfn.IFS(
   OR($F169="Pagar", $F169="Pintu Gerbang", $F169="Pintu Handerson", $F169="Kanopi"), "PER-M2",
   $F169="Teralis", "PER-LUBANG",
   OR($F169="Railing", $F169="Railing/Balkon"), "PER-M",
   TRUE, ""
)</f>
        <v>PER-M2</v>
      </c>
      <c r="N169" cm="1">
        <f t="array" ref="N169">IF($M169="PER-M2",
  IFERROR(
     _xlfn.IFS(
        $G169="Hollow",
            INDEX('Referensi Harga'!$C:$C,
                  MATCH($F169&amp;$C169,'Referensi Harga'!$A:$A&amp;'Referensi Harga'!$B:$B,0)),
        $G169="Hollow Stainless",
            INDEX('Referensi Harga'!$D:$D,
                  MATCH($F169&amp;$C169,'Referensi Harga'!$A:$A&amp;'Referensi Harga'!$B:$B,0)),
        $G169="Pipa Stainless",
            INDEX('Referensi Harga'!$E:$E,
                  MATCH($F169&amp;$C169,'Referensi Harga'!$A:$A&amp;'Referensi Harga'!$B:$B,0))
     ),0)
  + IFERROR(VLOOKUP($H169,'Profile Size'!$A:$B,2,FALSE),0)
  + IFERROR(VLOOKUP($I169,'Ketebalan Material'!$A:$B,2,FALSE),0),
0)</f>
        <v>1500000</v>
      </c>
      <c r="O169">
        <f>IF($M169="PER-M",
  IFERROR(
    IF($G169="Hollow",
       INDEX('Referensi Harga'!$C:$C, MATCH($F169 &amp; "|" &amp; $C169, 'Referensi Harga'!$F:$F, 0)),
    IF($G169="Hollow Stainless",
       INDEX('Referensi Harga'!$D:$D, MATCH($F169 &amp; "|" &amp; $C169, 'Referensi Harga'!$F:$F, 0)),
       INDEX('Referensi Harga'!$E:$E, MATCH($F169 &amp; "|" &amp; $C169, 'Referensi Harga'!$F:$F, 0))
    ))
    + IFERROR(VLOOKUP($H169, 'Profile Size'!$A:$B, 2, FALSE), 0)
    + IFERROR(VLOOKUP($I169, 'Ketebalan Material'!$A:$B, 2, FALSE), 0), 0),
0)</f>
        <v>0</v>
      </c>
      <c r="P169" cm="1">
        <f t="array" ref="P169">IF($M169="PER-LUBANG",
  IFERROR(
     _xlfn.IFS(
        $G169="Hollow",
            INDEX('Referensi Harga'!$C:$C,
                  MATCH($F169&amp;$C169,'Referensi Harga'!$A:$A&amp;'Referensi Harga'!$B:$B,0)),
        $G169="Hollow Stainless",
            INDEX('Referensi Harga'!$D:$D,
                  MATCH($F169&amp;$C169,'Referensi Harga'!$A:$A&amp;'Referensi Harga'!$B:$B,0)),
        $G169="Pipa Stainless",
            INDEX('Referensi Harga'!$E:$E,
                  MATCH($F169&amp;$C169,'Referensi Harga'!$A:$A&amp;'Referensi Harga'!$B:$B,0))
     ),0)
  + IFERROR(VLOOKUP($H169,'Profile Size'!$A:$B,2,FALSE),0)
  + IFERROR(VLOOKUP($I169,'Ketebalan Material'!$A:$B,2,FALSE),0),
0)</f>
        <v>0</v>
      </c>
      <c r="Q169">
        <f>IF($M169="PER-M2",
    IFERROR(
        SUMIFS('Upah Tenaga Ahli'!$C:$C,
               'Upah Tenaga Ahli'!$A:$A,"PER-M2",
               'Upah Tenaga Ahli'!$B:$B,$G169
        ) * $J169 * $K169,
    0),
IF($M169="PER-LUBANG",
    IFERROR(
        SUMIFS('Upah Tenaga Ahli'!$D:$D,
               'Upah Tenaga Ahli'!$A:$A,"PER-LUBANG",
               'Upah Tenaga Ahli'!$B:$B,$G169
        ) * $L169 * $K169,
    0),
IF($M169="PER-M",
    IFERROR(
        SUMIFS('Upah Tenaga Ahli'!$E:$E,
               'Upah Tenaga Ahli'!$A:$A,"PER-M",
               'Upah Tenaga Ahli'!$B:$B,$G169
        ) * $J169 * $K169,
    0),
0)))</f>
        <v>1224000</v>
      </c>
      <c r="R169" t="s">
        <v>617</v>
      </c>
      <c r="S169" t="s">
        <v>23</v>
      </c>
      <c r="T169">
        <f>IF($M169="PER-M2",
   ($N169 * $J169 * $K169)
   + IFERROR(VLOOKUP($R169,Finishing!A:B,2,FALSE),0)
   + IFERROR(VLOOKUP($S169,Kerumitan!A:B,2,FALSE),0),
IF($M169="PER-LUBANG",
   ($P169 * $L169 * $K169)
   + IFERROR(VLOOKUP($R169,Finishing!A:B,2,FALSE),0)
   + IFERROR(VLOOKUP($S169,Kerumitan!A:B,2,FALSE),0),
IF($M169="PER-M",
   ($O169 * $J169 * $K169)
   + IFERROR(VLOOKUP($R169,Finishing!A:B,2,FALSE),0)
   + IFERROR(VLOOKUP($S169,Kerumitan!A:B,2,FALSE),0),
0)))</f>
        <v>9180000</v>
      </c>
    </row>
    <row r="170" spans="1:20" x14ac:dyDescent="0.45">
      <c r="A170" t="s">
        <v>261</v>
      </c>
      <c r="B170" s="5">
        <v>43862</v>
      </c>
      <c r="C170">
        <f t="shared" si="2"/>
        <v>2020</v>
      </c>
      <c r="D170" t="s">
        <v>167</v>
      </c>
      <c r="E170" t="s">
        <v>28</v>
      </c>
      <c r="F170" t="s">
        <v>6</v>
      </c>
      <c r="G170" t="s">
        <v>13</v>
      </c>
      <c r="H170" t="s">
        <v>35</v>
      </c>
      <c r="I170">
        <v>0.8</v>
      </c>
      <c r="J170">
        <v>23.43</v>
      </c>
      <c r="K170">
        <v>2</v>
      </c>
      <c r="L170">
        <v>0</v>
      </c>
      <c r="M170" t="str" cm="1">
        <f t="array" ref="M170">_xlfn.IFS(
   OR($F170="Pagar", $F170="Pintu Gerbang", $F170="Pintu Handerson", $F170="Kanopi"), "PER-M2",
   $F170="Teralis", "PER-LUBANG",
   OR($F170="Railing", $F170="Railing/Balkon"), "PER-M",
   TRUE, ""
)</f>
        <v>PER-M2</v>
      </c>
      <c r="N170" cm="1">
        <f t="array" ref="N170">IF($M170="PER-M2",
  IFERROR(
     _xlfn.IFS(
        $G170="Hollow",
            INDEX('Referensi Harga'!$C:$C,
                  MATCH($F170&amp;$C170,'Referensi Harga'!$A:$A&amp;'Referensi Harga'!$B:$B,0)),
        $G170="Hollow Stainless",
            INDEX('Referensi Harga'!$D:$D,
                  MATCH($F170&amp;$C170,'Referensi Harga'!$A:$A&amp;'Referensi Harga'!$B:$B,0)),
        $G170="Pipa Stainless",
            INDEX('Referensi Harga'!$E:$E,
                  MATCH($F170&amp;$C170,'Referensi Harga'!$A:$A&amp;'Referensi Harga'!$B:$B,0))
     ),0)
  + IFERROR(VLOOKUP($H170,'Profile Size'!$A:$B,2,FALSE),0)
  + IFERROR(VLOOKUP($I170,'Ketebalan Material'!$A:$B,2,FALSE),0),
0)</f>
        <v>450000</v>
      </c>
      <c r="O170">
        <f>IF($M170="PER-M",
  IFERROR(
    IF($G170="Hollow",
       INDEX('Referensi Harga'!$C:$C, MATCH($F170 &amp; "|" &amp; $C170, 'Referensi Harga'!$F:$F, 0)),
    IF($G170="Hollow Stainless",
       INDEX('Referensi Harga'!$D:$D, MATCH($F170 &amp; "|" &amp; $C170, 'Referensi Harga'!$F:$F, 0)),
       INDEX('Referensi Harga'!$E:$E, MATCH($F170 &amp; "|" &amp; $C170, 'Referensi Harga'!$F:$F, 0))
    ))
    + IFERROR(VLOOKUP($H170, 'Profile Size'!$A:$B, 2, FALSE), 0)
    + IFERROR(VLOOKUP($I170, 'Ketebalan Material'!$A:$B, 2, FALSE), 0), 0),
0)</f>
        <v>0</v>
      </c>
      <c r="P170" cm="1">
        <f t="array" ref="P170">IF($M170="PER-LUBANG",
  IFERROR(
     _xlfn.IFS(
        $G170="Hollow",
            INDEX('Referensi Harga'!$C:$C,
                  MATCH($F170&amp;$C170,'Referensi Harga'!$A:$A&amp;'Referensi Harga'!$B:$B,0)),
        $G170="Hollow Stainless",
            INDEX('Referensi Harga'!$D:$D,
                  MATCH($F170&amp;$C170,'Referensi Harga'!$A:$A&amp;'Referensi Harga'!$B:$B,0)),
        $G170="Pipa Stainless",
            INDEX('Referensi Harga'!$E:$E,
                  MATCH($F170&amp;$C170,'Referensi Harga'!$A:$A&amp;'Referensi Harga'!$B:$B,0))
     ),0)
  + IFERROR(VLOOKUP($H170,'Profile Size'!$A:$B,2,FALSE),0)
  + IFERROR(VLOOKUP($I170,'Ketebalan Material'!$A:$B,2,FALSE),0),
0)</f>
        <v>0</v>
      </c>
      <c r="Q170">
        <f>IF($M170="PER-M2",
    IFERROR(
        SUMIFS('Upah Tenaga Ahli'!$C:$C,
               'Upah Tenaga Ahli'!$A:$A,"PER-M2",
               'Upah Tenaga Ahli'!$B:$B,$G170
        ) * $J170 * $K170,
    0),
IF($M170="PER-LUBANG",
    IFERROR(
        SUMIFS('Upah Tenaga Ahli'!$D:$D,
               'Upah Tenaga Ahli'!$A:$A,"PER-LUBANG",
               'Upah Tenaga Ahli'!$B:$B,$G170
        ) * $L170 * $K170,
    0),
IF($M170="PER-M",
    IFERROR(
        SUMIFS('Upah Tenaga Ahli'!$E:$E,
               'Upah Tenaga Ahli'!$A:$A,"PER-M",
               'Upah Tenaga Ahli'!$B:$B,$G170
        ) * $J170 * $K170,
    0),
0)))</f>
        <v>4686000</v>
      </c>
      <c r="R170" t="s">
        <v>18</v>
      </c>
      <c r="S170" t="s">
        <v>23</v>
      </c>
      <c r="T170">
        <f>IF($M170="PER-M2",
   ($N170 * $J170 * $K170)
   + IFERROR(VLOOKUP($R170,Finishing!A:B,2,FALSE),0)
   + IFERROR(VLOOKUP($S170,Kerumitan!A:B,2,FALSE),0),
IF($M170="PER-LUBANG",
   ($P170 * $L170 * $K170)
   + IFERROR(VLOOKUP($R170,Finishing!A:B,2,FALSE),0)
   + IFERROR(VLOOKUP($S170,Kerumitan!A:B,2,FALSE),0),
IF($M170="PER-M",
   ($O170 * $J170 * $K170)
   + IFERROR(VLOOKUP($R170,Finishing!A:B,2,FALSE),0)
   + IFERROR(VLOOKUP($S170,Kerumitan!A:B,2,FALSE),0),
0)))</f>
        <v>21087000</v>
      </c>
    </row>
    <row r="171" spans="1:20" x14ac:dyDescent="0.45">
      <c r="A171" t="s">
        <v>262</v>
      </c>
      <c r="B171" s="5">
        <v>45655</v>
      </c>
      <c r="C171">
        <f t="shared" si="2"/>
        <v>2024</v>
      </c>
      <c r="D171" t="s">
        <v>71</v>
      </c>
      <c r="E171" t="s">
        <v>91</v>
      </c>
      <c r="F171" t="s">
        <v>4</v>
      </c>
      <c r="G171" t="s">
        <v>13</v>
      </c>
      <c r="H171" t="s">
        <v>33</v>
      </c>
      <c r="I171">
        <v>1</v>
      </c>
      <c r="J171">
        <v>9.77</v>
      </c>
      <c r="K171">
        <v>1</v>
      </c>
      <c r="L171">
        <v>0</v>
      </c>
      <c r="M171" t="str" cm="1">
        <f t="array" ref="M171">_xlfn.IFS(
   OR($F171="Pagar", $F171="Pintu Gerbang", $F171="Pintu Handerson", $F171="Kanopi"), "PER-M2",
   $F171="Teralis", "PER-LUBANG",
   OR($F171="Railing", $F171="Railing/Balkon"), "PER-M",
   TRUE, ""
)</f>
        <v>PER-M2</v>
      </c>
      <c r="N171" cm="1">
        <f t="array" ref="N171">IF($M171="PER-M2",
  IFERROR(
     _xlfn.IFS(
        $G171="Hollow",
            INDEX('Referensi Harga'!$C:$C,
                  MATCH($F171&amp;$C171,'Referensi Harga'!$A:$A&amp;'Referensi Harga'!$B:$B,0)),
        $G171="Hollow Stainless",
            INDEX('Referensi Harga'!$D:$D,
                  MATCH($F171&amp;$C171,'Referensi Harga'!$A:$A&amp;'Referensi Harga'!$B:$B,0)),
        $G171="Pipa Stainless",
            INDEX('Referensi Harga'!$E:$E,
                  MATCH($F171&amp;$C171,'Referensi Harga'!$A:$A&amp;'Referensi Harga'!$B:$B,0))
     ),0)
  + IFERROR(VLOOKUP($H171,'Profile Size'!$A:$B,2,FALSE),0)
  + IFERROR(VLOOKUP($I171,'Ketebalan Material'!$A:$B,2,FALSE),0),
0)</f>
        <v>600000</v>
      </c>
      <c r="O171">
        <f>IF($M171="PER-M",
  IFERROR(
    IF($G171="Hollow",
       INDEX('Referensi Harga'!$C:$C, MATCH($F171 &amp; "|" &amp; $C171, 'Referensi Harga'!$F:$F, 0)),
    IF($G171="Hollow Stainless",
       INDEX('Referensi Harga'!$D:$D, MATCH($F171 &amp; "|" &amp; $C171, 'Referensi Harga'!$F:$F, 0)),
       INDEX('Referensi Harga'!$E:$E, MATCH($F171 &amp; "|" &amp; $C171, 'Referensi Harga'!$F:$F, 0))
    ))
    + IFERROR(VLOOKUP($H171, 'Profile Size'!$A:$B, 2, FALSE), 0)
    + IFERROR(VLOOKUP($I171, 'Ketebalan Material'!$A:$B, 2, FALSE), 0), 0),
0)</f>
        <v>0</v>
      </c>
      <c r="P171" cm="1">
        <f t="array" ref="P171">IF($M171="PER-LUBANG",
  IFERROR(
     _xlfn.IFS(
        $G171="Hollow",
            INDEX('Referensi Harga'!$C:$C,
                  MATCH($F171&amp;$C171,'Referensi Harga'!$A:$A&amp;'Referensi Harga'!$B:$B,0)),
        $G171="Hollow Stainless",
            INDEX('Referensi Harga'!$D:$D,
                  MATCH($F171&amp;$C171,'Referensi Harga'!$A:$A&amp;'Referensi Harga'!$B:$B,0)),
        $G171="Pipa Stainless",
            INDEX('Referensi Harga'!$E:$E,
                  MATCH($F171&amp;$C171,'Referensi Harga'!$A:$A&amp;'Referensi Harga'!$B:$B,0))
     ),0)
  + IFERROR(VLOOKUP($H171,'Profile Size'!$A:$B,2,FALSE),0)
  + IFERROR(VLOOKUP($I171,'Ketebalan Material'!$A:$B,2,FALSE),0),
0)</f>
        <v>0</v>
      </c>
      <c r="Q171">
        <f>IF($M171="PER-M2",
    IFERROR(
        SUMIFS('Upah Tenaga Ahli'!$C:$C,
               'Upah Tenaga Ahli'!$A:$A,"PER-M2",
               'Upah Tenaga Ahli'!$B:$B,$G171
        ) * $J171 * $K171,
    0),
IF($M171="PER-LUBANG",
    IFERROR(
        SUMIFS('Upah Tenaga Ahli'!$D:$D,
               'Upah Tenaga Ahli'!$A:$A,"PER-LUBANG",
               'Upah Tenaga Ahli'!$B:$B,$G171
        ) * $L171 * $K171,
    0),
IF($M171="PER-M",
    IFERROR(
        SUMIFS('Upah Tenaga Ahli'!$E:$E,
               'Upah Tenaga Ahli'!$A:$A,"PER-M",
               'Upah Tenaga Ahli'!$B:$B,$G171
        ) * $J171 * $K171,
    0),
0)))</f>
        <v>977000</v>
      </c>
      <c r="R171" t="s">
        <v>18</v>
      </c>
      <c r="S171" t="s">
        <v>24</v>
      </c>
      <c r="T171">
        <f>IF($M171="PER-M2",
   ($N171 * $J171 * $K171)
   + IFERROR(VLOOKUP($R171,Finishing!A:B,2,FALSE),0)
   + IFERROR(VLOOKUP($S171,Kerumitan!A:B,2,FALSE),0),
IF($M171="PER-LUBANG",
   ($P171 * $L171 * $K171)
   + IFERROR(VLOOKUP($R171,Finishing!A:B,2,FALSE),0)
   + IFERROR(VLOOKUP($S171,Kerumitan!A:B,2,FALSE),0),
IF($M171="PER-M",
   ($O171 * $J171 * $K171)
   + IFERROR(VLOOKUP($R171,Finishing!A:B,2,FALSE),0)
   + IFERROR(VLOOKUP($S171,Kerumitan!A:B,2,FALSE),0),
0)))</f>
        <v>5962000</v>
      </c>
    </row>
    <row r="172" spans="1:20" x14ac:dyDescent="0.45">
      <c r="A172" t="s">
        <v>263</v>
      </c>
      <c r="B172" s="5">
        <v>44669</v>
      </c>
      <c r="C172">
        <f t="shared" si="2"/>
        <v>2022</v>
      </c>
      <c r="D172" t="s">
        <v>71</v>
      </c>
      <c r="E172" t="s">
        <v>105</v>
      </c>
      <c r="F172" t="s">
        <v>8</v>
      </c>
      <c r="G172" t="s">
        <v>14</v>
      </c>
      <c r="H172" t="s">
        <v>612</v>
      </c>
      <c r="I172">
        <v>0.8</v>
      </c>
      <c r="J172">
        <v>0</v>
      </c>
      <c r="K172">
        <v>1</v>
      </c>
      <c r="L172">
        <v>6</v>
      </c>
      <c r="M172" t="str" cm="1">
        <f t="array" ref="M172">_xlfn.IFS(
   OR($F172="Pagar", $F172="Pintu Gerbang", $F172="Pintu Handerson", $F172="Kanopi"), "PER-M2",
   $F172="Teralis", "PER-LUBANG",
   OR($F172="Railing", $F172="Railing/Balkon"), "PER-M",
   TRUE, ""
)</f>
        <v>PER-LUBANG</v>
      </c>
      <c r="N172" cm="1">
        <f t="array" ref="N172">IF($M172="PER-M2",
  IFERROR(
     _xlfn.IFS(
        $G172="Hollow",
            INDEX('Referensi Harga'!$C:$C,
                  MATCH($F172&amp;$C172,'Referensi Harga'!$A:$A&amp;'Referensi Harga'!$B:$B,0)),
        $G172="Hollow Stainless",
            INDEX('Referensi Harga'!$D:$D,
                  MATCH($F172&amp;$C172,'Referensi Harga'!$A:$A&amp;'Referensi Harga'!$B:$B,0)),
        $G172="Pipa Stainless",
            INDEX('Referensi Harga'!$E:$E,
                  MATCH($F172&amp;$C172,'Referensi Harga'!$A:$A&amp;'Referensi Harga'!$B:$B,0))
     ),0)
  + IFERROR(VLOOKUP($H172,'Profile Size'!$A:$B,2,FALSE),0)
  + IFERROR(VLOOKUP($I172,'Ketebalan Material'!$A:$B,2,FALSE),0),
0)</f>
        <v>0</v>
      </c>
      <c r="O172">
        <f>IF($M172="PER-M",
  IFERROR(
    IF($G172="Hollow",
       INDEX('Referensi Harga'!$C:$C, MATCH($F172 &amp; "|" &amp; $C172, 'Referensi Harga'!$F:$F, 0)),
    IF($G172="Hollow Stainless",
       INDEX('Referensi Harga'!$D:$D, MATCH($F172 &amp; "|" &amp; $C172, 'Referensi Harga'!$F:$F, 0)),
       INDEX('Referensi Harga'!$E:$E, MATCH($F172 &amp; "|" &amp; $C172, 'Referensi Harga'!$F:$F, 0))
    ))
    + IFERROR(VLOOKUP($H172, 'Profile Size'!$A:$B, 2, FALSE), 0)
    + IFERROR(VLOOKUP($I172, 'Ketebalan Material'!$A:$B, 2, FALSE), 0), 0),
0)</f>
        <v>0</v>
      </c>
      <c r="P172" cm="1">
        <f t="array" ref="P172">IF($M172="PER-LUBANG",
  IFERROR(
     _xlfn.IFS(
        $G172="Hollow",
            INDEX('Referensi Harga'!$C:$C,
                  MATCH($F172&amp;$C172,'Referensi Harga'!$A:$A&amp;'Referensi Harga'!$B:$B,0)),
        $G172="Hollow Stainless",
            INDEX('Referensi Harga'!$D:$D,
                  MATCH($F172&amp;$C172,'Referensi Harga'!$A:$A&amp;'Referensi Harga'!$B:$B,0)),
        $G172="Pipa Stainless",
            INDEX('Referensi Harga'!$E:$E,
                  MATCH($F172&amp;$C172,'Referensi Harga'!$A:$A&amp;'Referensi Harga'!$B:$B,0))
     ),0)
  + IFERROR(VLOOKUP($H172,'Profile Size'!$A:$B,2,FALSE),0)
  + IFERROR(VLOOKUP($I172,'Ketebalan Material'!$A:$B,2,FALSE),0),
0)</f>
        <v>660000</v>
      </c>
      <c r="Q172">
        <f>IF($M172="PER-M2",
    IFERROR(
        SUMIFS('Upah Tenaga Ahli'!$C:$C,
               'Upah Tenaga Ahli'!$A:$A,"PER-M2",
               'Upah Tenaga Ahli'!$B:$B,$G172
        ) * $J172 * $K172,
    0),
IF($M172="PER-LUBANG",
    IFERROR(
        SUMIFS('Upah Tenaga Ahli'!$D:$D,
               'Upah Tenaga Ahli'!$A:$A,"PER-LUBANG",
               'Upah Tenaga Ahli'!$B:$B,$G172
        ) * $L172 * $K172,
    0),
IF($M172="PER-M",
    IFERROR(
        SUMIFS('Upah Tenaga Ahli'!$E:$E,
               'Upah Tenaga Ahli'!$A:$A,"PER-M",
               'Upah Tenaga Ahli'!$B:$B,$G172
        ) * $J172 * $K172,
    0),
0)))</f>
        <v>900000</v>
      </c>
      <c r="R172" t="s">
        <v>617</v>
      </c>
      <c r="S172" t="s">
        <v>23</v>
      </c>
      <c r="T172">
        <f>IF($M172="PER-M2",
   ($N172 * $J172 * $K172)
   + IFERROR(VLOOKUP($R172,Finishing!A:B,2,FALSE),0)
   + IFERROR(VLOOKUP($S172,Kerumitan!A:B,2,FALSE),0),
IF($M172="PER-LUBANG",
   ($P172 * $L172 * $K172)
   + IFERROR(VLOOKUP($R172,Finishing!A:B,2,FALSE),0)
   + IFERROR(VLOOKUP($S172,Kerumitan!A:B,2,FALSE),0),
IF($M172="PER-M",
   ($O172 * $J172 * $K172)
   + IFERROR(VLOOKUP($R172,Finishing!A:B,2,FALSE),0)
   + IFERROR(VLOOKUP($S172,Kerumitan!A:B,2,FALSE),0),
0)))</f>
        <v>3960000</v>
      </c>
    </row>
    <row r="173" spans="1:20" x14ac:dyDescent="0.45">
      <c r="A173" t="s">
        <v>264</v>
      </c>
      <c r="B173" s="5">
        <v>44677</v>
      </c>
      <c r="C173">
        <f t="shared" si="2"/>
        <v>2022</v>
      </c>
      <c r="D173" t="s">
        <v>101</v>
      </c>
      <c r="E173" t="s">
        <v>38</v>
      </c>
      <c r="F173" t="s">
        <v>625</v>
      </c>
      <c r="G173" t="s">
        <v>14</v>
      </c>
      <c r="H173" t="s">
        <v>615</v>
      </c>
      <c r="I173">
        <v>0.8</v>
      </c>
      <c r="J173">
        <v>13.11</v>
      </c>
      <c r="K173">
        <v>2</v>
      </c>
      <c r="L173">
        <v>0</v>
      </c>
      <c r="M173" t="str" cm="1">
        <f t="array" ref="M173">_xlfn.IFS(
   OR($F173="Pagar", $F173="Pintu Gerbang", $F173="Pintu Handerson", $F173="Kanopi"), "PER-M2",
   $F173="Teralis", "PER-LUBANG",
   OR($F173="Railing", $F173="Railing/Balkon"), "PER-M",
   TRUE, ""
)</f>
        <v>PER-M</v>
      </c>
      <c r="N173" cm="1">
        <f t="array" ref="N173">IF($M173="PER-M2",
  IFERROR(
     _xlfn.IFS(
        $G173="Hollow",
            INDEX('Referensi Harga'!$C:$C,
                  MATCH($F173&amp;$C173,'Referensi Harga'!$A:$A&amp;'Referensi Harga'!$B:$B,0)),
        $G173="Hollow Stainless",
            INDEX('Referensi Harga'!$D:$D,
                  MATCH($F173&amp;$C173,'Referensi Harga'!$A:$A&amp;'Referensi Harga'!$B:$B,0)),
        $G173="Pipa Stainless",
            INDEX('Referensi Harga'!$E:$E,
                  MATCH($F173&amp;$C173,'Referensi Harga'!$A:$A&amp;'Referensi Harga'!$B:$B,0))
     ),0)
  + IFERROR(VLOOKUP($H173,'Profile Size'!$A:$B,2,FALSE),0)
  + IFERROR(VLOOKUP($I173,'Ketebalan Material'!$A:$B,2,FALSE),0),
0)</f>
        <v>0</v>
      </c>
      <c r="O173">
        <f>IF($M173="PER-M",
  IFERROR(
    IF($G173="Hollow",
       INDEX('Referensi Harga'!$C:$C, MATCH($F173 &amp; "|" &amp; $C173, 'Referensi Harga'!$F:$F, 0)),
    IF($G173="Hollow Stainless",
       INDEX('Referensi Harga'!$D:$D, MATCH($F173 &amp; "|" &amp; $C173, 'Referensi Harga'!$F:$F, 0)),
       INDEX('Referensi Harga'!$E:$E, MATCH($F173 &amp; "|" &amp; $C173, 'Referensi Harga'!$F:$F, 0))
    ))
    + IFERROR(VLOOKUP($H173, 'Profile Size'!$A:$B, 2, FALSE), 0)
    + IFERROR(VLOOKUP($I173, 'Ketebalan Material'!$A:$B, 2, FALSE), 0), 0),
0)</f>
        <v>1020000</v>
      </c>
      <c r="P173" cm="1">
        <f t="array" ref="P173">IF($M173="PER-LUBANG",
  IFERROR(
     _xlfn.IFS(
        $G173="Hollow",
            INDEX('Referensi Harga'!$C:$C,
                  MATCH($F173&amp;$C173,'Referensi Harga'!$A:$A&amp;'Referensi Harga'!$B:$B,0)),
        $G173="Hollow Stainless",
            INDEX('Referensi Harga'!$D:$D,
                  MATCH($F173&amp;$C173,'Referensi Harga'!$A:$A&amp;'Referensi Harga'!$B:$B,0)),
        $G173="Pipa Stainless",
            INDEX('Referensi Harga'!$E:$E,
                  MATCH($F173&amp;$C173,'Referensi Harga'!$A:$A&amp;'Referensi Harga'!$B:$B,0))
     ),0)
  + IFERROR(VLOOKUP($H173,'Profile Size'!$A:$B,2,FALSE),0)
  + IFERROR(VLOOKUP($I173,'Ketebalan Material'!$A:$B,2,FALSE),0),
0)</f>
        <v>0</v>
      </c>
      <c r="Q173">
        <f>IF($M173="PER-M2",
    IFERROR(
        SUMIFS('Upah Tenaga Ahli'!$C:$C,
               'Upah Tenaga Ahli'!$A:$A,"PER-M2",
               'Upah Tenaga Ahli'!$B:$B,$G173
        ) * $J173 * $K173,
    0),
IF($M173="PER-LUBANG",
    IFERROR(
        SUMIFS('Upah Tenaga Ahli'!$D:$D,
               'Upah Tenaga Ahli'!$A:$A,"PER-LUBANG",
               'Upah Tenaga Ahli'!$B:$B,$G173
        ) * $L173 * $K173,
    0),
IF($M173="PER-M",
    IFERROR(
        SUMIFS('Upah Tenaga Ahli'!$E:$E,
               'Upah Tenaga Ahli'!$A:$A,"PER-M",
               'Upah Tenaga Ahli'!$B:$B,$G173
        ) * $J173 * $K173,
    0),
0)))</f>
        <v>5244000</v>
      </c>
      <c r="R173" t="s">
        <v>617</v>
      </c>
      <c r="S173" t="s">
        <v>25</v>
      </c>
      <c r="T173">
        <f>IF($M173="PER-M2",
   ($N173 * $J173 * $K173)
   + IFERROR(VLOOKUP($R173,Finishing!A:B,2,FALSE),0)
   + IFERROR(VLOOKUP($S173,Kerumitan!A:B,2,FALSE),0),
IF($M173="PER-LUBANG",
   ($P173 * $L173 * $K173)
   + IFERROR(VLOOKUP($R173,Finishing!A:B,2,FALSE),0)
   + IFERROR(VLOOKUP($S173,Kerumitan!A:B,2,FALSE),0),
IF($M173="PER-M",
   ($O173 * $J173 * $K173)
   + IFERROR(VLOOKUP($R173,Finishing!A:B,2,FALSE),0)
   + IFERROR(VLOOKUP($S173,Kerumitan!A:B,2,FALSE),0),
0)))</f>
        <v>26894400</v>
      </c>
    </row>
    <row r="174" spans="1:20" x14ac:dyDescent="0.45">
      <c r="A174" t="s">
        <v>265</v>
      </c>
      <c r="B174" s="5">
        <v>44268</v>
      </c>
      <c r="C174">
        <f t="shared" si="2"/>
        <v>2021</v>
      </c>
      <c r="D174" t="s">
        <v>49</v>
      </c>
      <c r="E174" t="s">
        <v>32</v>
      </c>
      <c r="F174" t="s">
        <v>625</v>
      </c>
      <c r="G174" t="s">
        <v>14</v>
      </c>
      <c r="H174" t="s">
        <v>615</v>
      </c>
      <c r="I174">
        <v>1</v>
      </c>
      <c r="J174">
        <v>3.88</v>
      </c>
      <c r="K174">
        <v>2</v>
      </c>
      <c r="L174">
        <v>0</v>
      </c>
      <c r="M174" t="str" cm="1">
        <f t="array" ref="M174">_xlfn.IFS(
   OR($F174="Pagar", $F174="Pintu Gerbang", $F174="Pintu Handerson", $F174="Kanopi"), "PER-M2",
   $F174="Teralis", "PER-LUBANG",
   OR($F174="Railing", $F174="Railing/Balkon"), "PER-M",
   TRUE, ""
)</f>
        <v>PER-M</v>
      </c>
      <c r="N174" cm="1">
        <f t="array" ref="N174">IF($M174="PER-M2",
  IFERROR(
     _xlfn.IFS(
        $G174="Hollow",
            INDEX('Referensi Harga'!$C:$C,
                  MATCH($F174&amp;$C174,'Referensi Harga'!$A:$A&amp;'Referensi Harga'!$B:$B,0)),
        $G174="Hollow Stainless",
            INDEX('Referensi Harga'!$D:$D,
                  MATCH($F174&amp;$C174,'Referensi Harga'!$A:$A&amp;'Referensi Harga'!$B:$B,0)),
        $G174="Pipa Stainless",
            INDEX('Referensi Harga'!$E:$E,
                  MATCH($F174&amp;$C174,'Referensi Harga'!$A:$A&amp;'Referensi Harga'!$B:$B,0))
     ),0)
  + IFERROR(VLOOKUP($H174,'Profile Size'!$A:$B,2,FALSE),0)
  + IFERROR(VLOOKUP($I174,'Ketebalan Material'!$A:$B,2,FALSE),0),
0)</f>
        <v>0</v>
      </c>
      <c r="O174">
        <f>IF($M174="PER-M",
  IFERROR(
    IF($G174="Hollow",
       INDEX('Referensi Harga'!$C:$C, MATCH($F174 &amp; "|" &amp; $C174, 'Referensi Harga'!$F:$F, 0)),
    IF($G174="Hollow Stainless",
       INDEX('Referensi Harga'!$D:$D, MATCH($F174 &amp; "|" &amp; $C174, 'Referensi Harga'!$F:$F, 0)),
       INDEX('Referensi Harga'!$E:$E, MATCH($F174 &amp; "|" &amp; $C174, 'Referensi Harga'!$F:$F, 0))
    ))
    + IFERROR(VLOOKUP($H174, 'Profile Size'!$A:$B, 2, FALSE), 0)
    + IFERROR(VLOOKUP($I174, 'Ketebalan Material'!$A:$B, 2, FALSE), 0), 0),
0)</f>
        <v>1050000</v>
      </c>
      <c r="P174" cm="1">
        <f t="array" ref="P174">IF($M174="PER-LUBANG",
  IFERROR(
     _xlfn.IFS(
        $G174="Hollow",
            INDEX('Referensi Harga'!$C:$C,
                  MATCH($F174&amp;$C174,'Referensi Harga'!$A:$A&amp;'Referensi Harga'!$B:$B,0)),
        $G174="Hollow Stainless",
            INDEX('Referensi Harga'!$D:$D,
                  MATCH($F174&amp;$C174,'Referensi Harga'!$A:$A&amp;'Referensi Harga'!$B:$B,0)),
        $G174="Pipa Stainless",
            INDEX('Referensi Harga'!$E:$E,
                  MATCH($F174&amp;$C174,'Referensi Harga'!$A:$A&amp;'Referensi Harga'!$B:$B,0))
     ),0)
  + IFERROR(VLOOKUP($H174,'Profile Size'!$A:$B,2,FALSE),0)
  + IFERROR(VLOOKUP($I174,'Ketebalan Material'!$A:$B,2,FALSE),0),
0)</f>
        <v>0</v>
      </c>
      <c r="Q174">
        <f>IF($M174="PER-M2",
    IFERROR(
        SUMIFS('Upah Tenaga Ahli'!$C:$C,
               'Upah Tenaga Ahli'!$A:$A,"PER-M2",
               'Upah Tenaga Ahli'!$B:$B,$G174
        ) * $J174 * $K174,
    0),
IF($M174="PER-LUBANG",
    IFERROR(
        SUMIFS('Upah Tenaga Ahli'!$D:$D,
               'Upah Tenaga Ahli'!$A:$A,"PER-LUBANG",
               'Upah Tenaga Ahli'!$B:$B,$G174
        ) * $L174 * $K174,
    0),
IF($M174="PER-M",
    IFERROR(
        SUMIFS('Upah Tenaga Ahli'!$E:$E,
               'Upah Tenaga Ahli'!$A:$A,"PER-M",
               'Upah Tenaga Ahli'!$B:$B,$G174
        ) * $J174 * $K174,
    0),
0)))</f>
        <v>1552000</v>
      </c>
      <c r="R174" t="s">
        <v>617</v>
      </c>
      <c r="S174" t="s">
        <v>24</v>
      </c>
      <c r="T174">
        <f>IF($M174="PER-M2",
   ($N174 * $J174 * $K174)
   + IFERROR(VLOOKUP($R174,Finishing!A:B,2,FALSE),0)
   + IFERROR(VLOOKUP($S174,Kerumitan!A:B,2,FALSE),0),
IF($M174="PER-LUBANG",
   ($P174 * $L174 * $K174)
   + IFERROR(VLOOKUP($R174,Finishing!A:B,2,FALSE),0)
   + IFERROR(VLOOKUP($S174,Kerumitan!A:B,2,FALSE),0),
IF($M174="PER-M",
   ($O174 * $J174 * $K174)
   + IFERROR(VLOOKUP($R174,Finishing!A:B,2,FALSE),0)
   + IFERROR(VLOOKUP($S174,Kerumitan!A:B,2,FALSE),0),
0)))</f>
        <v>8248000</v>
      </c>
    </row>
    <row r="175" spans="1:20" x14ac:dyDescent="0.45">
      <c r="A175" t="s">
        <v>266</v>
      </c>
      <c r="B175" s="5">
        <v>45189</v>
      </c>
      <c r="C175">
        <f t="shared" si="2"/>
        <v>2023</v>
      </c>
      <c r="D175" t="s">
        <v>251</v>
      </c>
      <c r="E175" t="s">
        <v>41</v>
      </c>
      <c r="F175" t="s">
        <v>8</v>
      </c>
      <c r="G175" t="s">
        <v>13</v>
      </c>
      <c r="H175" t="s">
        <v>612</v>
      </c>
      <c r="I175">
        <v>0.8</v>
      </c>
      <c r="J175">
        <v>0</v>
      </c>
      <c r="K175">
        <v>1</v>
      </c>
      <c r="L175">
        <v>17</v>
      </c>
      <c r="M175" t="str" cm="1">
        <f t="array" ref="M175">_xlfn.IFS(
   OR($F175="Pagar", $F175="Pintu Gerbang", $F175="Pintu Handerson", $F175="Kanopi"), "PER-M2",
   $F175="Teralis", "PER-LUBANG",
   OR($F175="Railing", $F175="Railing/Balkon"), "PER-M",
   TRUE, ""
)</f>
        <v>PER-LUBANG</v>
      </c>
      <c r="N175" cm="1">
        <f t="array" ref="N175">IF($M175="PER-M2",
  IFERROR(
     _xlfn.IFS(
        $G175="Hollow",
            INDEX('Referensi Harga'!$C:$C,
                  MATCH($F175&amp;$C175,'Referensi Harga'!$A:$A&amp;'Referensi Harga'!$B:$B,0)),
        $G175="Hollow Stainless",
            INDEX('Referensi Harga'!$D:$D,
                  MATCH($F175&amp;$C175,'Referensi Harga'!$A:$A&amp;'Referensi Harga'!$B:$B,0)),
        $G175="Pipa Stainless",
            INDEX('Referensi Harga'!$E:$E,
                  MATCH($F175&amp;$C175,'Referensi Harga'!$A:$A&amp;'Referensi Harga'!$B:$B,0))
     ),0)
  + IFERROR(VLOOKUP($H175,'Profile Size'!$A:$B,2,FALSE),0)
  + IFERROR(VLOOKUP($I175,'Ketebalan Material'!$A:$B,2,FALSE),0),
0)</f>
        <v>0</v>
      </c>
      <c r="O175">
        <f>IF($M175="PER-M",
  IFERROR(
    IF($G175="Hollow",
       INDEX('Referensi Harga'!$C:$C, MATCH($F175 &amp; "|" &amp; $C175, 'Referensi Harga'!$F:$F, 0)),
    IF($G175="Hollow Stainless",
       INDEX('Referensi Harga'!$D:$D, MATCH($F175 &amp; "|" &amp; $C175, 'Referensi Harga'!$F:$F, 0)),
       INDEX('Referensi Harga'!$E:$E, MATCH($F175 &amp; "|" &amp; $C175, 'Referensi Harga'!$F:$F, 0))
    ))
    + IFERROR(VLOOKUP($H175, 'Profile Size'!$A:$B, 2, FALSE), 0)
    + IFERROR(VLOOKUP($I175, 'Ketebalan Material'!$A:$B, 2, FALSE), 0), 0),
0)</f>
        <v>0</v>
      </c>
      <c r="P175" cm="1">
        <f t="array" ref="P175">IF($M175="PER-LUBANG",
  IFERROR(
     _xlfn.IFS(
        $G175="Hollow",
            INDEX('Referensi Harga'!$C:$C,
                  MATCH($F175&amp;$C175,'Referensi Harga'!$A:$A&amp;'Referensi Harga'!$B:$B,0)),
        $G175="Hollow Stainless",
            INDEX('Referensi Harga'!$D:$D,
                  MATCH($F175&amp;$C175,'Referensi Harga'!$A:$A&amp;'Referensi Harga'!$B:$B,0)),
        $G175="Pipa Stainless",
            INDEX('Referensi Harga'!$E:$E,
                  MATCH($F175&amp;$C175,'Referensi Harga'!$A:$A&amp;'Referensi Harga'!$B:$B,0))
     ),0)
  + IFERROR(VLOOKUP($H175,'Profile Size'!$A:$B,2,FALSE),0)
  + IFERROR(VLOOKUP($I175,'Ketebalan Material'!$A:$B,2,FALSE),0),
0)</f>
        <v>350000</v>
      </c>
      <c r="Q175">
        <f>IF($M175="PER-M2",
    IFERROR(
        SUMIFS('Upah Tenaga Ahli'!$C:$C,
               'Upah Tenaga Ahli'!$A:$A,"PER-M2",
               'Upah Tenaga Ahli'!$B:$B,$G175
        ) * $J175 * $K175,
    0),
IF($M175="PER-LUBANG",
    IFERROR(
        SUMIFS('Upah Tenaga Ahli'!$D:$D,
               'Upah Tenaga Ahli'!$A:$A,"PER-LUBANG",
               'Upah Tenaga Ahli'!$B:$B,$G175
        ) * $L175 * $K175,
    0),
IF($M175="PER-M",
    IFERROR(
        SUMIFS('Upah Tenaga Ahli'!$E:$E,
               'Upah Tenaga Ahli'!$A:$A,"PER-M",
               'Upah Tenaga Ahli'!$B:$B,$G175
        ) * $J175 * $K175,
    0),
0)))</f>
        <v>1275000</v>
      </c>
      <c r="R175" t="s">
        <v>18</v>
      </c>
      <c r="S175" t="s">
        <v>24</v>
      </c>
      <c r="T175">
        <f>IF($M175="PER-M2",
   ($N175 * $J175 * $K175)
   + IFERROR(VLOOKUP($R175,Finishing!A:B,2,FALSE),0)
   + IFERROR(VLOOKUP($S175,Kerumitan!A:B,2,FALSE),0),
IF($M175="PER-LUBANG",
   ($P175 * $L175 * $K175)
   + IFERROR(VLOOKUP($R175,Finishing!A:B,2,FALSE),0)
   + IFERROR(VLOOKUP($S175,Kerumitan!A:B,2,FALSE),0),
IF($M175="PER-M",
   ($O175 * $J175 * $K175)
   + IFERROR(VLOOKUP($R175,Finishing!A:B,2,FALSE),0)
   + IFERROR(VLOOKUP($S175,Kerumitan!A:B,2,FALSE),0),
0)))</f>
        <v>6050000</v>
      </c>
    </row>
    <row r="176" spans="1:20" x14ac:dyDescent="0.45">
      <c r="A176" t="s">
        <v>267</v>
      </c>
      <c r="B176" s="5">
        <v>45517</v>
      </c>
      <c r="C176">
        <f t="shared" si="2"/>
        <v>2024</v>
      </c>
      <c r="D176" t="s">
        <v>93</v>
      </c>
      <c r="E176" t="s">
        <v>121</v>
      </c>
      <c r="F176" t="s">
        <v>10</v>
      </c>
      <c r="G176" t="s">
        <v>13</v>
      </c>
      <c r="H176" t="s">
        <v>35</v>
      </c>
      <c r="I176">
        <v>1.2</v>
      </c>
      <c r="J176">
        <v>2.72</v>
      </c>
      <c r="K176">
        <v>1</v>
      </c>
      <c r="L176">
        <v>0</v>
      </c>
      <c r="M176" t="str" cm="1">
        <f t="array" ref="M176">_xlfn.IFS(
   OR($F176="Pagar", $F176="Pintu Gerbang", $F176="Pintu Handerson", $F176="Kanopi"), "PER-M2",
   $F176="Teralis", "PER-LUBANG",
   OR($F176="Railing", $F176="Railing/Balkon"), "PER-M",
   TRUE, ""
)</f>
        <v>PER-M2</v>
      </c>
      <c r="N176" cm="1">
        <f t="array" ref="N176">IF($M176="PER-M2",
  IFERROR(
     _xlfn.IFS(
        $G176="Hollow",
            INDEX('Referensi Harga'!$C:$C,
                  MATCH($F176&amp;$C176,'Referensi Harga'!$A:$A&amp;'Referensi Harga'!$B:$B,0)),
        $G176="Hollow Stainless",
            INDEX('Referensi Harga'!$D:$D,
                  MATCH($F176&amp;$C176,'Referensi Harga'!$A:$A&amp;'Referensi Harga'!$B:$B,0)),
        $G176="Pipa Stainless",
            INDEX('Referensi Harga'!$E:$E,
                  MATCH($F176&amp;$C176,'Referensi Harga'!$A:$A&amp;'Referensi Harga'!$B:$B,0))
     ),0)
  + IFERROR(VLOOKUP($H176,'Profile Size'!$A:$B,2,FALSE),0)
  + IFERROR(VLOOKUP($I176,'Ketebalan Material'!$A:$B,2,FALSE),0),
0)</f>
        <v>1100000</v>
      </c>
      <c r="O176">
        <f>IF($M176="PER-M",
  IFERROR(
    IF($G176="Hollow",
       INDEX('Referensi Harga'!$C:$C, MATCH($F176 &amp; "|" &amp; $C176, 'Referensi Harga'!$F:$F, 0)),
    IF($G176="Hollow Stainless",
       INDEX('Referensi Harga'!$D:$D, MATCH($F176 &amp; "|" &amp; $C176, 'Referensi Harga'!$F:$F, 0)),
       INDEX('Referensi Harga'!$E:$E, MATCH($F176 &amp; "|" &amp; $C176, 'Referensi Harga'!$F:$F, 0))
    ))
    + IFERROR(VLOOKUP($H176, 'Profile Size'!$A:$B, 2, FALSE), 0)
    + IFERROR(VLOOKUP($I176, 'Ketebalan Material'!$A:$B, 2, FALSE), 0), 0),
0)</f>
        <v>0</v>
      </c>
      <c r="P176" cm="1">
        <f t="array" ref="P176">IF($M176="PER-LUBANG",
  IFERROR(
     _xlfn.IFS(
        $G176="Hollow",
            INDEX('Referensi Harga'!$C:$C,
                  MATCH($F176&amp;$C176,'Referensi Harga'!$A:$A&amp;'Referensi Harga'!$B:$B,0)),
        $G176="Hollow Stainless",
            INDEX('Referensi Harga'!$D:$D,
                  MATCH($F176&amp;$C176,'Referensi Harga'!$A:$A&amp;'Referensi Harga'!$B:$B,0)),
        $G176="Pipa Stainless",
            INDEX('Referensi Harga'!$E:$E,
                  MATCH($F176&amp;$C176,'Referensi Harga'!$A:$A&amp;'Referensi Harga'!$B:$B,0))
     ),0)
  + IFERROR(VLOOKUP($H176,'Profile Size'!$A:$B,2,FALSE),0)
  + IFERROR(VLOOKUP($I176,'Ketebalan Material'!$A:$B,2,FALSE),0),
0)</f>
        <v>0</v>
      </c>
      <c r="Q176">
        <f>IF($M176="PER-M2",
    IFERROR(
        SUMIFS('Upah Tenaga Ahli'!$C:$C,
               'Upah Tenaga Ahli'!$A:$A,"PER-M2",
               'Upah Tenaga Ahli'!$B:$B,$G176
        ) * $J176 * $K176,
    0),
IF($M176="PER-LUBANG",
    IFERROR(
        SUMIFS('Upah Tenaga Ahli'!$D:$D,
               'Upah Tenaga Ahli'!$A:$A,"PER-LUBANG",
               'Upah Tenaga Ahli'!$B:$B,$G176
        ) * $L176 * $K176,
    0),
IF($M176="PER-M",
    IFERROR(
        SUMIFS('Upah Tenaga Ahli'!$E:$E,
               'Upah Tenaga Ahli'!$A:$A,"PER-M",
               'Upah Tenaga Ahli'!$B:$B,$G176
        ) * $J176 * $K176,
    0),
0)))</f>
        <v>272000</v>
      </c>
      <c r="R176" t="s">
        <v>19</v>
      </c>
      <c r="S176" t="s">
        <v>24</v>
      </c>
      <c r="T176">
        <f>IF($M176="PER-M2",
   ($N176 * $J176 * $K176)
   + IFERROR(VLOOKUP($R176,Finishing!A:B,2,FALSE),0)
   + IFERROR(VLOOKUP($S176,Kerumitan!A:B,2,FALSE),0),
IF($M176="PER-LUBANG",
   ($P176 * $L176 * $K176)
   + IFERROR(VLOOKUP($R176,Finishing!A:B,2,FALSE),0)
   + IFERROR(VLOOKUP($S176,Kerumitan!A:B,2,FALSE),0),
IF($M176="PER-M",
   ($O176 * $J176 * $K176)
   + IFERROR(VLOOKUP($R176,Finishing!A:B,2,FALSE),0)
   + IFERROR(VLOOKUP($S176,Kerumitan!A:B,2,FALSE),0),
0)))</f>
        <v>3142000</v>
      </c>
    </row>
    <row r="177" spans="1:20" x14ac:dyDescent="0.45">
      <c r="A177" t="s">
        <v>268</v>
      </c>
      <c r="B177" s="5">
        <v>45757</v>
      </c>
      <c r="C177">
        <f t="shared" si="2"/>
        <v>2025</v>
      </c>
      <c r="D177" t="s">
        <v>110</v>
      </c>
      <c r="E177" t="s">
        <v>108</v>
      </c>
      <c r="F177" t="s">
        <v>625</v>
      </c>
      <c r="G177" t="s">
        <v>15</v>
      </c>
      <c r="H177" t="s">
        <v>33</v>
      </c>
      <c r="I177">
        <v>1</v>
      </c>
      <c r="J177">
        <v>12.2</v>
      </c>
      <c r="K177">
        <v>2</v>
      </c>
      <c r="L177">
        <v>0</v>
      </c>
      <c r="M177" t="str" cm="1">
        <f t="array" ref="M177">_xlfn.IFS(
   OR($F177="Pagar", $F177="Pintu Gerbang", $F177="Pintu Handerson", $F177="Kanopi"), "PER-M2",
   $F177="Teralis", "PER-LUBANG",
   OR($F177="Railing", $F177="Railing/Balkon"), "PER-M",
   TRUE, ""
)</f>
        <v>PER-M</v>
      </c>
      <c r="N177" cm="1">
        <f t="array" ref="N177">IF($M177="PER-M2",
  IFERROR(
     _xlfn.IFS(
        $G177="Hollow",
            INDEX('Referensi Harga'!$C:$C,
                  MATCH($F177&amp;$C177,'Referensi Harga'!$A:$A&amp;'Referensi Harga'!$B:$B,0)),
        $G177="Hollow Stainless",
            INDEX('Referensi Harga'!$D:$D,
                  MATCH($F177&amp;$C177,'Referensi Harga'!$A:$A&amp;'Referensi Harga'!$B:$B,0)),
        $G177="Pipa Stainless",
            INDEX('Referensi Harga'!$E:$E,
                  MATCH($F177&amp;$C177,'Referensi Harga'!$A:$A&amp;'Referensi Harga'!$B:$B,0))
     ),0)
  + IFERROR(VLOOKUP($H177,'Profile Size'!$A:$B,2,FALSE),0)
  + IFERROR(VLOOKUP($I177,'Ketebalan Material'!$A:$B,2,FALSE),0),
0)</f>
        <v>0</v>
      </c>
      <c r="O177">
        <f>IF($M177="PER-M",
  IFERROR(
    IF($G177="Hollow",
       INDEX('Referensi Harga'!$C:$C, MATCH($F177 &amp; "|" &amp; $C177, 'Referensi Harga'!$F:$F, 0)),
    IF($G177="Hollow Stainless",
       INDEX('Referensi Harga'!$D:$D, MATCH($F177 &amp; "|" &amp; $C177, 'Referensi Harga'!$F:$F, 0)),
       INDEX('Referensi Harga'!$E:$E, MATCH($F177 &amp; "|" &amp; $C177, 'Referensi Harga'!$F:$F, 0))
    ))
    + IFERROR(VLOOKUP($H177, 'Profile Size'!$A:$B, 2, FALSE), 0)
    + IFERROR(VLOOKUP($I177, 'Ketebalan Material'!$A:$B, 2, FALSE), 0), 0),
0)</f>
        <v>1250000</v>
      </c>
      <c r="P177" cm="1">
        <f t="array" ref="P177">IF($M177="PER-LUBANG",
  IFERROR(
     _xlfn.IFS(
        $G177="Hollow",
            INDEX('Referensi Harga'!$C:$C,
                  MATCH($F177&amp;$C177,'Referensi Harga'!$A:$A&amp;'Referensi Harga'!$B:$B,0)),
        $G177="Hollow Stainless",
            INDEX('Referensi Harga'!$D:$D,
                  MATCH($F177&amp;$C177,'Referensi Harga'!$A:$A&amp;'Referensi Harga'!$B:$B,0)),
        $G177="Pipa Stainless",
            INDEX('Referensi Harga'!$E:$E,
                  MATCH($F177&amp;$C177,'Referensi Harga'!$A:$A&amp;'Referensi Harga'!$B:$B,0))
     ),0)
  + IFERROR(VLOOKUP($H177,'Profile Size'!$A:$B,2,FALSE),0)
  + IFERROR(VLOOKUP($I177,'Ketebalan Material'!$A:$B,2,FALSE),0),
0)</f>
        <v>0</v>
      </c>
      <c r="Q177">
        <f>IF($M177="PER-M2",
    IFERROR(
        SUMIFS('Upah Tenaga Ahli'!$C:$C,
               'Upah Tenaga Ahli'!$A:$A,"PER-M2",
               'Upah Tenaga Ahli'!$B:$B,$G177
        ) * $J177 * $K177,
    0),
IF($M177="PER-LUBANG",
    IFERROR(
        SUMIFS('Upah Tenaga Ahli'!$D:$D,
               'Upah Tenaga Ahli'!$A:$A,"PER-LUBANG",
               'Upah Tenaga Ahli'!$B:$B,$G177
        ) * $L177 * $K177,
    0),
IF($M177="PER-M",
    IFERROR(
        SUMIFS('Upah Tenaga Ahli'!$E:$E,
               'Upah Tenaga Ahli'!$A:$A,"PER-M",
               'Upah Tenaga Ahli'!$B:$B,$G177
        ) * $J177 * $K177,
    0),
0)))</f>
        <v>3660000</v>
      </c>
      <c r="R177" t="s">
        <v>617</v>
      </c>
      <c r="S177" t="s">
        <v>24</v>
      </c>
      <c r="T177">
        <f>IF($M177="PER-M2",
   ($N177 * $J177 * $K177)
   + IFERROR(VLOOKUP($R177,Finishing!A:B,2,FALSE),0)
   + IFERROR(VLOOKUP($S177,Kerumitan!A:B,2,FALSE),0),
IF($M177="PER-LUBANG",
   ($P177 * $L177 * $K177)
   + IFERROR(VLOOKUP($R177,Finishing!A:B,2,FALSE),0)
   + IFERROR(VLOOKUP($S177,Kerumitan!A:B,2,FALSE),0),
IF($M177="PER-M",
   ($O177 * $J177 * $K177)
   + IFERROR(VLOOKUP($R177,Finishing!A:B,2,FALSE),0)
   + IFERROR(VLOOKUP($S177,Kerumitan!A:B,2,FALSE),0),
0)))</f>
        <v>30600000</v>
      </c>
    </row>
    <row r="178" spans="1:20" x14ac:dyDescent="0.45">
      <c r="A178" t="s">
        <v>269</v>
      </c>
      <c r="B178" s="5">
        <v>44950</v>
      </c>
      <c r="C178">
        <f t="shared" si="2"/>
        <v>2023</v>
      </c>
      <c r="D178" t="s">
        <v>270</v>
      </c>
      <c r="E178" t="s">
        <v>69</v>
      </c>
      <c r="F178" t="s">
        <v>7</v>
      </c>
      <c r="G178" t="s">
        <v>14</v>
      </c>
      <c r="H178" t="s">
        <v>615</v>
      </c>
      <c r="I178">
        <v>1.2</v>
      </c>
      <c r="J178">
        <v>13.85</v>
      </c>
      <c r="K178">
        <v>1</v>
      </c>
      <c r="L178">
        <v>0</v>
      </c>
      <c r="M178" t="str" cm="1">
        <f t="array" ref="M178">_xlfn.IFS(
   OR($F178="Pagar", $F178="Pintu Gerbang", $F178="Pintu Handerson", $F178="Kanopi"), "PER-M2",
   $F178="Teralis", "PER-LUBANG",
   OR($F178="Railing", $F178="Railing/Balkon"), "PER-M",
   TRUE, ""
)</f>
        <v>PER-M2</v>
      </c>
      <c r="N178" cm="1">
        <f t="array" ref="N178">IF($M178="PER-M2",
  IFERROR(
     _xlfn.IFS(
        $G178="Hollow",
            INDEX('Referensi Harga'!$C:$C,
                  MATCH($F178&amp;$C178,'Referensi Harga'!$A:$A&amp;'Referensi Harga'!$B:$B,0)),
        $G178="Hollow Stainless",
            INDEX('Referensi Harga'!$D:$D,
                  MATCH($F178&amp;$C178,'Referensi Harga'!$A:$A&amp;'Referensi Harga'!$B:$B,0)),
        $G178="Pipa Stainless",
            INDEX('Referensi Harga'!$E:$E,
                  MATCH($F178&amp;$C178,'Referensi Harga'!$A:$A&amp;'Referensi Harga'!$B:$B,0))
     ),0)
  + IFERROR(VLOOKUP($H178,'Profile Size'!$A:$B,2,FALSE),0)
  + IFERROR(VLOOKUP($I178,'Ketebalan Material'!$A:$B,2,FALSE),0),
0)</f>
        <v>1350000</v>
      </c>
      <c r="O178">
        <f>IF($M178="PER-M",
  IFERROR(
    IF($G178="Hollow",
       INDEX('Referensi Harga'!$C:$C, MATCH($F178 &amp; "|" &amp; $C178, 'Referensi Harga'!$F:$F, 0)),
    IF($G178="Hollow Stainless",
       INDEX('Referensi Harga'!$D:$D, MATCH($F178 &amp; "|" &amp; $C178, 'Referensi Harga'!$F:$F, 0)),
       INDEX('Referensi Harga'!$E:$E, MATCH($F178 &amp; "|" &amp; $C178, 'Referensi Harga'!$F:$F, 0))
    ))
    + IFERROR(VLOOKUP($H178, 'Profile Size'!$A:$B, 2, FALSE), 0)
    + IFERROR(VLOOKUP($I178, 'Ketebalan Material'!$A:$B, 2, FALSE), 0), 0),
0)</f>
        <v>0</v>
      </c>
      <c r="P178" cm="1">
        <f t="array" ref="P178">IF($M178="PER-LUBANG",
  IFERROR(
     _xlfn.IFS(
        $G178="Hollow",
            INDEX('Referensi Harga'!$C:$C,
                  MATCH($F178&amp;$C178,'Referensi Harga'!$A:$A&amp;'Referensi Harga'!$B:$B,0)),
        $G178="Hollow Stainless",
            INDEX('Referensi Harga'!$D:$D,
                  MATCH($F178&amp;$C178,'Referensi Harga'!$A:$A&amp;'Referensi Harga'!$B:$B,0)),
        $G178="Pipa Stainless",
            INDEX('Referensi Harga'!$E:$E,
                  MATCH($F178&amp;$C178,'Referensi Harga'!$A:$A&amp;'Referensi Harga'!$B:$B,0))
     ),0)
  + IFERROR(VLOOKUP($H178,'Profile Size'!$A:$B,2,FALSE),0)
  + IFERROR(VLOOKUP($I178,'Ketebalan Material'!$A:$B,2,FALSE),0),
0)</f>
        <v>0</v>
      </c>
      <c r="Q178">
        <f>IF($M178="PER-M2",
    IFERROR(
        SUMIFS('Upah Tenaga Ahli'!$C:$C,
               'Upah Tenaga Ahli'!$A:$A,"PER-M2",
               'Upah Tenaga Ahli'!$B:$B,$G178
        ) * $J178 * $K178,
    0),
IF($M178="PER-LUBANG",
    IFERROR(
        SUMIFS('Upah Tenaga Ahli'!$D:$D,
               'Upah Tenaga Ahli'!$A:$A,"PER-LUBANG",
               'Upah Tenaga Ahli'!$B:$B,$G178
        ) * $L178 * $K178,
    0),
IF($M178="PER-M",
    IFERROR(
        SUMIFS('Upah Tenaga Ahli'!$E:$E,
               'Upah Tenaga Ahli'!$A:$A,"PER-M",
               'Upah Tenaga Ahli'!$B:$B,$G178
        ) * $J178 * $K178,
    0),
0)))</f>
        <v>2770000</v>
      </c>
      <c r="R178" t="s">
        <v>617</v>
      </c>
      <c r="S178" t="s">
        <v>24</v>
      </c>
      <c r="T178">
        <f>IF($M178="PER-M2",
   ($N178 * $J178 * $K178)
   + IFERROR(VLOOKUP($R178,Finishing!A:B,2,FALSE),0)
   + IFERROR(VLOOKUP($S178,Kerumitan!A:B,2,FALSE),0),
IF($M178="PER-LUBANG",
   ($P178 * $L178 * $K178)
   + IFERROR(VLOOKUP($R178,Finishing!A:B,2,FALSE),0)
   + IFERROR(VLOOKUP($S178,Kerumitan!A:B,2,FALSE),0),
IF($M178="PER-M",
   ($O178 * $J178 * $K178)
   + IFERROR(VLOOKUP($R178,Finishing!A:B,2,FALSE),0)
   + IFERROR(VLOOKUP($S178,Kerumitan!A:B,2,FALSE),0),
0)))</f>
        <v>18797500</v>
      </c>
    </row>
    <row r="179" spans="1:20" x14ac:dyDescent="0.45">
      <c r="A179" t="s">
        <v>271</v>
      </c>
      <c r="B179" s="5">
        <v>44101</v>
      </c>
      <c r="C179">
        <f t="shared" si="2"/>
        <v>2020</v>
      </c>
      <c r="D179" t="s">
        <v>90</v>
      </c>
      <c r="E179" t="s">
        <v>105</v>
      </c>
      <c r="F179" t="s">
        <v>6</v>
      </c>
      <c r="G179" t="s">
        <v>13</v>
      </c>
      <c r="H179" t="s">
        <v>46</v>
      </c>
      <c r="I179">
        <v>0.8</v>
      </c>
      <c r="J179">
        <v>14.75</v>
      </c>
      <c r="K179">
        <v>2</v>
      </c>
      <c r="L179">
        <v>0</v>
      </c>
      <c r="M179" t="str" cm="1">
        <f t="array" ref="M179">_xlfn.IFS(
   OR($F179="Pagar", $F179="Pintu Gerbang", $F179="Pintu Handerson", $F179="Kanopi"), "PER-M2",
   $F179="Teralis", "PER-LUBANG",
   OR($F179="Railing", $F179="Railing/Balkon"), "PER-M",
   TRUE, ""
)</f>
        <v>PER-M2</v>
      </c>
      <c r="N179" cm="1">
        <f t="array" ref="N179">IF($M179="PER-M2",
  IFERROR(
     _xlfn.IFS(
        $G179="Hollow",
            INDEX('Referensi Harga'!$C:$C,
                  MATCH($F179&amp;$C179,'Referensi Harga'!$A:$A&amp;'Referensi Harga'!$B:$B,0)),
        $G179="Hollow Stainless",
            INDEX('Referensi Harga'!$D:$D,
                  MATCH($F179&amp;$C179,'Referensi Harga'!$A:$A&amp;'Referensi Harga'!$B:$B,0)),
        $G179="Pipa Stainless",
            INDEX('Referensi Harga'!$E:$E,
                  MATCH($F179&amp;$C179,'Referensi Harga'!$A:$A&amp;'Referensi Harga'!$B:$B,0))
     ),0)
  + IFERROR(VLOOKUP($H179,'Profile Size'!$A:$B,2,FALSE),0)
  + IFERROR(VLOOKUP($I179,'Ketebalan Material'!$A:$B,2,FALSE),0),
0)</f>
        <v>400000</v>
      </c>
      <c r="O179">
        <f>IF($M179="PER-M",
  IFERROR(
    IF($G179="Hollow",
       INDEX('Referensi Harga'!$C:$C, MATCH($F179 &amp; "|" &amp; $C179, 'Referensi Harga'!$F:$F, 0)),
    IF($G179="Hollow Stainless",
       INDEX('Referensi Harga'!$D:$D, MATCH($F179 &amp; "|" &amp; $C179, 'Referensi Harga'!$F:$F, 0)),
       INDEX('Referensi Harga'!$E:$E, MATCH($F179 &amp; "|" &amp; $C179, 'Referensi Harga'!$F:$F, 0))
    ))
    + IFERROR(VLOOKUP($H179, 'Profile Size'!$A:$B, 2, FALSE), 0)
    + IFERROR(VLOOKUP($I179, 'Ketebalan Material'!$A:$B, 2, FALSE), 0), 0),
0)</f>
        <v>0</v>
      </c>
      <c r="P179" cm="1">
        <f t="array" ref="P179">IF($M179="PER-LUBANG",
  IFERROR(
     _xlfn.IFS(
        $G179="Hollow",
            INDEX('Referensi Harga'!$C:$C,
                  MATCH($F179&amp;$C179,'Referensi Harga'!$A:$A&amp;'Referensi Harga'!$B:$B,0)),
        $G179="Hollow Stainless",
            INDEX('Referensi Harga'!$D:$D,
                  MATCH($F179&amp;$C179,'Referensi Harga'!$A:$A&amp;'Referensi Harga'!$B:$B,0)),
        $G179="Pipa Stainless",
            INDEX('Referensi Harga'!$E:$E,
                  MATCH($F179&amp;$C179,'Referensi Harga'!$A:$A&amp;'Referensi Harga'!$B:$B,0))
     ),0)
  + IFERROR(VLOOKUP($H179,'Profile Size'!$A:$B,2,FALSE),0)
  + IFERROR(VLOOKUP($I179,'Ketebalan Material'!$A:$B,2,FALSE),0),
0)</f>
        <v>0</v>
      </c>
      <c r="Q179">
        <f>IF($M179="PER-M2",
    IFERROR(
        SUMIFS('Upah Tenaga Ahli'!$C:$C,
               'Upah Tenaga Ahli'!$A:$A,"PER-M2",
               'Upah Tenaga Ahli'!$B:$B,$G179
        ) * $J179 * $K179,
    0),
IF($M179="PER-LUBANG",
    IFERROR(
        SUMIFS('Upah Tenaga Ahli'!$D:$D,
               'Upah Tenaga Ahli'!$A:$A,"PER-LUBANG",
               'Upah Tenaga Ahli'!$B:$B,$G179
        ) * $L179 * $K179,
    0),
IF($M179="PER-M",
    IFERROR(
        SUMIFS('Upah Tenaga Ahli'!$E:$E,
               'Upah Tenaga Ahli'!$A:$A,"PER-M",
               'Upah Tenaga Ahli'!$B:$B,$G179
        ) * $J179 * $K179,
    0),
0)))</f>
        <v>2950000</v>
      </c>
      <c r="R179" t="s">
        <v>20</v>
      </c>
      <c r="S179" t="s">
        <v>23</v>
      </c>
      <c r="T179">
        <f>IF($M179="PER-M2",
   ($N179 * $J179 * $K179)
   + IFERROR(VLOOKUP($R179,Finishing!A:B,2,FALSE),0)
   + IFERROR(VLOOKUP($S179,Kerumitan!A:B,2,FALSE),0),
IF($M179="PER-LUBANG",
   ($P179 * $L179 * $K179)
   + IFERROR(VLOOKUP($R179,Finishing!A:B,2,FALSE),0)
   + IFERROR(VLOOKUP($S179,Kerumitan!A:B,2,FALSE),0),
IF($M179="PER-M",
   ($O179 * $J179 * $K179)
   + IFERROR(VLOOKUP($R179,Finishing!A:B,2,FALSE),0)
   + IFERROR(VLOOKUP($S179,Kerumitan!A:B,2,FALSE),0),
0)))</f>
        <v>11950000</v>
      </c>
    </row>
    <row r="180" spans="1:20" x14ac:dyDescent="0.45">
      <c r="A180" t="s">
        <v>272</v>
      </c>
      <c r="B180" s="5">
        <v>45657</v>
      </c>
      <c r="C180">
        <f t="shared" si="2"/>
        <v>2024</v>
      </c>
      <c r="D180" t="s">
        <v>139</v>
      </c>
      <c r="E180" t="s">
        <v>28</v>
      </c>
      <c r="F180" t="s">
        <v>10</v>
      </c>
      <c r="G180" t="s">
        <v>14</v>
      </c>
      <c r="H180" t="s">
        <v>614</v>
      </c>
      <c r="I180">
        <v>1</v>
      </c>
      <c r="J180">
        <v>2.15</v>
      </c>
      <c r="K180">
        <v>2</v>
      </c>
      <c r="L180">
        <v>0</v>
      </c>
      <c r="M180" t="str" cm="1">
        <f t="array" ref="M180">_xlfn.IFS(
   OR($F180="Pagar", $F180="Pintu Gerbang", $F180="Pintu Handerson", $F180="Kanopi"), "PER-M2",
   $F180="Teralis", "PER-LUBANG",
   OR($F180="Railing", $F180="Railing/Balkon"), "PER-M",
   TRUE, ""
)</f>
        <v>PER-M2</v>
      </c>
      <c r="N180" cm="1">
        <f t="array" ref="N180">IF($M180="PER-M2",
  IFERROR(
     _xlfn.IFS(
        $G180="Hollow",
            INDEX('Referensi Harga'!$C:$C,
                  MATCH($F180&amp;$C180,'Referensi Harga'!$A:$A&amp;'Referensi Harga'!$B:$B,0)),
        $G180="Hollow Stainless",
            INDEX('Referensi Harga'!$D:$D,
                  MATCH($F180&amp;$C180,'Referensi Harga'!$A:$A&amp;'Referensi Harga'!$B:$B,0)),
        $G180="Pipa Stainless",
            INDEX('Referensi Harga'!$E:$E,
                  MATCH($F180&amp;$C180,'Referensi Harga'!$A:$A&amp;'Referensi Harga'!$B:$B,0))
     ),0)
  + IFERROR(VLOOKUP($H180,'Profile Size'!$A:$B,2,FALSE),0)
  + IFERROR(VLOOKUP($I180,'Ketebalan Material'!$A:$B,2,FALSE),0),
0)</f>
        <v>1500000</v>
      </c>
      <c r="O180">
        <f>IF($M180="PER-M",
  IFERROR(
    IF($G180="Hollow",
       INDEX('Referensi Harga'!$C:$C, MATCH($F180 &amp; "|" &amp; $C180, 'Referensi Harga'!$F:$F, 0)),
    IF($G180="Hollow Stainless",
       INDEX('Referensi Harga'!$D:$D, MATCH($F180 &amp; "|" &amp; $C180, 'Referensi Harga'!$F:$F, 0)),
       INDEX('Referensi Harga'!$E:$E, MATCH($F180 &amp; "|" &amp; $C180, 'Referensi Harga'!$F:$F, 0))
    ))
    + IFERROR(VLOOKUP($H180, 'Profile Size'!$A:$B, 2, FALSE), 0)
    + IFERROR(VLOOKUP($I180, 'Ketebalan Material'!$A:$B, 2, FALSE), 0), 0),
0)</f>
        <v>0</v>
      </c>
      <c r="P180" cm="1">
        <f t="array" ref="P180">IF($M180="PER-LUBANG",
  IFERROR(
     _xlfn.IFS(
        $G180="Hollow",
            INDEX('Referensi Harga'!$C:$C,
                  MATCH($F180&amp;$C180,'Referensi Harga'!$A:$A&amp;'Referensi Harga'!$B:$B,0)),
        $G180="Hollow Stainless",
            INDEX('Referensi Harga'!$D:$D,
                  MATCH($F180&amp;$C180,'Referensi Harga'!$A:$A&amp;'Referensi Harga'!$B:$B,0)),
        $G180="Pipa Stainless",
            INDEX('Referensi Harga'!$E:$E,
                  MATCH($F180&amp;$C180,'Referensi Harga'!$A:$A&amp;'Referensi Harga'!$B:$B,0))
     ),0)
  + IFERROR(VLOOKUP($H180,'Profile Size'!$A:$B,2,FALSE),0)
  + IFERROR(VLOOKUP($I180,'Ketebalan Material'!$A:$B,2,FALSE),0),
0)</f>
        <v>0</v>
      </c>
      <c r="Q180">
        <f>IF($M180="PER-M2",
    IFERROR(
        SUMIFS('Upah Tenaga Ahli'!$C:$C,
               'Upah Tenaga Ahli'!$A:$A,"PER-M2",
               'Upah Tenaga Ahli'!$B:$B,$G180
        ) * $J180 * $K180,
    0),
IF($M180="PER-LUBANG",
    IFERROR(
        SUMIFS('Upah Tenaga Ahli'!$D:$D,
               'Upah Tenaga Ahli'!$A:$A,"PER-LUBANG",
               'Upah Tenaga Ahli'!$B:$B,$G180
        ) * $L180 * $K180,
    0),
IF($M180="PER-M",
    IFERROR(
        SUMIFS('Upah Tenaga Ahli'!$E:$E,
               'Upah Tenaga Ahli'!$A:$A,"PER-M",
               'Upah Tenaga Ahli'!$B:$B,$G180
        ) * $J180 * $K180,
    0),
0)))</f>
        <v>860000</v>
      </c>
      <c r="R180" t="s">
        <v>617</v>
      </c>
      <c r="S180" t="s">
        <v>23</v>
      </c>
      <c r="T180">
        <f>IF($M180="PER-M2",
   ($N180 * $J180 * $K180)
   + IFERROR(VLOOKUP($R180,Finishing!A:B,2,FALSE),0)
   + IFERROR(VLOOKUP($S180,Kerumitan!A:B,2,FALSE),0),
IF($M180="PER-LUBANG",
   ($P180 * $L180 * $K180)
   + IFERROR(VLOOKUP($R180,Finishing!A:B,2,FALSE),0)
   + IFERROR(VLOOKUP($S180,Kerumitan!A:B,2,FALSE),0),
IF($M180="PER-M",
   ($O180 * $J180 * $K180)
   + IFERROR(VLOOKUP($R180,Finishing!A:B,2,FALSE),0)
   + IFERROR(VLOOKUP($S180,Kerumitan!A:B,2,FALSE),0),
0)))</f>
        <v>6450000</v>
      </c>
    </row>
    <row r="181" spans="1:20" x14ac:dyDescent="0.45">
      <c r="A181" t="s">
        <v>273</v>
      </c>
      <c r="B181" s="5">
        <v>45589</v>
      </c>
      <c r="C181">
        <f t="shared" si="2"/>
        <v>2024</v>
      </c>
      <c r="D181" t="s">
        <v>31</v>
      </c>
      <c r="E181" t="s">
        <v>32</v>
      </c>
      <c r="F181" t="s">
        <v>7</v>
      </c>
      <c r="G181" t="s">
        <v>13</v>
      </c>
      <c r="H181" t="s">
        <v>46</v>
      </c>
      <c r="I181">
        <v>1</v>
      </c>
      <c r="J181">
        <v>7.47</v>
      </c>
      <c r="K181">
        <v>1</v>
      </c>
      <c r="L181">
        <v>0</v>
      </c>
      <c r="M181" t="str" cm="1">
        <f t="array" ref="M181">_xlfn.IFS(
   OR($F181="Pagar", $F181="Pintu Gerbang", $F181="Pintu Handerson", $F181="Kanopi"), "PER-M2",
   $F181="Teralis", "PER-LUBANG",
   OR($F181="Railing", $F181="Railing/Balkon"), "PER-M",
   TRUE, ""
)</f>
        <v>PER-M2</v>
      </c>
      <c r="N181" cm="1">
        <f t="array" ref="N181">IF($M181="PER-M2",
  IFERROR(
     _xlfn.IFS(
        $G181="Hollow",
            INDEX('Referensi Harga'!$C:$C,
                  MATCH($F181&amp;$C181,'Referensi Harga'!$A:$A&amp;'Referensi Harga'!$B:$B,0)),
        $G181="Hollow Stainless",
            INDEX('Referensi Harga'!$D:$D,
                  MATCH($F181&amp;$C181,'Referensi Harga'!$A:$A&amp;'Referensi Harga'!$B:$B,0)),
        $G181="Pipa Stainless",
            INDEX('Referensi Harga'!$E:$E,
                  MATCH($F181&amp;$C181,'Referensi Harga'!$A:$A&amp;'Referensi Harga'!$B:$B,0))
     ),0)
  + IFERROR(VLOOKUP($H181,'Profile Size'!$A:$B,2,FALSE),0)
  + IFERROR(VLOOKUP($I181,'Ketebalan Material'!$A:$B,2,FALSE),0),
0)</f>
        <v>850000</v>
      </c>
      <c r="O181">
        <f>IF($M181="PER-M",
  IFERROR(
    IF($G181="Hollow",
       INDEX('Referensi Harga'!$C:$C, MATCH($F181 &amp; "|" &amp; $C181, 'Referensi Harga'!$F:$F, 0)),
    IF($G181="Hollow Stainless",
       INDEX('Referensi Harga'!$D:$D, MATCH($F181 &amp; "|" &amp; $C181, 'Referensi Harga'!$F:$F, 0)),
       INDEX('Referensi Harga'!$E:$E, MATCH($F181 &amp; "|" &amp; $C181, 'Referensi Harga'!$F:$F, 0))
    ))
    + IFERROR(VLOOKUP($H181, 'Profile Size'!$A:$B, 2, FALSE), 0)
    + IFERROR(VLOOKUP($I181, 'Ketebalan Material'!$A:$B, 2, FALSE), 0), 0),
0)</f>
        <v>0</v>
      </c>
      <c r="P181" cm="1">
        <f t="array" ref="P181">IF($M181="PER-LUBANG",
  IFERROR(
     _xlfn.IFS(
        $G181="Hollow",
            INDEX('Referensi Harga'!$C:$C,
                  MATCH($F181&amp;$C181,'Referensi Harga'!$A:$A&amp;'Referensi Harga'!$B:$B,0)),
        $G181="Hollow Stainless",
            INDEX('Referensi Harga'!$D:$D,
                  MATCH($F181&amp;$C181,'Referensi Harga'!$A:$A&amp;'Referensi Harga'!$B:$B,0)),
        $G181="Pipa Stainless",
            INDEX('Referensi Harga'!$E:$E,
                  MATCH($F181&amp;$C181,'Referensi Harga'!$A:$A&amp;'Referensi Harga'!$B:$B,0))
     ),0)
  + IFERROR(VLOOKUP($H181,'Profile Size'!$A:$B,2,FALSE),0)
  + IFERROR(VLOOKUP($I181,'Ketebalan Material'!$A:$B,2,FALSE),0),
0)</f>
        <v>0</v>
      </c>
      <c r="Q181">
        <f>IF($M181="PER-M2",
    IFERROR(
        SUMIFS('Upah Tenaga Ahli'!$C:$C,
               'Upah Tenaga Ahli'!$A:$A,"PER-M2",
               'Upah Tenaga Ahli'!$B:$B,$G181
        ) * $J181 * $K181,
    0),
IF($M181="PER-LUBANG",
    IFERROR(
        SUMIFS('Upah Tenaga Ahli'!$D:$D,
               'Upah Tenaga Ahli'!$A:$A,"PER-LUBANG",
               'Upah Tenaga Ahli'!$B:$B,$G181
        ) * $L181 * $K181,
    0),
IF($M181="PER-M",
    IFERROR(
        SUMIFS('Upah Tenaga Ahli'!$E:$E,
               'Upah Tenaga Ahli'!$A:$A,"PER-M",
               'Upah Tenaga Ahli'!$B:$B,$G181
        ) * $J181 * $K181,
    0),
0)))</f>
        <v>747000</v>
      </c>
      <c r="R181" t="s">
        <v>18</v>
      </c>
      <c r="S181" t="s">
        <v>24</v>
      </c>
      <c r="T181">
        <f>IF($M181="PER-M2",
   ($N181 * $J181 * $K181)
   + IFERROR(VLOOKUP($R181,Finishing!A:B,2,FALSE),0)
   + IFERROR(VLOOKUP($S181,Kerumitan!A:B,2,FALSE),0),
IF($M181="PER-LUBANG",
   ($P181 * $L181 * $K181)
   + IFERROR(VLOOKUP($R181,Finishing!A:B,2,FALSE),0)
   + IFERROR(VLOOKUP($S181,Kerumitan!A:B,2,FALSE),0),
IF($M181="PER-M",
   ($O181 * $J181 * $K181)
   + IFERROR(VLOOKUP($R181,Finishing!A:B,2,FALSE),0)
   + IFERROR(VLOOKUP($S181,Kerumitan!A:B,2,FALSE),0),
0)))</f>
        <v>6449500</v>
      </c>
    </row>
    <row r="182" spans="1:20" x14ac:dyDescent="0.45">
      <c r="A182" t="s">
        <v>274</v>
      </c>
      <c r="B182" s="5">
        <v>45967</v>
      </c>
      <c r="C182">
        <f t="shared" si="2"/>
        <v>2025</v>
      </c>
      <c r="D182" t="s">
        <v>270</v>
      </c>
      <c r="E182" t="s">
        <v>75</v>
      </c>
      <c r="F182" t="s">
        <v>7</v>
      </c>
      <c r="G182" t="s">
        <v>14</v>
      </c>
      <c r="H182" t="s">
        <v>615</v>
      </c>
      <c r="I182">
        <v>0.8</v>
      </c>
      <c r="J182">
        <v>4.17</v>
      </c>
      <c r="K182">
        <v>1</v>
      </c>
      <c r="L182">
        <v>0</v>
      </c>
      <c r="M182" t="str" cm="1">
        <f t="array" ref="M182">_xlfn.IFS(
   OR($F182="Pagar", $F182="Pintu Gerbang", $F182="Pintu Handerson", $F182="Kanopi"), "PER-M2",
   $F182="Teralis", "PER-LUBANG",
   OR($F182="Railing", $F182="Railing/Balkon"), "PER-M",
   TRUE, ""
)</f>
        <v>PER-M2</v>
      </c>
      <c r="N182" cm="1">
        <f t="array" ref="N182">IF($M182="PER-M2",
  IFERROR(
     _xlfn.IFS(
        $G182="Hollow",
            INDEX('Referensi Harga'!$C:$C,
                  MATCH($F182&amp;$C182,'Referensi Harga'!$A:$A&amp;'Referensi Harga'!$B:$B,0)),
        $G182="Hollow Stainless",
            INDEX('Referensi Harga'!$D:$D,
                  MATCH($F182&amp;$C182,'Referensi Harga'!$A:$A&amp;'Referensi Harga'!$B:$B,0)),
        $G182="Pipa Stainless",
            INDEX('Referensi Harga'!$E:$E,
                  MATCH($F182&amp;$C182,'Referensi Harga'!$A:$A&amp;'Referensi Harga'!$B:$B,0))
     ),0)
  + IFERROR(VLOOKUP($H182,'Profile Size'!$A:$B,2,FALSE),0)
  + IFERROR(VLOOKUP($I182,'Ketebalan Material'!$A:$B,2,FALSE),0),
0)</f>
        <v>1300000</v>
      </c>
      <c r="O182">
        <f>IF($M182="PER-M",
  IFERROR(
    IF($G182="Hollow",
       INDEX('Referensi Harga'!$C:$C, MATCH($F182 &amp; "|" &amp; $C182, 'Referensi Harga'!$F:$F, 0)),
    IF($G182="Hollow Stainless",
       INDEX('Referensi Harga'!$D:$D, MATCH($F182 &amp; "|" &amp; $C182, 'Referensi Harga'!$F:$F, 0)),
       INDEX('Referensi Harga'!$E:$E, MATCH($F182 &amp; "|" &amp; $C182, 'Referensi Harga'!$F:$F, 0))
    ))
    + IFERROR(VLOOKUP($H182, 'Profile Size'!$A:$B, 2, FALSE), 0)
    + IFERROR(VLOOKUP($I182, 'Ketebalan Material'!$A:$B, 2, FALSE), 0), 0),
0)</f>
        <v>0</v>
      </c>
      <c r="P182" cm="1">
        <f t="array" ref="P182">IF($M182="PER-LUBANG",
  IFERROR(
     _xlfn.IFS(
        $G182="Hollow",
            INDEX('Referensi Harga'!$C:$C,
                  MATCH($F182&amp;$C182,'Referensi Harga'!$A:$A&amp;'Referensi Harga'!$B:$B,0)),
        $G182="Hollow Stainless",
            INDEX('Referensi Harga'!$D:$D,
                  MATCH($F182&amp;$C182,'Referensi Harga'!$A:$A&amp;'Referensi Harga'!$B:$B,0)),
        $G182="Pipa Stainless",
            INDEX('Referensi Harga'!$E:$E,
                  MATCH($F182&amp;$C182,'Referensi Harga'!$A:$A&amp;'Referensi Harga'!$B:$B,0))
     ),0)
  + IFERROR(VLOOKUP($H182,'Profile Size'!$A:$B,2,FALSE),0)
  + IFERROR(VLOOKUP($I182,'Ketebalan Material'!$A:$B,2,FALSE),0),
0)</f>
        <v>0</v>
      </c>
      <c r="Q182">
        <f>IF($M182="PER-M2",
    IFERROR(
        SUMIFS('Upah Tenaga Ahli'!$C:$C,
               'Upah Tenaga Ahli'!$A:$A,"PER-M2",
               'Upah Tenaga Ahli'!$B:$B,$G182
        ) * $J182 * $K182,
    0),
IF($M182="PER-LUBANG",
    IFERROR(
        SUMIFS('Upah Tenaga Ahli'!$D:$D,
               'Upah Tenaga Ahli'!$A:$A,"PER-LUBANG",
               'Upah Tenaga Ahli'!$B:$B,$G182
        ) * $L182 * $K182,
    0),
IF($M182="PER-M",
    IFERROR(
        SUMIFS('Upah Tenaga Ahli'!$E:$E,
               'Upah Tenaga Ahli'!$A:$A,"PER-M",
               'Upah Tenaga Ahli'!$B:$B,$G182
        ) * $J182 * $K182,
    0),
0)))</f>
        <v>834000</v>
      </c>
      <c r="R182" t="s">
        <v>617</v>
      </c>
      <c r="S182" t="s">
        <v>24</v>
      </c>
      <c r="T182">
        <f>IF($M182="PER-M2",
   ($N182 * $J182 * $K182)
   + IFERROR(VLOOKUP($R182,Finishing!A:B,2,FALSE),0)
   + IFERROR(VLOOKUP($S182,Kerumitan!A:B,2,FALSE),0),
IF($M182="PER-LUBANG",
   ($P182 * $L182 * $K182)
   + IFERROR(VLOOKUP($R182,Finishing!A:B,2,FALSE),0)
   + IFERROR(VLOOKUP($S182,Kerumitan!A:B,2,FALSE),0),
IF($M182="PER-M",
   ($O182 * $J182 * $K182)
   + IFERROR(VLOOKUP($R182,Finishing!A:B,2,FALSE),0)
   + IFERROR(VLOOKUP($S182,Kerumitan!A:B,2,FALSE),0),
0)))</f>
        <v>5521000</v>
      </c>
    </row>
    <row r="183" spans="1:20" x14ac:dyDescent="0.45">
      <c r="A183" t="s">
        <v>275</v>
      </c>
      <c r="B183" s="5">
        <v>45868</v>
      </c>
      <c r="C183">
        <f t="shared" si="2"/>
        <v>2025</v>
      </c>
      <c r="D183" t="s">
        <v>133</v>
      </c>
      <c r="E183" t="s">
        <v>69</v>
      </c>
      <c r="F183" t="s">
        <v>10</v>
      </c>
      <c r="G183" t="s">
        <v>13</v>
      </c>
      <c r="H183" t="s">
        <v>35</v>
      </c>
      <c r="I183">
        <v>1</v>
      </c>
      <c r="J183">
        <v>3.4</v>
      </c>
      <c r="K183">
        <v>1</v>
      </c>
      <c r="L183">
        <v>0</v>
      </c>
      <c r="M183" t="str" cm="1">
        <f t="array" ref="M183">_xlfn.IFS(
   OR($F183="Pagar", $F183="Pintu Gerbang", $F183="Pintu Handerson", $F183="Kanopi"), "PER-M2",
   $F183="Teralis", "PER-LUBANG",
   OR($F183="Railing", $F183="Railing/Balkon"), "PER-M",
   TRUE, ""
)</f>
        <v>PER-M2</v>
      </c>
      <c r="N183" cm="1">
        <f t="array" ref="N183">IF($M183="PER-M2",
  IFERROR(
     _xlfn.IFS(
        $G183="Hollow",
            INDEX('Referensi Harga'!$C:$C,
                  MATCH($F183&amp;$C183,'Referensi Harga'!$A:$A&amp;'Referensi Harga'!$B:$B,0)),
        $G183="Hollow Stainless",
            INDEX('Referensi Harga'!$D:$D,
                  MATCH($F183&amp;$C183,'Referensi Harga'!$A:$A&amp;'Referensi Harga'!$B:$B,0)),
        $G183="Pipa Stainless",
            INDEX('Referensi Harga'!$E:$E,
                  MATCH($F183&amp;$C183,'Referensi Harga'!$A:$A&amp;'Referensi Harga'!$B:$B,0))
     ),0)
  + IFERROR(VLOOKUP($H183,'Profile Size'!$A:$B,2,FALSE),0)
  + IFERROR(VLOOKUP($I183,'Ketebalan Material'!$A:$B,2,FALSE),0),
0)</f>
        <v>1050000</v>
      </c>
      <c r="O183">
        <f>IF($M183="PER-M",
  IFERROR(
    IF($G183="Hollow",
       INDEX('Referensi Harga'!$C:$C, MATCH($F183 &amp; "|" &amp; $C183, 'Referensi Harga'!$F:$F, 0)),
    IF($G183="Hollow Stainless",
       INDEX('Referensi Harga'!$D:$D, MATCH($F183 &amp; "|" &amp; $C183, 'Referensi Harga'!$F:$F, 0)),
       INDEX('Referensi Harga'!$E:$E, MATCH($F183 &amp; "|" &amp; $C183, 'Referensi Harga'!$F:$F, 0))
    ))
    + IFERROR(VLOOKUP($H183, 'Profile Size'!$A:$B, 2, FALSE), 0)
    + IFERROR(VLOOKUP($I183, 'Ketebalan Material'!$A:$B, 2, FALSE), 0), 0),
0)</f>
        <v>0</v>
      </c>
      <c r="P183" cm="1">
        <f t="array" ref="P183">IF($M183="PER-LUBANG",
  IFERROR(
     _xlfn.IFS(
        $G183="Hollow",
            INDEX('Referensi Harga'!$C:$C,
                  MATCH($F183&amp;$C183,'Referensi Harga'!$A:$A&amp;'Referensi Harga'!$B:$B,0)),
        $G183="Hollow Stainless",
            INDEX('Referensi Harga'!$D:$D,
                  MATCH($F183&amp;$C183,'Referensi Harga'!$A:$A&amp;'Referensi Harga'!$B:$B,0)),
        $G183="Pipa Stainless",
            INDEX('Referensi Harga'!$E:$E,
                  MATCH($F183&amp;$C183,'Referensi Harga'!$A:$A&amp;'Referensi Harga'!$B:$B,0))
     ),0)
  + IFERROR(VLOOKUP($H183,'Profile Size'!$A:$B,2,FALSE),0)
  + IFERROR(VLOOKUP($I183,'Ketebalan Material'!$A:$B,2,FALSE),0),
0)</f>
        <v>0</v>
      </c>
      <c r="Q183">
        <f>IF($M183="PER-M2",
    IFERROR(
        SUMIFS('Upah Tenaga Ahli'!$C:$C,
               'Upah Tenaga Ahli'!$A:$A,"PER-M2",
               'Upah Tenaga Ahli'!$B:$B,$G183
        ) * $J183 * $K183,
    0),
IF($M183="PER-LUBANG",
    IFERROR(
        SUMIFS('Upah Tenaga Ahli'!$D:$D,
               'Upah Tenaga Ahli'!$A:$A,"PER-LUBANG",
               'Upah Tenaga Ahli'!$B:$B,$G183
        ) * $L183 * $K183,
    0),
IF($M183="PER-M",
    IFERROR(
        SUMIFS('Upah Tenaga Ahli'!$E:$E,
               'Upah Tenaga Ahli'!$A:$A,"PER-M",
               'Upah Tenaga Ahli'!$B:$B,$G183
        ) * $J183 * $K183,
    0),
0)))</f>
        <v>340000</v>
      </c>
      <c r="R183" t="s">
        <v>20</v>
      </c>
      <c r="S183" t="s">
        <v>24</v>
      </c>
      <c r="T183">
        <f>IF($M183="PER-M2",
   ($N183 * $J183 * $K183)
   + IFERROR(VLOOKUP($R183,Finishing!A:B,2,FALSE),0)
   + IFERROR(VLOOKUP($S183,Kerumitan!A:B,2,FALSE),0),
IF($M183="PER-LUBANG",
   ($P183 * $L183 * $K183)
   + IFERROR(VLOOKUP($R183,Finishing!A:B,2,FALSE),0)
   + IFERROR(VLOOKUP($S183,Kerumitan!A:B,2,FALSE),0),
IF($M183="PER-M",
   ($O183 * $J183 * $K183)
   + IFERROR(VLOOKUP($R183,Finishing!A:B,2,FALSE),0)
   + IFERROR(VLOOKUP($S183,Kerumitan!A:B,2,FALSE),0),
0)))</f>
        <v>3820000</v>
      </c>
    </row>
    <row r="184" spans="1:20" x14ac:dyDescent="0.45">
      <c r="A184" t="s">
        <v>276</v>
      </c>
      <c r="B184" s="5">
        <v>45152</v>
      </c>
      <c r="C184">
        <f t="shared" si="2"/>
        <v>2023</v>
      </c>
      <c r="D184" t="s">
        <v>68</v>
      </c>
      <c r="E184" t="s">
        <v>105</v>
      </c>
      <c r="F184" t="s">
        <v>8</v>
      </c>
      <c r="G184" t="s">
        <v>15</v>
      </c>
      <c r="H184" t="s">
        <v>612</v>
      </c>
      <c r="I184">
        <v>0.8</v>
      </c>
      <c r="J184">
        <v>0</v>
      </c>
      <c r="K184">
        <v>1</v>
      </c>
      <c r="L184">
        <v>21</v>
      </c>
      <c r="M184" t="str" cm="1">
        <f t="array" ref="M184">_xlfn.IFS(
   OR($F184="Pagar", $F184="Pintu Gerbang", $F184="Pintu Handerson", $F184="Kanopi"), "PER-M2",
   $F184="Teralis", "PER-LUBANG",
   OR($F184="Railing", $F184="Railing/Balkon"), "PER-M",
   TRUE, ""
)</f>
        <v>PER-LUBANG</v>
      </c>
      <c r="N184" cm="1">
        <f t="array" ref="N184">IF($M184="PER-M2",
  IFERROR(
     _xlfn.IFS(
        $G184="Hollow",
            INDEX('Referensi Harga'!$C:$C,
                  MATCH($F184&amp;$C184,'Referensi Harga'!$A:$A&amp;'Referensi Harga'!$B:$B,0)),
        $G184="Hollow Stainless",
            INDEX('Referensi Harga'!$D:$D,
                  MATCH($F184&amp;$C184,'Referensi Harga'!$A:$A&amp;'Referensi Harga'!$B:$B,0)),
        $G184="Pipa Stainless",
            INDEX('Referensi Harga'!$E:$E,
                  MATCH($F184&amp;$C184,'Referensi Harga'!$A:$A&amp;'Referensi Harga'!$B:$B,0))
     ),0)
  + IFERROR(VLOOKUP($H184,'Profile Size'!$A:$B,2,FALSE),0)
  + IFERROR(VLOOKUP($I184,'Ketebalan Material'!$A:$B,2,FALSE),0),
0)</f>
        <v>0</v>
      </c>
      <c r="O184">
        <f>IF($M184="PER-M",
  IFERROR(
    IF($G184="Hollow",
       INDEX('Referensi Harga'!$C:$C, MATCH($F184 &amp; "|" &amp; $C184, 'Referensi Harga'!$F:$F, 0)),
    IF($G184="Hollow Stainless",
       INDEX('Referensi Harga'!$D:$D, MATCH($F184 &amp; "|" &amp; $C184, 'Referensi Harga'!$F:$F, 0)),
       INDEX('Referensi Harga'!$E:$E, MATCH($F184 &amp; "|" &amp; $C184, 'Referensi Harga'!$F:$F, 0))
    ))
    + IFERROR(VLOOKUP($H184, 'Profile Size'!$A:$B, 2, FALSE), 0)
    + IFERROR(VLOOKUP($I184, 'Ketebalan Material'!$A:$B, 2, FALSE), 0), 0),
0)</f>
        <v>0</v>
      </c>
      <c r="P184" cm="1">
        <f t="array" ref="P184">IF($M184="PER-LUBANG",
  IFERROR(
     _xlfn.IFS(
        $G184="Hollow",
            INDEX('Referensi Harga'!$C:$C,
                  MATCH($F184&amp;$C184,'Referensi Harga'!$A:$A&amp;'Referensi Harga'!$B:$B,0)),
        $G184="Hollow Stainless",
            INDEX('Referensi Harga'!$D:$D,
                  MATCH($F184&amp;$C184,'Referensi Harga'!$A:$A&amp;'Referensi Harga'!$B:$B,0)),
        $G184="Pipa Stainless",
            INDEX('Referensi Harga'!$E:$E,
                  MATCH($F184&amp;$C184,'Referensi Harga'!$A:$A&amp;'Referensi Harga'!$B:$B,0))
     ),0)
  + IFERROR(VLOOKUP($H184,'Profile Size'!$A:$B,2,FALSE),0)
  + IFERROR(VLOOKUP($I184,'Ketebalan Material'!$A:$B,2,FALSE),0),
0)</f>
        <v>800000</v>
      </c>
      <c r="Q184">
        <f>IF($M184="PER-M2",
    IFERROR(
        SUMIFS('Upah Tenaga Ahli'!$C:$C,
               'Upah Tenaga Ahli'!$A:$A,"PER-M2",
               'Upah Tenaga Ahli'!$B:$B,$G184
        ) * $J184 * $K184,
    0),
IF($M184="PER-LUBANG",
    IFERROR(
        SUMIFS('Upah Tenaga Ahli'!$D:$D,
               'Upah Tenaga Ahli'!$A:$A,"PER-LUBANG",
               'Upah Tenaga Ahli'!$B:$B,$G184
        ) * $L184 * $K184,
    0),
IF($M184="PER-M",
    IFERROR(
        SUMIFS('Upah Tenaga Ahli'!$E:$E,
               'Upah Tenaga Ahli'!$A:$A,"PER-M",
               'Upah Tenaga Ahli'!$B:$B,$G184
        ) * $J184 * $K184,
    0),
0)))</f>
        <v>3150000</v>
      </c>
      <c r="R184" t="s">
        <v>617</v>
      </c>
      <c r="S184" t="s">
        <v>25</v>
      </c>
      <c r="T184">
        <f>IF($M184="PER-M2",
   ($N184 * $J184 * $K184)
   + IFERROR(VLOOKUP($R184,Finishing!A:B,2,FALSE),0)
   + IFERROR(VLOOKUP($S184,Kerumitan!A:B,2,FALSE),0),
IF($M184="PER-LUBANG",
   ($P184 * $L184 * $K184)
   + IFERROR(VLOOKUP($R184,Finishing!A:B,2,FALSE),0)
   + IFERROR(VLOOKUP($S184,Kerumitan!A:B,2,FALSE),0),
IF($M184="PER-M",
   ($O184 * $J184 * $K184)
   + IFERROR(VLOOKUP($R184,Finishing!A:B,2,FALSE),0)
   + IFERROR(VLOOKUP($S184,Kerumitan!A:B,2,FALSE),0),
0)))</f>
        <v>16950000</v>
      </c>
    </row>
    <row r="185" spans="1:20" x14ac:dyDescent="0.45">
      <c r="A185" t="s">
        <v>277</v>
      </c>
      <c r="B185" s="5">
        <v>43644</v>
      </c>
      <c r="C185">
        <f t="shared" si="2"/>
        <v>2019</v>
      </c>
      <c r="D185" t="s">
        <v>37</v>
      </c>
      <c r="E185" t="s">
        <v>54</v>
      </c>
      <c r="F185" t="s">
        <v>625</v>
      </c>
      <c r="G185" t="s">
        <v>14</v>
      </c>
      <c r="H185" t="s">
        <v>46</v>
      </c>
      <c r="I185">
        <v>1.2</v>
      </c>
      <c r="J185">
        <v>10.57</v>
      </c>
      <c r="K185">
        <v>3</v>
      </c>
      <c r="L185">
        <v>0</v>
      </c>
      <c r="M185" t="str" cm="1">
        <f t="array" ref="M185">_xlfn.IFS(
   OR($F185="Pagar", $F185="Pintu Gerbang", $F185="Pintu Handerson", $F185="Kanopi"), "PER-M2",
   $F185="Teralis", "PER-LUBANG",
   OR($F185="Railing", $F185="Railing/Balkon"), "PER-M",
   TRUE, ""
)</f>
        <v>PER-M</v>
      </c>
      <c r="N185" cm="1">
        <f t="array" ref="N185">IF($M185="PER-M2",
  IFERROR(
     _xlfn.IFS(
        $G185="Hollow",
            INDEX('Referensi Harga'!$C:$C,
                  MATCH($F185&amp;$C185,'Referensi Harga'!$A:$A&amp;'Referensi Harga'!$B:$B,0)),
        $G185="Hollow Stainless",
            INDEX('Referensi Harga'!$D:$D,
                  MATCH($F185&amp;$C185,'Referensi Harga'!$A:$A&amp;'Referensi Harga'!$B:$B,0)),
        $G185="Pipa Stainless",
            INDEX('Referensi Harga'!$E:$E,
                  MATCH($F185&amp;$C185,'Referensi Harga'!$A:$A&amp;'Referensi Harga'!$B:$B,0))
     ),0)
  + IFERROR(VLOOKUP($H185,'Profile Size'!$A:$B,2,FALSE),0)
  + IFERROR(VLOOKUP($I185,'Ketebalan Material'!$A:$B,2,FALSE),0),
0)</f>
        <v>0</v>
      </c>
      <c r="O185">
        <f>IF($M185="PER-M",
  IFERROR(
    IF($G185="Hollow",
       INDEX('Referensi Harga'!$C:$C, MATCH($F185 &amp; "|" &amp; $C185, 'Referensi Harga'!$F:$F, 0)),
    IF($G185="Hollow Stainless",
       INDEX('Referensi Harga'!$D:$D, MATCH($F185 &amp; "|" &amp; $C185, 'Referensi Harga'!$F:$F, 0)),
       INDEX('Referensi Harga'!$E:$E, MATCH($F185 &amp; "|" &amp; $C185, 'Referensi Harga'!$F:$F, 0))
    ))
    + IFERROR(VLOOKUP($H185, 'Profile Size'!$A:$B, 2, FALSE), 0)
    + IFERROR(VLOOKUP($I185, 'Ketebalan Material'!$A:$B, 2, FALSE), 0), 0),
0)</f>
        <v>1000000</v>
      </c>
      <c r="P185" cm="1">
        <f t="array" ref="P185">IF($M185="PER-LUBANG",
  IFERROR(
     _xlfn.IFS(
        $G185="Hollow",
            INDEX('Referensi Harga'!$C:$C,
                  MATCH($F185&amp;$C185,'Referensi Harga'!$A:$A&amp;'Referensi Harga'!$B:$B,0)),
        $G185="Hollow Stainless",
            INDEX('Referensi Harga'!$D:$D,
                  MATCH($F185&amp;$C185,'Referensi Harga'!$A:$A&amp;'Referensi Harga'!$B:$B,0)),
        $G185="Pipa Stainless",
            INDEX('Referensi Harga'!$E:$E,
                  MATCH($F185&amp;$C185,'Referensi Harga'!$A:$A&amp;'Referensi Harga'!$B:$B,0))
     ),0)
  + IFERROR(VLOOKUP($H185,'Profile Size'!$A:$B,2,FALSE),0)
  + IFERROR(VLOOKUP($I185,'Ketebalan Material'!$A:$B,2,FALSE),0),
0)</f>
        <v>0</v>
      </c>
      <c r="Q185">
        <f>IF($M185="PER-M2",
    IFERROR(
        SUMIFS('Upah Tenaga Ahli'!$C:$C,
               'Upah Tenaga Ahli'!$A:$A,"PER-M2",
               'Upah Tenaga Ahli'!$B:$B,$G185
        ) * $J185 * $K185,
    0),
IF($M185="PER-LUBANG",
    IFERROR(
        SUMIFS('Upah Tenaga Ahli'!$D:$D,
               'Upah Tenaga Ahli'!$A:$A,"PER-LUBANG",
               'Upah Tenaga Ahli'!$B:$B,$G185
        ) * $L185 * $K185,
    0),
IF($M185="PER-M",
    IFERROR(
        SUMIFS('Upah Tenaga Ahli'!$E:$E,
               'Upah Tenaga Ahli'!$A:$A,"PER-M",
               'Upah Tenaga Ahli'!$B:$B,$G185
        ) * $J185 * $K185,
    0),
0)))</f>
        <v>6342000</v>
      </c>
      <c r="R185" t="s">
        <v>617</v>
      </c>
      <c r="S185" t="s">
        <v>23</v>
      </c>
      <c r="T185">
        <f>IF($M185="PER-M2",
   ($N185 * $J185 * $K185)
   + IFERROR(VLOOKUP($R185,Finishing!A:B,2,FALSE),0)
   + IFERROR(VLOOKUP($S185,Kerumitan!A:B,2,FALSE),0),
IF($M185="PER-LUBANG",
   ($P185 * $L185 * $K185)
   + IFERROR(VLOOKUP($R185,Finishing!A:B,2,FALSE),0)
   + IFERROR(VLOOKUP($S185,Kerumitan!A:B,2,FALSE),0),
IF($M185="PER-M",
   ($O185 * $J185 * $K185)
   + IFERROR(VLOOKUP($R185,Finishing!A:B,2,FALSE),0)
   + IFERROR(VLOOKUP($S185,Kerumitan!A:B,2,FALSE),0),
0)))</f>
        <v>31710000</v>
      </c>
    </row>
    <row r="186" spans="1:20" x14ac:dyDescent="0.45">
      <c r="A186" t="s">
        <v>278</v>
      </c>
      <c r="B186" s="5">
        <v>43474</v>
      </c>
      <c r="C186">
        <f t="shared" si="2"/>
        <v>2019</v>
      </c>
      <c r="D186" t="s">
        <v>110</v>
      </c>
      <c r="E186" t="s">
        <v>41</v>
      </c>
      <c r="F186" t="s">
        <v>10</v>
      </c>
      <c r="G186" t="s">
        <v>15</v>
      </c>
      <c r="H186" t="s">
        <v>46</v>
      </c>
      <c r="I186">
        <v>1</v>
      </c>
      <c r="J186">
        <v>3.06</v>
      </c>
      <c r="K186">
        <v>1</v>
      </c>
      <c r="L186">
        <v>0</v>
      </c>
      <c r="M186" t="str" cm="1">
        <f t="array" ref="M186">_xlfn.IFS(
   OR($F186="Pagar", $F186="Pintu Gerbang", $F186="Pintu Handerson", $F186="Kanopi"), "PER-M2",
   $F186="Teralis", "PER-LUBANG",
   OR($F186="Railing", $F186="Railing/Balkon"), "PER-M",
   TRUE, ""
)</f>
        <v>PER-M2</v>
      </c>
      <c r="N186" cm="1">
        <f t="array" ref="N186">IF($M186="PER-M2",
  IFERROR(
     _xlfn.IFS(
        $G186="Hollow",
            INDEX('Referensi Harga'!$C:$C,
                  MATCH($F186&amp;$C186,'Referensi Harga'!$A:$A&amp;'Referensi Harga'!$B:$B,0)),
        $G186="Hollow Stainless",
            INDEX('Referensi Harga'!$D:$D,
                  MATCH($F186&amp;$C186,'Referensi Harga'!$A:$A&amp;'Referensi Harga'!$B:$B,0)),
        $G186="Pipa Stainless",
            INDEX('Referensi Harga'!$E:$E,
                  MATCH($F186&amp;$C186,'Referensi Harga'!$A:$A&amp;'Referensi Harga'!$B:$B,0))
     ),0)
  + IFERROR(VLOOKUP($H186,'Profile Size'!$A:$B,2,FALSE),0)
  + IFERROR(VLOOKUP($I186,'Ketebalan Material'!$A:$B,2,FALSE),0),
0)</f>
        <v>1400000</v>
      </c>
      <c r="O186">
        <f>IF($M186="PER-M",
  IFERROR(
    IF($G186="Hollow",
       INDEX('Referensi Harga'!$C:$C, MATCH($F186 &amp; "|" &amp; $C186, 'Referensi Harga'!$F:$F, 0)),
    IF($G186="Hollow Stainless",
       INDEX('Referensi Harga'!$D:$D, MATCH($F186 &amp; "|" &amp; $C186, 'Referensi Harga'!$F:$F, 0)),
       INDEX('Referensi Harga'!$E:$E, MATCH($F186 &amp; "|" &amp; $C186, 'Referensi Harga'!$F:$F, 0))
    ))
    + IFERROR(VLOOKUP($H186, 'Profile Size'!$A:$B, 2, FALSE), 0)
    + IFERROR(VLOOKUP($I186, 'Ketebalan Material'!$A:$B, 2, FALSE), 0), 0),
0)</f>
        <v>0</v>
      </c>
      <c r="P186" cm="1">
        <f t="array" ref="P186">IF($M186="PER-LUBANG",
  IFERROR(
     _xlfn.IFS(
        $G186="Hollow",
            INDEX('Referensi Harga'!$C:$C,
                  MATCH($F186&amp;$C186,'Referensi Harga'!$A:$A&amp;'Referensi Harga'!$B:$B,0)),
        $G186="Hollow Stainless",
            INDEX('Referensi Harga'!$D:$D,
                  MATCH($F186&amp;$C186,'Referensi Harga'!$A:$A&amp;'Referensi Harga'!$B:$B,0)),
        $G186="Pipa Stainless",
            INDEX('Referensi Harga'!$E:$E,
                  MATCH($F186&amp;$C186,'Referensi Harga'!$A:$A&amp;'Referensi Harga'!$B:$B,0))
     ),0)
  + IFERROR(VLOOKUP($H186,'Profile Size'!$A:$B,2,FALSE),0)
  + IFERROR(VLOOKUP($I186,'Ketebalan Material'!$A:$B,2,FALSE),0),
0)</f>
        <v>0</v>
      </c>
      <c r="Q186">
        <f>IF($M186="PER-M2",
    IFERROR(
        SUMIFS('Upah Tenaga Ahli'!$C:$C,
               'Upah Tenaga Ahli'!$A:$A,"PER-M2",
               'Upah Tenaga Ahli'!$B:$B,$G186
        ) * $J186 * $K186,
    0),
IF($M186="PER-LUBANG",
    IFERROR(
        SUMIFS('Upah Tenaga Ahli'!$D:$D,
               'Upah Tenaga Ahli'!$A:$A,"PER-LUBANG",
               'Upah Tenaga Ahli'!$B:$B,$G186
        ) * $L186 * $K186,
    0),
IF($M186="PER-M",
    IFERROR(
        SUMIFS('Upah Tenaga Ahli'!$E:$E,
               'Upah Tenaga Ahli'!$A:$A,"PER-M",
               'Upah Tenaga Ahli'!$B:$B,$G186
        ) * $J186 * $K186,
    0),
0)))</f>
        <v>459000</v>
      </c>
      <c r="R186" t="s">
        <v>617</v>
      </c>
      <c r="S186" t="s">
        <v>24</v>
      </c>
      <c r="T186">
        <f>IF($M186="PER-M2",
   ($N186 * $J186 * $K186)
   + IFERROR(VLOOKUP($R186,Finishing!A:B,2,FALSE),0)
   + IFERROR(VLOOKUP($S186,Kerumitan!A:B,2,FALSE),0),
IF($M186="PER-LUBANG",
   ($P186 * $L186 * $K186)
   + IFERROR(VLOOKUP($R186,Finishing!A:B,2,FALSE),0)
   + IFERROR(VLOOKUP($S186,Kerumitan!A:B,2,FALSE),0),
IF($M186="PER-M",
   ($O186 * $J186 * $K186)
   + IFERROR(VLOOKUP($R186,Finishing!A:B,2,FALSE),0)
   + IFERROR(VLOOKUP($S186,Kerumitan!A:B,2,FALSE),0),
0)))</f>
        <v>4384000</v>
      </c>
    </row>
    <row r="187" spans="1:20" x14ac:dyDescent="0.45">
      <c r="A187" t="s">
        <v>279</v>
      </c>
      <c r="B187" s="5">
        <v>46012</v>
      </c>
      <c r="C187">
        <f t="shared" si="2"/>
        <v>2025</v>
      </c>
      <c r="D187" t="s">
        <v>280</v>
      </c>
      <c r="E187" t="s">
        <v>44</v>
      </c>
      <c r="F187" t="s">
        <v>6</v>
      </c>
      <c r="G187" t="s">
        <v>13</v>
      </c>
      <c r="H187" t="s">
        <v>33</v>
      </c>
      <c r="I187">
        <v>1.2</v>
      </c>
      <c r="J187">
        <v>18.39</v>
      </c>
      <c r="K187">
        <v>1</v>
      </c>
      <c r="L187">
        <v>0</v>
      </c>
      <c r="M187" t="str" cm="1">
        <f t="array" ref="M187">_xlfn.IFS(
   OR($F187="Pagar", $F187="Pintu Gerbang", $F187="Pintu Handerson", $F187="Kanopi"), "PER-M2",
   $F187="Teralis", "PER-LUBANG",
   OR($F187="Railing", $F187="Railing/Balkon"), "PER-M",
   TRUE, ""
)</f>
        <v>PER-M2</v>
      </c>
      <c r="N187" cm="1">
        <f t="array" ref="N187">IF($M187="PER-M2",
  IFERROR(
     _xlfn.IFS(
        $G187="Hollow",
            INDEX('Referensi Harga'!$C:$C,
                  MATCH($F187&amp;$C187,'Referensi Harga'!$A:$A&amp;'Referensi Harga'!$B:$B,0)),
        $G187="Hollow Stainless",
            INDEX('Referensi Harga'!$D:$D,
                  MATCH($F187&amp;$C187,'Referensi Harga'!$A:$A&amp;'Referensi Harga'!$B:$B,0)),
        $G187="Pipa Stainless",
            INDEX('Referensi Harga'!$E:$E,
                  MATCH($F187&amp;$C187,'Referensi Harga'!$A:$A&amp;'Referensi Harga'!$B:$B,0))
     ),0)
  + IFERROR(VLOOKUP($H187,'Profile Size'!$A:$B,2,FALSE),0)
  + IFERROR(VLOOKUP($I187,'Ketebalan Material'!$A:$B,2,FALSE),0),
0)</f>
        <v>550000</v>
      </c>
      <c r="O187">
        <f>IF($M187="PER-M",
  IFERROR(
    IF($G187="Hollow",
       INDEX('Referensi Harga'!$C:$C, MATCH($F187 &amp; "|" &amp; $C187, 'Referensi Harga'!$F:$F, 0)),
    IF($G187="Hollow Stainless",
       INDEX('Referensi Harga'!$D:$D, MATCH($F187 &amp; "|" &amp; $C187, 'Referensi Harga'!$F:$F, 0)),
       INDEX('Referensi Harga'!$E:$E, MATCH($F187 &amp; "|" &amp; $C187, 'Referensi Harga'!$F:$F, 0))
    ))
    + IFERROR(VLOOKUP($H187, 'Profile Size'!$A:$B, 2, FALSE), 0)
    + IFERROR(VLOOKUP($I187, 'Ketebalan Material'!$A:$B, 2, FALSE), 0), 0),
0)</f>
        <v>0</v>
      </c>
      <c r="P187" cm="1">
        <f t="array" ref="P187">IF($M187="PER-LUBANG",
  IFERROR(
     _xlfn.IFS(
        $G187="Hollow",
            INDEX('Referensi Harga'!$C:$C,
                  MATCH($F187&amp;$C187,'Referensi Harga'!$A:$A&amp;'Referensi Harga'!$B:$B,0)),
        $G187="Hollow Stainless",
            INDEX('Referensi Harga'!$D:$D,
                  MATCH($F187&amp;$C187,'Referensi Harga'!$A:$A&amp;'Referensi Harga'!$B:$B,0)),
        $G187="Pipa Stainless",
            INDEX('Referensi Harga'!$E:$E,
                  MATCH($F187&amp;$C187,'Referensi Harga'!$A:$A&amp;'Referensi Harga'!$B:$B,0))
     ),0)
  + IFERROR(VLOOKUP($H187,'Profile Size'!$A:$B,2,FALSE),0)
  + IFERROR(VLOOKUP($I187,'Ketebalan Material'!$A:$B,2,FALSE),0),
0)</f>
        <v>0</v>
      </c>
      <c r="Q187">
        <f>IF($M187="PER-M2",
    IFERROR(
        SUMIFS('Upah Tenaga Ahli'!$C:$C,
               'Upah Tenaga Ahli'!$A:$A,"PER-M2",
               'Upah Tenaga Ahli'!$B:$B,$G187
        ) * $J187 * $K187,
    0),
IF($M187="PER-LUBANG",
    IFERROR(
        SUMIFS('Upah Tenaga Ahli'!$D:$D,
               'Upah Tenaga Ahli'!$A:$A,"PER-LUBANG",
               'Upah Tenaga Ahli'!$B:$B,$G187
        ) * $L187 * $K187,
    0),
IF($M187="PER-M",
    IFERROR(
        SUMIFS('Upah Tenaga Ahli'!$E:$E,
               'Upah Tenaga Ahli'!$A:$A,"PER-M",
               'Upah Tenaga Ahli'!$B:$B,$G187
        ) * $J187 * $K187,
    0),
0)))</f>
        <v>1839000</v>
      </c>
      <c r="R187" t="s">
        <v>19</v>
      </c>
      <c r="S187" t="s">
        <v>23</v>
      </c>
      <c r="T187">
        <f>IF($M187="PER-M2",
   ($N187 * $J187 * $K187)
   + IFERROR(VLOOKUP($R187,Finishing!A:B,2,FALSE),0)
   + IFERROR(VLOOKUP($S187,Kerumitan!A:B,2,FALSE),0),
IF($M187="PER-LUBANG",
   ($P187 * $L187 * $K187)
   + IFERROR(VLOOKUP($R187,Finishing!A:B,2,FALSE),0)
   + IFERROR(VLOOKUP($S187,Kerumitan!A:B,2,FALSE),0),
IF($M187="PER-M",
   ($O187 * $J187 * $K187)
   + IFERROR(VLOOKUP($R187,Finishing!A:B,2,FALSE),0)
   + IFERROR(VLOOKUP($S187,Kerumitan!A:B,2,FALSE),0),
0)))</f>
        <v>10164500</v>
      </c>
    </row>
    <row r="188" spans="1:20" x14ac:dyDescent="0.45">
      <c r="A188" t="s">
        <v>281</v>
      </c>
      <c r="B188" s="5">
        <v>45019</v>
      </c>
      <c r="C188">
        <f t="shared" si="2"/>
        <v>2023</v>
      </c>
      <c r="D188" t="s">
        <v>199</v>
      </c>
      <c r="E188" t="s">
        <v>75</v>
      </c>
      <c r="F188" t="s">
        <v>10</v>
      </c>
      <c r="G188" t="s">
        <v>13</v>
      </c>
      <c r="H188" t="s">
        <v>46</v>
      </c>
      <c r="I188">
        <v>0.8</v>
      </c>
      <c r="J188">
        <v>5.71</v>
      </c>
      <c r="K188">
        <v>1</v>
      </c>
      <c r="L188">
        <v>0</v>
      </c>
      <c r="M188" t="str" cm="1">
        <f t="array" ref="M188">_xlfn.IFS(
   OR($F188="Pagar", $F188="Pintu Gerbang", $F188="Pintu Handerson", $F188="Kanopi"), "PER-M2",
   $F188="Teralis", "PER-LUBANG",
   OR($F188="Railing", $F188="Railing/Balkon"), "PER-M",
   TRUE, ""
)</f>
        <v>PER-M2</v>
      </c>
      <c r="N188" cm="1">
        <f t="array" ref="N188">IF($M188="PER-M2",
  IFERROR(
     _xlfn.IFS(
        $G188="Hollow",
            INDEX('Referensi Harga'!$C:$C,
                  MATCH($F188&amp;$C188,'Referensi Harga'!$A:$A&amp;'Referensi Harga'!$B:$B,0)),
        $G188="Hollow Stainless",
            INDEX('Referensi Harga'!$D:$D,
                  MATCH($F188&amp;$C188,'Referensi Harga'!$A:$A&amp;'Referensi Harga'!$B:$B,0)),
        $G188="Pipa Stainless",
            INDEX('Referensi Harga'!$E:$E,
                  MATCH($F188&amp;$C188,'Referensi Harga'!$A:$A&amp;'Referensi Harga'!$B:$B,0))
     ),0)
  + IFERROR(VLOOKUP($H188,'Profile Size'!$A:$B,2,FALSE),0)
  + IFERROR(VLOOKUP($I188,'Ketebalan Material'!$A:$B,2,FALSE),0),
0)</f>
        <v>900000</v>
      </c>
      <c r="O188">
        <f>IF($M188="PER-M",
  IFERROR(
    IF($G188="Hollow",
       INDEX('Referensi Harga'!$C:$C, MATCH($F188 &amp; "|" &amp; $C188, 'Referensi Harga'!$F:$F, 0)),
    IF($G188="Hollow Stainless",
       INDEX('Referensi Harga'!$D:$D, MATCH($F188 &amp; "|" &amp; $C188, 'Referensi Harga'!$F:$F, 0)),
       INDEX('Referensi Harga'!$E:$E, MATCH($F188 &amp; "|" &amp; $C188, 'Referensi Harga'!$F:$F, 0))
    ))
    + IFERROR(VLOOKUP($H188, 'Profile Size'!$A:$B, 2, FALSE), 0)
    + IFERROR(VLOOKUP($I188, 'Ketebalan Material'!$A:$B, 2, FALSE), 0), 0),
0)</f>
        <v>0</v>
      </c>
      <c r="P188" cm="1">
        <f t="array" ref="P188">IF($M188="PER-LUBANG",
  IFERROR(
     _xlfn.IFS(
        $G188="Hollow",
            INDEX('Referensi Harga'!$C:$C,
                  MATCH($F188&amp;$C188,'Referensi Harga'!$A:$A&amp;'Referensi Harga'!$B:$B,0)),
        $G188="Hollow Stainless",
            INDEX('Referensi Harga'!$D:$D,
                  MATCH($F188&amp;$C188,'Referensi Harga'!$A:$A&amp;'Referensi Harga'!$B:$B,0)),
        $G188="Pipa Stainless",
            INDEX('Referensi Harga'!$E:$E,
                  MATCH($F188&amp;$C188,'Referensi Harga'!$A:$A&amp;'Referensi Harga'!$B:$B,0))
     ),0)
  + IFERROR(VLOOKUP($H188,'Profile Size'!$A:$B,2,FALSE),0)
  + IFERROR(VLOOKUP($I188,'Ketebalan Material'!$A:$B,2,FALSE),0),
0)</f>
        <v>0</v>
      </c>
      <c r="Q188">
        <f>IF($M188="PER-M2",
    IFERROR(
        SUMIFS('Upah Tenaga Ahli'!$C:$C,
               'Upah Tenaga Ahli'!$A:$A,"PER-M2",
               'Upah Tenaga Ahli'!$B:$B,$G188
        ) * $J188 * $K188,
    0),
IF($M188="PER-LUBANG",
    IFERROR(
        SUMIFS('Upah Tenaga Ahli'!$D:$D,
               'Upah Tenaga Ahli'!$A:$A,"PER-LUBANG",
               'Upah Tenaga Ahli'!$B:$B,$G188
        ) * $L188 * $K188,
    0),
IF($M188="PER-M",
    IFERROR(
        SUMIFS('Upah Tenaga Ahli'!$E:$E,
               'Upah Tenaga Ahli'!$A:$A,"PER-M",
               'Upah Tenaga Ahli'!$B:$B,$G188
        ) * $J188 * $K188,
    0),
0)))</f>
        <v>571000</v>
      </c>
      <c r="R188" t="s">
        <v>18</v>
      </c>
      <c r="S188" t="s">
        <v>24</v>
      </c>
      <c r="T188">
        <f>IF($M188="PER-M2",
   ($N188 * $J188 * $K188)
   + IFERROR(VLOOKUP($R188,Finishing!A:B,2,FALSE),0)
   + IFERROR(VLOOKUP($S188,Kerumitan!A:B,2,FALSE),0),
IF($M188="PER-LUBANG",
   ($P188 * $L188 * $K188)
   + IFERROR(VLOOKUP($R188,Finishing!A:B,2,FALSE),0)
   + IFERROR(VLOOKUP($S188,Kerumitan!A:B,2,FALSE),0),
IF($M188="PER-M",
   ($O188 * $J188 * $K188)
   + IFERROR(VLOOKUP($R188,Finishing!A:B,2,FALSE),0)
   + IFERROR(VLOOKUP($S188,Kerumitan!A:B,2,FALSE),0),
0)))</f>
        <v>5239000</v>
      </c>
    </row>
    <row r="189" spans="1:20" x14ac:dyDescent="0.45">
      <c r="A189" t="s">
        <v>282</v>
      </c>
      <c r="B189" s="5">
        <v>44951</v>
      </c>
      <c r="C189">
        <f t="shared" si="2"/>
        <v>2023</v>
      </c>
      <c r="D189" t="s">
        <v>148</v>
      </c>
      <c r="E189" t="s">
        <v>75</v>
      </c>
      <c r="F189" t="s">
        <v>7</v>
      </c>
      <c r="G189" t="s">
        <v>13</v>
      </c>
      <c r="H189" t="s">
        <v>35</v>
      </c>
      <c r="I189">
        <v>1.2</v>
      </c>
      <c r="J189">
        <v>9.1300000000000008</v>
      </c>
      <c r="K189">
        <v>1</v>
      </c>
      <c r="L189">
        <v>0</v>
      </c>
      <c r="M189" t="str" cm="1">
        <f t="array" ref="M189">_xlfn.IFS(
   OR($F189="Pagar", $F189="Pintu Gerbang", $F189="Pintu Handerson", $F189="Kanopi"), "PER-M2",
   $F189="Teralis", "PER-LUBANG",
   OR($F189="Railing", $F189="Railing/Balkon"), "PER-M",
   TRUE, ""
)</f>
        <v>PER-M2</v>
      </c>
      <c r="N189" cm="1">
        <f t="array" ref="N189">IF($M189="PER-M2",
  IFERROR(
     _xlfn.IFS(
        $G189="Hollow",
            INDEX('Referensi Harga'!$C:$C,
                  MATCH($F189&amp;$C189,'Referensi Harga'!$A:$A&amp;'Referensi Harga'!$B:$B,0)),
        $G189="Hollow Stainless",
            INDEX('Referensi Harga'!$D:$D,
                  MATCH($F189&amp;$C189,'Referensi Harga'!$A:$A&amp;'Referensi Harga'!$B:$B,0)),
        $G189="Pipa Stainless",
            INDEX('Referensi Harga'!$E:$E,
                  MATCH($F189&amp;$C189,'Referensi Harga'!$A:$A&amp;'Referensi Harga'!$B:$B,0))
     ),0)
  + IFERROR(VLOOKUP($H189,'Profile Size'!$A:$B,2,FALSE),0)
  + IFERROR(VLOOKUP($I189,'Ketebalan Material'!$A:$B,2,FALSE),0),
0)</f>
        <v>900000</v>
      </c>
      <c r="O189">
        <f>IF($M189="PER-M",
  IFERROR(
    IF($G189="Hollow",
       INDEX('Referensi Harga'!$C:$C, MATCH($F189 &amp; "|" &amp; $C189, 'Referensi Harga'!$F:$F, 0)),
    IF($G189="Hollow Stainless",
       INDEX('Referensi Harga'!$D:$D, MATCH($F189 &amp; "|" &amp; $C189, 'Referensi Harga'!$F:$F, 0)),
       INDEX('Referensi Harga'!$E:$E, MATCH($F189 &amp; "|" &amp; $C189, 'Referensi Harga'!$F:$F, 0))
    ))
    + IFERROR(VLOOKUP($H189, 'Profile Size'!$A:$B, 2, FALSE), 0)
    + IFERROR(VLOOKUP($I189, 'Ketebalan Material'!$A:$B, 2, FALSE), 0), 0),
0)</f>
        <v>0</v>
      </c>
      <c r="P189" cm="1">
        <f t="array" ref="P189">IF($M189="PER-LUBANG",
  IFERROR(
     _xlfn.IFS(
        $G189="Hollow",
            INDEX('Referensi Harga'!$C:$C,
                  MATCH($F189&amp;$C189,'Referensi Harga'!$A:$A&amp;'Referensi Harga'!$B:$B,0)),
        $G189="Hollow Stainless",
            INDEX('Referensi Harga'!$D:$D,
                  MATCH($F189&amp;$C189,'Referensi Harga'!$A:$A&amp;'Referensi Harga'!$B:$B,0)),
        $G189="Pipa Stainless",
            INDEX('Referensi Harga'!$E:$E,
                  MATCH($F189&amp;$C189,'Referensi Harga'!$A:$A&amp;'Referensi Harga'!$B:$B,0))
     ),0)
  + IFERROR(VLOOKUP($H189,'Profile Size'!$A:$B,2,FALSE),0)
  + IFERROR(VLOOKUP($I189,'Ketebalan Material'!$A:$B,2,FALSE),0),
0)</f>
        <v>0</v>
      </c>
      <c r="Q189">
        <f>IF($M189="PER-M2",
    IFERROR(
        SUMIFS('Upah Tenaga Ahli'!$C:$C,
               'Upah Tenaga Ahli'!$A:$A,"PER-M2",
               'Upah Tenaga Ahli'!$B:$B,$G189
        ) * $J189 * $K189,
    0),
IF($M189="PER-LUBANG",
    IFERROR(
        SUMIFS('Upah Tenaga Ahli'!$D:$D,
               'Upah Tenaga Ahli'!$A:$A,"PER-LUBANG",
               'Upah Tenaga Ahli'!$B:$B,$G189
        ) * $L189 * $K189,
    0),
IF($M189="PER-M",
    IFERROR(
        SUMIFS('Upah Tenaga Ahli'!$E:$E,
               'Upah Tenaga Ahli'!$A:$A,"PER-M",
               'Upah Tenaga Ahli'!$B:$B,$G189
        ) * $J189 * $K189,
    0),
0)))</f>
        <v>913000.00000000012</v>
      </c>
      <c r="R189" t="s">
        <v>18</v>
      </c>
      <c r="S189" t="s">
        <v>24</v>
      </c>
      <c r="T189">
        <f>IF($M189="PER-M2",
   ($N189 * $J189 * $K189)
   + IFERROR(VLOOKUP($R189,Finishing!A:B,2,FALSE),0)
   + IFERROR(VLOOKUP($S189,Kerumitan!A:B,2,FALSE),0),
IF($M189="PER-LUBANG",
   ($P189 * $L189 * $K189)
   + IFERROR(VLOOKUP($R189,Finishing!A:B,2,FALSE),0)
   + IFERROR(VLOOKUP($S189,Kerumitan!A:B,2,FALSE),0),
IF($M189="PER-M",
   ($O189 * $J189 * $K189)
   + IFERROR(VLOOKUP($R189,Finishing!A:B,2,FALSE),0)
   + IFERROR(VLOOKUP($S189,Kerumitan!A:B,2,FALSE),0),
0)))</f>
        <v>8317000.0000000009</v>
      </c>
    </row>
    <row r="190" spans="1:20" x14ac:dyDescent="0.45">
      <c r="A190" t="s">
        <v>283</v>
      </c>
      <c r="B190" s="5">
        <v>43600</v>
      </c>
      <c r="C190">
        <f t="shared" si="2"/>
        <v>2019</v>
      </c>
      <c r="D190" t="s">
        <v>129</v>
      </c>
      <c r="E190" t="s">
        <v>91</v>
      </c>
      <c r="F190" t="s">
        <v>4</v>
      </c>
      <c r="G190" t="s">
        <v>13</v>
      </c>
      <c r="H190" t="s">
        <v>46</v>
      </c>
      <c r="I190">
        <v>0.8</v>
      </c>
      <c r="J190">
        <v>12.56</v>
      </c>
      <c r="K190">
        <v>1</v>
      </c>
      <c r="L190">
        <v>0</v>
      </c>
      <c r="M190" t="str" cm="1">
        <f t="array" ref="M190">_xlfn.IFS(
   OR($F190="Pagar", $F190="Pintu Gerbang", $F190="Pintu Handerson", $F190="Kanopi"), "PER-M2",
   $F190="Teralis", "PER-LUBANG",
   OR($F190="Railing", $F190="Railing/Balkon"), "PER-M",
   TRUE, ""
)</f>
        <v>PER-M2</v>
      </c>
      <c r="N190" cm="1">
        <f t="array" ref="N190">IF($M190="PER-M2",
  IFERROR(
     _xlfn.IFS(
        $G190="Hollow",
            INDEX('Referensi Harga'!$C:$C,
                  MATCH($F190&amp;$C190,'Referensi Harga'!$A:$A&amp;'Referensi Harga'!$B:$B,0)),
        $G190="Hollow Stainless",
            INDEX('Referensi Harga'!$D:$D,
                  MATCH($F190&amp;$C190,'Referensi Harga'!$A:$A&amp;'Referensi Harga'!$B:$B,0)),
        $G190="Pipa Stainless",
            INDEX('Referensi Harga'!$E:$E,
                  MATCH($F190&amp;$C190,'Referensi Harga'!$A:$A&amp;'Referensi Harga'!$B:$B,0))
     ),0)
  + IFERROR(VLOOKUP($H190,'Profile Size'!$A:$B,2,FALSE),0)
  + IFERROR(VLOOKUP($I190,'Ketebalan Material'!$A:$B,2,FALSE),0),
0)</f>
        <v>550000</v>
      </c>
      <c r="O190">
        <f>IF($M190="PER-M",
  IFERROR(
    IF($G190="Hollow",
       INDEX('Referensi Harga'!$C:$C, MATCH($F190 &amp; "|" &amp; $C190, 'Referensi Harga'!$F:$F, 0)),
    IF($G190="Hollow Stainless",
       INDEX('Referensi Harga'!$D:$D, MATCH($F190 &amp; "|" &amp; $C190, 'Referensi Harga'!$F:$F, 0)),
       INDEX('Referensi Harga'!$E:$E, MATCH($F190 &amp; "|" &amp; $C190, 'Referensi Harga'!$F:$F, 0))
    ))
    + IFERROR(VLOOKUP($H190, 'Profile Size'!$A:$B, 2, FALSE), 0)
    + IFERROR(VLOOKUP($I190, 'Ketebalan Material'!$A:$B, 2, FALSE), 0), 0),
0)</f>
        <v>0</v>
      </c>
      <c r="P190" cm="1">
        <f t="array" ref="P190">IF($M190="PER-LUBANG",
  IFERROR(
     _xlfn.IFS(
        $G190="Hollow",
            INDEX('Referensi Harga'!$C:$C,
                  MATCH($F190&amp;$C190,'Referensi Harga'!$A:$A&amp;'Referensi Harga'!$B:$B,0)),
        $G190="Hollow Stainless",
            INDEX('Referensi Harga'!$D:$D,
                  MATCH($F190&amp;$C190,'Referensi Harga'!$A:$A&amp;'Referensi Harga'!$B:$B,0)),
        $G190="Pipa Stainless",
            INDEX('Referensi Harga'!$E:$E,
                  MATCH($F190&amp;$C190,'Referensi Harga'!$A:$A&amp;'Referensi Harga'!$B:$B,0))
     ),0)
  + IFERROR(VLOOKUP($H190,'Profile Size'!$A:$B,2,FALSE),0)
  + IFERROR(VLOOKUP($I190,'Ketebalan Material'!$A:$B,2,FALSE),0),
0)</f>
        <v>0</v>
      </c>
      <c r="Q190">
        <f>IF($M190="PER-M2",
    IFERROR(
        SUMIFS('Upah Tenaga Ahli'!$C:$C,
               'Upah Tenaga Ahli'!$A:$A,"PER-M2",
               'Upah Tenaga Ahli'!$B:$B,$G190
        ) * $J190 * $K190,
    0),
IF($M190="PER-LUBANG",
    IFERROR(
        SUMIFS('Upah Tenaga Ahli'!$D:$D,
               'Upah Tenaga Ahli'!$A:$A,"PER-LUBANG",
               'Upah Tenaga Ahli'!$B:$B,$G190
        ) * $L190 * $K190,
    0),
IF($M190="PER-M",
    IFERROR(
        SUMIFS('Upah Tenaga Ahli'!$E:$E,
               'Upah Tenaga Ahli'!$A:$A,"PER-M",
               'Upah Tenaga Ahli'!$B:$B,$G190
        ) * $J190 * $K190,
    0),
0)))</f>
        <v>1256000</v>
      </c>
      <c r="R190" t="s">
        <v>18</v>
      </c>
      <c r="S190" t="s">
        <v>23</v>
      </c>
      <c r="T190">
        <f>IF($M190="PER-M2",
   ($N190 * $J190 * $K190)
   + IFERROR(VLOOKUP($R190,Finishing!A:B,2,FALSE),0)
   + IFERROR(VLOOKUP($S190,Kerumitan!A:B,2,FALSE),0),
IF($M190="PER-LUBANG",
   ($P190 * $L190 * $K190)
   + IFERROR(VLOOKUP($R190,Finishing!A:B,2,FALSE),0)
   + IFERROR(VLOOKUP($S190,Kerumitan!A:B,2,FALSE),0),
IF($M190="PER-M",
   ($O190 * $J190 * $K190)
   + IFERROR(VLOOKUP($R190,Finishing!A:B,2,FALSE),0)
   + IFERROR(VLOOKUP($S190,Kerumitan!A:B,2,FALSE),0),
0)))</f>
        <v>6908000</v>
      </c>
    </row>
    <row r="191" spans="1:20" x14ac:dyDescent="0.45">
      <c r="A191" t="s">
        <v>284</v>
      </c>
      <c r="B191" s="5">
        <v>45838</v>
      </c>
      <c r="C191">
        <f t="shared" si="2"/>
        <v>2025</v>
      </c>
      <c r="D191" t="s">
        <v>285</v>
      </c>
      <c r="E191" t="s">
        <v>28</v>
      </c>
      <c r="F191" t="s">
        <v>6</v>
      </c>
      <c r="G191" t="s">
        <v>13</v>
      </c>
      <c r="H191" t="s">
        <v>33</v>
      </c>
      <c r="I191">
        <v>0.8</v>
      </c>
      <c r="J191">
        <v>23.53</v>
      </c>
      <c r="K191">
        <v>1</v>
      </c>
      <c r="L191">
        <v>0</v>
      </c>
      <c r="M191" t="str" cm="1">
        <f t="array" ref="M191">_xlfn.IFS(
   OR($F191="Pagar", $F191="Pintu Gerbang", $F191="Pintu Handerson", $F191="Kanopi"), "PER-M2",
   $F191="Teralis", "PER-LUBANG",
   OR($F191="Railing", $F191="Railing/Balkon"), "PER-M",
   TRUE, ""
)</f>
        <v>PER-M2</v>
      </c>
      <c r="N191" cm="1">
        <f t="array" ref="N191">IF($M191="PER-M2",
  IFERROR(
     _xlfn.IFS(
        $G191="Hollow",
            INDEX('Referensi Harga'!$C:$C,
                  MATCH($F191&amp;$C191,'Referensi Harga'!$A:$A&amp;'Referensi Harga'!$B:$B,0)),
        $G191="Hollow Stainless",
            INDEX('Referensi Harga'!$D:$D,
                  MATCH($F191&amp;$C191,'Referensi Harga'!$A:$A&amp;'Referensi Harga'!$B:$B,0)),
        $G191="Pipa Stainless",
            INDEX('Referensi Harga'!$E:$E,
                  MATCH($F191&amp;$C191,'Referensi Harga'!$A:$A&amp;'Referensi Harga'!$B:$B,0))
     ),0)
  + IFERROR(VLOOKUP($H191,'Profile Size'!$A:$B,2,FALSE),0)
  + IFERROR(VLOOKUP($I191,'Ketebalan Material'!$A:$B,2,FALSE),0),
0)</f>
        <v>450000</v>
      </c>
      <c r="O191">
        <f>IF($M191="PER-M",
  IFERROR(
    IF($G191="Hollow",
       INDEX('Referensi Harga'!$C:$C, MATCH($F191 &amp; "|" &amp; $C191, 'Referensi Harga'!$F:$F, 0)),
    IF($G191="Hollow Stainless",
       INDEX('Referensi Harga'!$D:$D, MATCH($F191 &amp; "|" &amp; $C191, 'Referensi Harga'!$F:$F, 0)),
       INDEX('Referensi Harga'!$E:$E, MATCH($F191 &amp; "|" &amp; $C191, 'Referensi Harga'!$F:$F, 0))
    ))
    + IFERROR(VLOOKUP($H191, 'Profile Size'!$A:$B, 2, FALSE), 0)
    + IFERROR(VLOOKUP($I191, 'Ketebalan Material'!$A:$B, 2, FALSE), 0), 0),
0)</f>
        <v>0</v>
      </c>
      <c r="P191" cm="1">
        <f t="array" ref="P191">IF($M191="PER-LUBANG",
  IFERROR(
     _xlfn.IFS(
        $G191="Hollow",
            INDEX('Referensi Harga'!$C:$C,
                  MATCH($F191&amp;$C191,'Referensi Harga'!$A:$A&amp;'Referensi Harga'!$B:$B,0)),
        $G191="Hollow Stainless",
            INDEX('Referensi Harga'!$D:$D,
                  MATCH($F191&amp;$C191,'Referensi Harga'!$A:$A&amp;'Referensi Harga'!$B:$B,0)),
        $G191="Pipa Stainless",
            INDEX('Referensi Harga'!$E:$E,
                  MATCH($F191&amp;$C191,'Referensi Harga'!$A:$A&amp;'Referensi Harga'!$B:$B,0))
     ),0)
  + IFERROR(VLOOKUP($H191,'Profile Size'!$A:$B,2,FALSE),0)
  + IFERROR(VLOOKUP($I191,'Ketebalan Material'!$A:$B,2,FALSE),0),
0)</f>
        <v>0</v>
      </c>
      <c r="Q191">
        <f>IF($M191="PER-M2",
    IFERROR(
        SUMIFS('Upah Tenaga Ahli'!$C:$C,
               'Upah Tenaga Ahli'!$A:$A,"PER-M2",
               'Upah Tenaga Ahli'!$B:$B,$G191
        ) * $J191 * $K191,
    0),
IF($M191="PER-LUBANG",
    IFERROR(
        SUMIFS('Upah Tenaga Ahli'!$D:$D,
               'Upah Tenaga Ahli'!$A:$A,"PER-LUBANG",
               'Upah Tenaga Ahli'!$B:$B,$G191
        ) * $L191 * $K191,
    0),
IF($M191="PER-M",
    IFERROR(
        SUMIFS('Upah Tenaga Ahli'!$E:$E,
               'Upah Tenaga Ahli'!$A:$A,"PER-M",
               'Upah Tenaga Ahli'!$B:$B,$G191
        ) * $J191 * $K191,
    0),
0)))</f>
        <v>2353000</v>
      </c>
      <c r="R191" t="s">
        <v>20</v>
      </c>
      <c r="S191" t="s">
        <v>23</v>
      </c>
      <c r="T191">
        <f>IF($M191="PER-M2",
   ($N191 * $J191 * $K191)
   + IFERROR(VLOOKUP($R191,Finishing!A:B,2,FALSE),0)
   + IFERROR(VLOOKUP($S191,Kerumitan!A:B,2,FALSE),0),
IF($M191="PER-LUBANG",
   ($P191 * $L191 * $K191)
   + IFERROR(VLOOKUP($R191,Finishing!A:B,2,FALSE),0)
   + IFERROR(VLOOKUP($S191,Kerumitan!A:B,2,FALSE),0),
IF($M191="PER-M",
   ($O191 * $J191 * $K191)
   + IFERROR(VLOOKUP($R191,Finishing!A:B,2,FALSE),0)
   + IFERROR(VLOOKUP($S191,Kerumitan!A:B,2,FALSE),0),
0)))</f>
        <v>10738500</v>
      </c>
    </row>
    <row r="192" spans="1:20" x14ac:dyDescent="0.45">
      <c r="A192" t="s">
        <v>286</v>
      </c>
      <c r="B192" s="5">
        <v>43733</v>
      </c>
      <c r="C192">
        <f t="shared" si="2"/>
        <v>2019</v>
      </c>
      <c r="D192" t="s">
        <v>81</v>
      </c>
      <c r="E192" t="s">
        <v>54</v>
      </c>
      <c r="F192" t="s">
        <v>625</v>
      </c>
      <c r="G192" t="s">
        <v>15</v>
      </c>
      <c r="H192" t="s">
        <v>46</v>
      </c>
      <c r="I192">
        <v>0.8</v>
      </c>
      <c r="J192">
        <v>14.3</v>
      </c>
      <c r="K192">
        <v>1</v>
      </c>
      <c r="L192">
        <v>0</v>
      </c>
      <c r="M192" t="str" cm="1">
        <f t="array" ref="M192">_xlfn.IFS(
   OR($F192="Pagar", $F192="Pintu Gerbang", $F192="Pintu Handerson", $F192="Kanopi"), "PER-M2",
   $F192="Teralis", "PER-LUBANG",
   OR($F192="Railing", $F192="Railing/Balkon"), "PER-M",
   TRUE, ""
)</f>
        <v>PER-M</v>
      </c>
      <c r="N192" cm="1">
        <f t="array" ref="N192">IF($M192="PER-M2",
  IFERROR(
     _xlfn.IFS(
        $G192="Hollow",
            INDEX('Referensi Harga'!$C:$C,
                  MATCH($F192&amp;$C192,'Referensi Harga'!$A:$A&amp;'Referensi Harga'!$B:$B,0)),
        $G192="Hollow Stainless",
            INDEX('Referensi Harga'!$D:$D,
                  MATCH($F192&amp;$C192,'Referensi Harga'!$A:$A&amp;'Referensi Harga'!$B:$B,0)),
        $G192="Pipa Stainless",
            INDEX('Referensi Harga'!$E:$E,
                  MATCH($F192&amp;$C192,'Referensi Harga'!$A:$A&amp;'Referensi Harga'!$B:$B,0))
     ),0)
  + IFERROR(VLOOKUP($H192,'Profile Size'!$A:$B,2,FALSE),0)
  + IFERROR(VLOOKUP($I192,'Ketebalan Material'!$A:$B,2,FALSE),0),
0)</f>
        <v>0</v>
      </c>
      <c r="O192">
        <f>IF($M192="PER-M",
  IFERROR(
    IF($G192="Hollow",
       INDEX('Referensi Harga'!$C:$C, MATCH($F192 &amp; "|" &amp; $C192, 'Referensi Harga'!$F:$F, 0)),
    IF($G192="Hollow Stainless",
       INDEX('Referensi Harga'!$D:$D, MATCH($F192 &amp; "|" &amp; $C192, 'Referensi Harga'!$F:$F, 0)),
       INDEX('Referensi Harga'!$E:$E, MATCH($F192 &amp; "|" &amp; $C192, 'Referensi Harga'!$F:$F, 0))
    ))
    + IFERROR(VLOOKUP($H192, 'Profile Size'!$A:$B, 2, FALSE), 0)
    + IFERROR(VLOOKUP($I192, 'Ketebalan Material'!$A:$B, 2, FALSE), 0), 0),
0)</f>
        <v>1050000</v>
      </c>
      <c r="P192" cm="1">
        <f t="array" ref="P192">IF($M192="PER-LUBANG",
  IFERROR(
     _xlfn.IFS(
        $G192="Hollow",
            INDEX('Referensi Harga'!$C:$C,
                  MATCH($F192&amp;$C192,'Referensi Harga'!$A:$A&amp;'Referensi Harga'!$B:$B,0)),
        $G192="Hollow Stainless",
            INDEX('Referensi Harga'!$D:$D,
                  MATCH($F192&amp;$C192,'Referensi Harga'!$A:$A&amp;'Referensi Harga'!$B:$B,0)),
        $G192="Pipa Stainless",
            INDEX('Referensi Harga'!$E:$E,
                  MATCH($F192&amp;$C192,'Referensi Harga'!$A:$A&amp;'Referensi Harga'!$B:$B,0))
     ),0)
  + IFERROR(VLOOKUP($H192,'Profile Size'!$A:$B,2,FALSE),0)
  + IFERROR(VLOOKUP($I192,'Ketebalan Material'!$A:$B,2,FALSE),0),
0)</f>
        <v>0</v>
      </c>
      <c r="Q192">
        <f>IF($M192="PER-M2",
    IFERROR(
        SUMIFS('Upah Tenaga Ahli'!$C:$C,
               'Upah Tenaga Ahli'!$A:$A,"PER-M2",
               'Upah Tenaga Ahli'!$B:$B,$G192
        ) * $J192 * $K192,
    0),
IF($M192="PER-LUBANG",
    IFERROR(
        SUMIFS('Upah Tenaga Ahli'!$D:$D,
               'Upah Tenaga Ahli'!$A:$A,"PER-LUBANG",
               'Upah Tenaga Ahli'!$B:$B,$G192
        ) * $L192 * $K192,
    0),
IF($M192="PER-M",
    IFERROR(
        SUMIFS('Upah Tenaga Ahli'!$E:$E,
               'Upah Tenaga Ahli'!$A:$A,"PER-M",
               'Upah Tenaga Ahli'!$B:$B,$G192
        ) * $J192 * $K192,
    0),
0)))</f>
        <v>2145000</v>
      </c>
      <c r="R192" t="s">
        <v>617</v>
      </c>
      <c r="S192" t="s">
        <v>23</v>
      </c>
      <c r="T192">
        <f>IF($M192="PER-M2",
   ($N192 * $J192 * $K192)
   + IFERROR(VLOOKUP($R192,Finishing!A:B,2,FALSE),0)
   + IFERROR(VLOOKUP($S192,Kerumitan!A:B,2,FALSE),0),
IF($M192="PER-LUBANG",
   ($P192 * $L192 * $K192)
   + IFERROR(VLOOKUP($R192,Finishing!A:B,2,FALSE),0)
   + IFERROR(VLOOKUP($S192,Kerumitan!A:B,2,FALSE),0),
IF($M192="PER-M",
   ($O192 * $J192 * $K192)
   + IFERROR(VLOOKUP($R192,Finishing!A:B,2,FALSE),0)
   + IFERROR(VLOOKUP($S192,Kerumitan!A:B,2,FALSE),0),
0)))</f>
        <v>15015000</v>
      </c>
    </row>
    <row r="193" spans="1:20" x14ac:dyDescent="0.45">
      <c r="A193" t="s">
        <v>287</v>
      </c>
      <c r="B193" s="5">
        <v>45443</v>
      </c>
      <c r="C193">
        <f t="shared" si="2"/>
        <v>2024</v>
      </c>
      <c r="D193" t="s">
        <v>288</v>
      </c>
      <c r="E193" t="s">
        <v>38</v>
      </c>
      <c r="F193" t="s">
        <v>7</v>
      </c>
      <c r="G193" t="s">
        <v>15</v>
      </c>
      <c r="H193" t="s">
        <v>33</v>
      </c>
      <c r="I193">
        <v>1</v>
      </c>
      <c r="J193">
        <v>5.48</v>
      </c>
      <c r="K193">
        <v>1</v>
      </c>
      <c r="L193">
        <v>0</v>
      </c>
      <c r="M193" t="str" cm="1">
        <f t="array" ref="M193">_xlfn.IFS(
   OR($F193="Pagar", $F193="Pintu Gerbang", $F193="Pintu Handerson", $F193="Kanopi"), "PER-M2",
   $F193="Teralis", "PER-LUBANG",
   OR($F193="Railing", $F193="Railing/Balkon"), "PER-M",
   TRUE, ""
)</f>
        <v>PER-M2</v>
      </c>
      <c r="N193" cm="1">
        <f t="array" ref="N193">IF($M193="PER-M2",
  IFERROR(
     _xlfn.IFS(
        $G193="Hollow",
            INDEX('Referensi Harga'!$C:$C,
                  MATCH($F193&amp;$C193,'Referensi Harga'!$A:$A&amp;'Referensi Harga'!$B:$B,0)),
        $G193="Hollow Stainless",
            INDEX('Referensi Harga'!$D:$D,
                  MATCH($F193&amp;$C193,'Referensi Harga'!$A:$A&amp;'Referensi Harga'!$B:$B,0)),
        $G193="Pipa Stainless",
            INDEX('Referensi Harga'!$E:$E,
                  MATCH($F193&amp;$C193,'Referensi Harga'!$A:$A&amp;'Referensi Harga'!$B:$B,0))
     ),0)
  + IFERROR(VLOOKUP($H193,'Profile Size'!$A:$B,2,FALSE),0)
  + IFERROR(VLOOKUP($I193,'Ketebalan Material'!$A:$B,2,FALSE),0),
0)</f>
        <v>1470000</v>
      </c>
      <c r="O193">
        <f>IF($M193="PER-M",
  IFERROR(
    IF($G193="Hollow",
       INDEX('Referensi Harga'!$C:$C, MATCH($F193 &amp; "|" &amp; $C193, 'Referensi Harga'!$F:$F, 0)),
    IF($G193="Hollow Stainless",
       INDEX('Referensi Harga'!$D:$D, MATCH($F193 &amp; "|" &amp; $C193, 'Referensi Harga'!$F:$F, 0)),
       INDEX('Referensi Harga'!$E:$E, MATCH($F193 &amp; "|" &amp; $C193, 'Referensi Harga'!$F:$F, 0))
    ))
    + IFERROR(VLOOKUP($H193, 'Profile Size'!$A:$B, 2, FALSE), 0)
    + IFERROR(VLOOKUP($I193, 'Ketebalan Material'!$A:$B, 2, FALSE), 0), 0),
0)</f>
        <v>0</v>
      </c>
      <c r="P193" cm="1">
        <f t="array" ref="P193">IF($M193="PER-LUBANG",
  IFERROR(
     _xlfn.IFS(
        $G193="Hollow",
            INDEX('Referensi Harga'!$C:$C,
                  MATCH($F193&amp;$C193,'Referensi Harga'!$A:$A&amp;'Referensi Harga'!$B:$B,0)),
        $G193="Hollow Stainless",
            INDEX('Referensi Harga'!$D:$D,
                  MATCH($F193&amp;$C193,'Referensi Harga'!$A:$A&amp;'Referensi Harga'!$B:$B,0)),
        $G193="Pipa Stainless",
            INDEX('Referensi Harga'!$E:$E,
                  MATCH($F193&amp;$C193,'Referensi Harga'!$A:$A&amp;'Referensi Harga'!$B:$B,0))
     ),0)
  + IFERROR(VLOOKUP($H193,'Profile Size'!$A:$B,2,FALSE),0)
  + IFERROR(VLOOKUP($I193,'Ketebalan Material'!$A:$B,2,FALSE),0),
0)</f>
        <v>0</v>
      </c>
      <c r="Q193">
        <f>IF($M193="PER-M2",
    IFERROR(
        SUMIFS('Upah Tenaga Ahli'!$C:$C,
               'Upah Tenaga Ahli'!$A:$A,"PER-M2",
               'Upah Tenaga Ahli'!$B:$B,$G193
        ) * $J193 * $K193,
    0),
IF($M193="PER-LUBANG",
    IFERROR(
        SUMIFS('Upah Tenaga Ahli'!$D:$D,
               'Upah Tenaga Ahli'!$A:$A,"PER-LUBANG",
               'Upah Tenaga Ahli'!$B:$B,$G193
        ) * $L193 * $K193,
    0),
IF($M193="PER-M",
    IFERROR(
        SUMIFS('Upah Tenaga Ahli'!$E:$E,
               'Upah Tenaga Ahli'!$A:$A,"PER-M",
               'Upah Tenaga Ahli'!$B:$B,$G193
        ) * $J193 * $K193,
    0),
0)))</f>
        <v>822000.00000000012</v>
      </c>
      <c r="R193" t="s">
        <v>617</v>
      </c>
      <c r="S193" t="s">
        <v>24</v>
      </c>
      <c r="T193">
        <f>IF($M193="PER-M2",
   ($N193 * $J193 * $K193)
   + IFERROR(VLOOKUP($R193,Finishing!A:B,2,FALSE),0)
   + IFERROR(VLOOKUP($S193,Kerumitan!A:B,2,FALSE),0),
IF($M193="PER-LUBANG",
   ($P193 * $L193 * $K193)
   + IFERROR(VLOOKUP($R193,Finishing!A:B,2,FALSE),0)
   + IFERROR(VLOOKUP($S193,Kerumitan!A:B,2,FALSE),0),
IF($M193="PER-M",
   ($O193 * $J193 * $K193)
   + IFERROR(VLOOKUP($R193,Finishing!A:B,2,FALSE),0)
   + IFERROR(VLOOKUP($S193,Kerumitan!A:B,2,FALSE),0),
0)))</f>
        <v>8155600.0000000009</v>
      </c>
    </row>
    <row r="194" spans="1:20" x14ac:dyDescent="0.45">
      <c r="A194" t="s">
        <v>289</v>
      </c>
      <c r="B194" s="5">
        <v>45238</v>
      </c>
      <c r="C194">
        <f t="shared" si="2"/>
        <v>2023</v>
      </c>
      <c r="D194" t="s">
        <v>77</v>
      </c>
      <c r="E194" t="s">
        <v>105</v>
      </c>
      <c r="F194" t="s">
        <v>6</v>
      </c>
      <c r="G194" t="s">
        <v>14</v>
      </c>
      <c r="H194" t="s">
        <v>614</v>
      </c>
      <c r="I194">
        <v>1</v>
      </c>
      <c r="J194">
        <v>23.09</v>
      </c>
      <c r="K194">
        <v>1</v>
      </c>
      <c r="L194">
        <v>0</v>
      </c>
      <c r="M194" t="str" cm="1">
        <f t="array" ref="M194">_xlfn.IFS(
   OR($F194="Pagar", $F194="Pintu Gerbang", $F194="Pintu Handerson", $F194="Kanopi"), "PER-M2",
   $F194="Teralis", "PER-LUBANG",
   OR($F194="Railing", $F194="Railing/Balkon"), "PER-M",
   TRUE, ""
)</f>
        <v>PER-M2</v>
      </c>
      <c r="N194" cm="1">
        <f t="array" ref="N194">IF($M194="PER-M2",
  IFERROR(
     _xlfn.IFS(
        $G194="Hollow",
            INDEX('Referensi Harga'!$C:$C,
                  MATCH($F194&amp;$C194,'Referensi Harga'!$A:$A&amp;'Referensi Harga'!$B:$B,0)),
        $G194="Hollow Stainless",
            INDEX('Referensi Harga'!$D:$D,
                  MATCH($F194&amp;$C194,'Referensi Harga'!$A:$A&amp;'Referensi Harga'!$B:$B,0)),
        $G194="Pipa Stainless",
            INDEX('Referensi Harga'!$E:$E,
                  MATCH($F194&amp;$C194,'Referensi Harga'!$A:$A&amp;'Referensi Harga'!$B:$B,0))
     ),0)
  + IFERROR(VLOOKUP($H194,'Profile Size'!$A:$B,2,FALSE),0)
  + IFERROR(VLOOKUP($I194,'Ketebalan Material'!$A:$B,2,FALSE),0),
0)</f>
        <v>750000</v>
      </c>
      <c r="O194">
        <f>IF($M194="PER-M",
  IFERROR(
    IF($G194="Hollow",
       INDEX('Referensi Harga'!$C:$C, MATCH($F194 &amp; "|" &amp; $C194, 'Referensi Harga'!$F:$F, 0)),
    IF($G194="Hollow Stainless",
       INDEX('Referensi Harga'!$D:$D, MATCH($F194 &amp; "|" &amp; $C194, 'Referensi Harga'!$F:$F, 0)),
       INDEX('Referensi Harga'!$E:$E, MATCH($F194 &amp; "|" &amp; $C194, 'Referensi Harga'!$F:$F, 0))
    ))
    + IFERROR(VLOOKUP($H194, 'Profile Size'!$A:$B, 2, FALSE), 0)
    + IFERROR(VLOOKUP($I194, 'Ketebalan Material'!$A:$B, 2, FALSE), 0), 0),
0)</f>
        <v>0</v>
      </c>
      <c r="P194" cm="1">
        <f t="array" ref="P194">IF($M194="PER-LUBANG",
  IFERROR(
     _xlfn.IFS(
        $G194="Hollow",
            INDEX('Referensi Harga'!$C:$C,
                  MATCH($F194&amp;$C194,'Referensi Harga'!$A:$A&amp;'Referensi Harga'!$B:$B,0)),
        $G194="Hollow Stainless",
            INDEX('Referensi Harga'!$D:$D,
                  MATCH($F194&amp;$C194,'Referensi Harga'!$A:$A&amp;'Referensi Harga'!$B:$B,0)),
        $G194="Pipa Stainless",
            INDEX('Referensi Harga'!$E:$E,
                  MATCH($F194&amp;$C194,'Referensi Harga'!$A:$A&amp;'Referensi Harga'!$B:$B,0))
     ),0)
  + IFERROR(VLOOKUP($H194,'Profile Size'!$A:$B,2,FALSE),0)
  + IFERROR(VLOOKUP($I194,'Ketebalan Material'!$A:$B,2,FALSE),0),
0)</f>
        <v>0</v>
      </c>
      <c r="Q194">
        <f>IF($M194="PER-M2",
    IFERROR(
        SUMIFS('Upah Tenaga Ahli'!$C:$C,
               'Upah Tenaga Ahli'!$A:$A,"PER-M2",
               'Upah Tenaga Ahli'!$B:$B,$G194
        ) * $J194 * $K194,
    0),
IF($M194="PER-LUBANG",
    IFERROR(
        SUMIFS('Upah Tenaga Ahli'!$D:$D,
               'Upah Tenaga Ahli'!$A:$A,"PER-LUBANG",
               'Upah Tenaga Ahli'!$B:$B,$G194
        ) * $L194 * $K194,
    0),
IF($M194="PER-M",
    IFERROR(
        SUMIFS('Upah Tenaga Ahli'!$E:$E,
               'Upah Tenaga Ahli'!$A:$A,"PER-M",
               'Upah Tenaga Ahli'!$B:$B,$G194
        ) * $J194 * $K194,
    0),
0)))</f>
        <v>4618000</v>
      </c>
      <c r="R194" t="s">
        <v>617</v>
      </c>
      <c r="S194" t="s">
        <v>23</v>
      </c>
      <c r="T194">
        <f>IF($M194="PER-M2",
   ($N194 * $J194 * $K194)
   + IFERROR(VLOOKUP($R194,Finishing!A:B,2,FALSE),0)
   + IFERROR(VLOOKUP($S194,Kerumitan!A:B,2,FALSE),0),
IF($M194="PER-LUBANG",
   ($P194 * $L194 * $K194)
   + IFERROR(VLOOKUP($R194,Finishing!A:B,2,FALSE),0)
   + IFERROR(VLOOKUP($S194,Kerumitan!A:B,2,FALSE),0),
IF($M194="PER-M",
   ($O194 * $J194 * $K194)
   + IFERROR(VLOOKUP($R194,Finishing!A:B,2,FALSE),0)
   + IFERROR(VLOOKUP($S194,Kerumitan!A:B,2,FALSE),0),
0)))</f>
        <v>17317500</v>
      </c>
    </row>
    <row r="195" spans="1:20" x14ac:dyDescent="0.45">
      <c r="A195" t="s">
        <v>290</v>
      </c>
      <c r="B195" s="5">
        <v>45848</v>
      </c>
      <c r="C195">
        <f t="shared" ref="C195:C258" si="3">IF($B195="","",YEAR($B195))</f>
        <v>2025</v>
      </c>
      <c r="D195" t="s">
        <v>37</v>
      </c>
      <c r="E195" t="s">
        <v>108</v>
      </c>
      <c r="F195" t="s">
        <v>4</v>
      </c>
      <c r="G195" t="s">
        <v>14</v>
      </c>
      <c r="H195" t="s">
        <v>615</v>
      </c>
      <c r="I195">
        <v>1.2</v>
      </c>
      <c r="J195">
        <v>14.43</v>
      </c>
      <c r="K195">
        <v>1</v>
      </c>
      <c r="L195">
        <v>0</v>
      </c>
      <c r="M195" t="str" cm="1">
        <f t="array" ref="M195">_xlfn.IFS(
   OR($F195="Pagar", $F195="Pintu Gerbang", $F195="Pintu Handerson", $F195="Kanopi"), "PER-M2",
   $F195="Teralis", "PER-LUBANG",
   OR($F195="Railing", $F195="Railing/Balkon"), "PER-M",
   TRUE, ""
)</f>
        <v>PER-M2</v>
      </c>
      <c r="N195" cm="1">
        <f t="array" ref="N195">IF($M195="PER-M2",
  IFERROR(
     _xlfn.IFS(
        $G195="Hollow",
            INDEX('Referensi Harga'!$C:$C,
                  MATCH($F195&amp;$C195,'Referensi Harga'!$A:$A&amp;'Referensi Harga'!$B:$B,0)),
        $G195="Hollow Stainless",
            INDEX('Referensi Harga'!$D:$D,
                  MATCH($F195&amp;$C195,'Referensi Harga'!$A:$A&amp;'Referensi Harga'!$B:$B,0)),
        $G195="Pipa Stainless",
            INDEX('Referensi Harga'!$E:$E,
                  MATCH($F195&amp;$C195,'Referensi Harga'!$A:$A&amp;'Referensi Harga'!$B:$B,0))
     ),0)
  + IFERROR(VLOOKUP($H195,'Profile Size'!$A:$B,2,FALSE),0)
  + IFERROR(VLOOKUP($I195,'Ketebalan Material'!$A:$B,2,FALSE),0),
0)</f>
        <v>1200000</v>
      </c>
      <c r="O195">
        <f>IF($M195="PER-M",
  IFERROR(
    IF($G195="Hollow",
       INDEX('Referensi Harga'!$C:$C, MATCH($F195 &amp; "|" &amp; $C195, 'Referensi Harga'!$F:$F, 0)),
    IF($G195="Hollow Stainless",
       INDEX('Referensi Harga'!$D:$D, MATCH($F195 &amp; "|" &amp; $C195, 'Referensi Harga'!$F:$F, 0)),
       INDEX('Referensi Harga'!$E:$E, MATCH($F195 &amp; "|" &amp; $C195, 'Referensi Harga'!$F:$F, 0))
    ))
    + IFERROR(VLOOKUP($H195, 'Profile Size'!$A:$B, 2, FALSE), 0)
    + IFERROR(VLOOKUP($I195, 'Ketebalan Material'!$A:$B, 2, FALSE), 0), 0),
0)</f>
        <v>0</v>
      </c>
      <c r="P195" cm="1">
        <f t="array" ref="P195">IF($M195="PER-LUBANG",
  IFERROR(
     _xlfn.IFS(
        $G195="Hollow",
            INDEX('Referensi Harga'!$C:$C,
                  MATCH($F195&amp;$C195,'Referensi Harga'!$A:$A&amp;'Referensi Harga'!$B:$B,0)),
        $G195="Hollow Stainless",
            INDEX('Referensi Harga'!$D:$D,
                  MATCH($F195&amp;$C195,'Referensi Harga'!$A:$A&amp;'Referensi Harga'!$B:$B,0)),
        $G195="Pipa Stainless",
            INDEX('Referensi Harga'!$E:$E,
                  MATCH($F195&amp;$C195,'Referensi Harga'!$A:$A&amp;'Referensi Harga'!$B:$B,0))
     ),0)
  + IFERROR(VLOOKUP($H195,'Profile Size'!$A:$B,2,FALSE),0)
  + IFERROR(VLOOKUP($I195,'Ketebalan Material'!$A:$B,2,FALSE),0),
0)</f>
        <v>0</v>
      </c>
      <c r="Q195">
        <f>IF($M195="PER-M2",
    IFERROR(
        SUMIFS('Upah Tenaga Ahli'!$C:$C,
               'Upah Tenaga Ahli'!$A:$A,"PER-M2",
               'Upah Tenaga Ahli'!$B:$B,$G195
        ) * $J195 * $K195,
    0),
IF($M195="PER-LUBANG",
    IFERROR(
        SUMIFS('Upah Tenaga Ahli'!$D:$D,
               'Upah Tenaga Ahli'!$A:$A,"PER-LUBANG",
               'Upah Tenaga Ahli'!$B:$B,$G195
        ) * $L195 * $K195,
    0),
IF($M195="PER-M",
    IFERROR(
        SUMIFS('Upah Tenaga Ahli'!$E:$E,
               'Upah Tenaga Ahli'!$A:$A,"PER-M",
               'Upah Tenaga Ahli'!$B:$B,$G195
        ) * $J195 * $K195,
    0),
0)))</f>
        <v>2886000</v>
      </c>
      <c r="R195" t="s">
        <v>617</v>
      </c>
      <c r="S195" t="s">
        <v>23</v>
      </c>
      <c r="T195">
        <f>IF($M195="PER-M2",
   ($N195 * $J195 * $K195)
   + IFERROR(VLOOKUP($R195,Finishing!A:B,2,FALSE),0)
   + IFERROR(VLOOKUP($S195,Kerumitan!A:B,2,FALSE),0),
IF($M195="PER-LUBANG",
   ($P195 * $L195 * $K195)
   + IFERROR(VLOOKUP($R195,Finishing!A:B,2,FALSE),0)
   + IFERROR(VLOOKUP($S195,Kerumitan!A:B,2,FALSE),0),
IF($M195="PER-M",
   ($O195 * $J195 * $K195)
   + IFERROR(VLOOKUP($R195,Finishing!A:B,2,FALSE),0)
   + IFERROR(VLOOKUP($S195,Kerumitan!A:B,2,FALSE),0),
0)))</f>
        <v>17316000</v>
      </c>
    </row>
    <row r="196" spans="1:20" x14ac:dyDescent="0.45">
      <c r="A196" t="s">
        <v>291</v>
      </c>
      <c r="B196" s="5">
        <v>43929</v>
      </c>
      <c r="C196">
        <f t="shared" si="3"/>
        <v>2020</v>
      </c>
      <c r="D196" t="s">
        <v>40</v>
      </c>
      <c r="E196" t="s">
        <v>75</v>
      </c>
      <c r="F196" t="s">
        <v>8</v>
      </c>
      <c r="G196" t="s">
        <v>15</v>
      </c>
      <c r="H196" t="s">
        <v>612</v>
      </c>
      <c r="I196">
        <v>1.2</v>
      </c>
      <c r="J196">
        <v>0</v>
      </c>
      <c r="K196">
        <v>1</v>
      </c>
      <c r="L196">
        <v>6</v>
      </c>
      <c r="M196" t="str" cm="1">
        <f t="array" ref="M196">_xlfn.IFS(
   OR($F196="Pagar", $F196="Pintu Gerbang", $F196="Pintu Handerson", $F196="Kanopi"), "PER-M2",
   $F196="Teralis", "PER-LUBANG",
   OR($F196="Railing", $F196="Railing/Balkon"), "PER-M",
   TRUE, ""
)</f>
        <v>PER-LUBANG</v>
      </c>
      <c r="N196" cm="1">
        <f t="array" ref="N196">IF($M196="PER-M2",
  IFERROR(
     _xlfn.IFS(
        $G196="Hollow",
            INDEX('Referensi Harga'!$C:$C,
                  MATCH($F196&amp;$C196,'Referensi Harga'!$A:$A&amp;'Referensi Harga'!$B:$B,0)),
        $G196="Hollow Stainless",
            INDEX('Referensi Harga'!$D:$D,
                  MATCH($F196&amp;$C196,'Referensi Harga'!$A:$A&amp;'Referensi Harga'!$B:$B,0)),
        $G196="Pipa Stainless",
            INDEX('Referensi Harga'!$E:$E,
                  MATCH($F196&amp;$C196,'Referensi Harga'!$A:$A&amp;'Referensi Harga'!$B:$B,0))
     ),0)
  + IFERROR(VLOOKUP($H196,'Profile Size'!$A:$B,2,FALSE),0)
  + IFERROR(VLOOKUP($I196,'Ketebalan Material'!$A:$B,2,FALSE),0),
0)</f>
        <v>0</v>
      </c>
      <c r="O196">
        <f>IF($M196="PER-M",
  IFERROR(
    IF($G196="Hollow",
       INDEX('Referensi Harga'!$C:$C, MATCH($F196 &amp; "|" &amp; $C196, 'Referensi Harga'!$F:$F, 0)),
    IF($G196="Hollow Stainless",
       INDEX('Referensi Harga'!$D:$D, MATCH($F196 &amp; "|" &amp; $C196, 'Referensi Harga'!$F:$F, 0)),
       INDEX('Referensi Harga'!$E:$E, MATCH($F196 &amp; "|" &amp; $C196, 'Referensi Harga'!$F:$F, 0))
    ))
    + IFERROR(VLOOKUP($H196, 'Profile Size'!$A:$B, 2, FALSE), 0)
    + IFERROR(VLOOKUP($I196, 'Ketebalan Material'!$A:$B, 2, FALSE), 0), 0),
0)</f>
        <v>0</v>
      </c>
      <c r="P196" cm="1">
        <f t="array" ref="P196">IF($M196="PER-LUBANG",
  IFERROR(
     _xlfn.IFS(
        $G196="Hollow",
            INDEX('Referensi Harga'!$C:$C,
                  MATCH($F196&amp;$C196,'Referensi Harga'!$A:$A&amp;'Referensi Harga'!$B:$B,0)),
        $G196="Hollow Stainless",
            INDEX('Referensi Harga'!$D:$D,
                  MATCH($F196&amp;$C196,'Referensi Harga'!$A:$A&amp;'Referensi Harga'!$B:$B,0)),
        $G196="Pipa Stainless",
            INDEX('Referensi Harga'!$E:$E,
                  MATCH($F196&amp;$C196,'Referensi Harga'!$A:$A&amp;'Referensi Harga'!$B:$B,0))
     ),0)
  + IFERROR(VLOOKUP($H196,'Profile Size'!$A:$B,2,FALSE),0)
  + IFERROR(VLOOKUP($I196,'Ketebalan Material'!$A:$B,2,FALSE),0),
0)</f>
        <v>800000</v>
      </c>
      <c r="Q196">
        <f>IF($M196="PER-M2",
    IFERROR(
        SUMIFS('Upah Tenaga Ahli'!$C:$C,
               'Upah Tenaga Ahli'!$A:$A,"PER-M2",
               'Upah Tenaga Ahli'!$B:$B,$G196
        ) * $J196 * $K196,
    0),
IF($M196="PER-LUBANG",
    IFERROR(
        SUMIFS('Upah Tenaga Ahli'!$D:$D,
               'Upah Tenaga Ahli'!$A:$A,"PER-LUBANG",
               'Upah Tenaga Ahli'!$B:$B,$G196
        ) * $L196 * $K196,
    0),
IF($M196="PER-M",
    IFERROR(
        SUMIFS('Upah Tenaga Ahli'!$E:$E,
               'Upah Tenaga Ahli'!$A:$A,"PER-M",
               'Upah Tenaga Ahli'!$B:$B,$G196
        ) * $J196 * $K196,
    0),
0)))</f>
        <v>900000</v>
      </c>
      <c r="R196" t="s">
        <v>617</v>
      </c>
      <c r="S196" t="s">
        <v>23</v>
      </c>
      <c r="T196">
        <f>IF($M196="PER-M2",
   ($N196 * $J196 * $K196)
   + IFERROR(VLOOKUP($R196,Finishing!A:B,2,FALSE),0)
   + IFERROR(VLOOKUP($S196,Kerumitan!A:B,2,FALSE),0),
IF($M196="PER-LUBANG",
   ($P196 * $L196 * $K196)
   + IFERROR(VLOOKUP($R196,Finishing!A:B,2,FALSE),0)
   + IFERROR(VLOOKUP($S196,Kerumitan!A:B,2,FALSE),0),
IF($M196="PER-M",
   ($O196 * $J196 * $K196)
   + IFERROR(VLOOKUP($R196,Finishing!A:B,2,FALSE),0)
   + IFERROR(VLOOKUP($S196,Kerumitan!A:B,2,FALSE),0),
0)))</f>
        <v>4800000</v>
      </c>
    </row>
    <row r="197" spans="1:20" x14ac:dyDescent="0.45">
      <c r="A197" t="s">
        <v>292</v>
      </c>
      <c r="B197" s="5">
        <v>44429</v>
      </c>
      <c r="C197">
        <f t="shared" si="3"/>
        <v>2021</v>
      </c>
      <c r="D197" t="s">
        <v>53</v>
      </c>
      <c r="E197" t="s">
        <v>54</v>
      </c>
      <c r="F197" t="s">
        <v>10</v>
      </c>
      <c r="G197" t="s">
        <v>15</v>
      </c>
      <c r="H197" t="s">
        <v>46</v>
      </c>
      <c r="I197">
        <v>1</v>
      </c>
      <c r="J197">
        <v>2.5099999999999998</v>
      </c>
      <c r="K197">
        <v>1</v>
      </c>
      <c r="L197">
        <v>0</v>
      </c>
      <c r="M197" t="str" cm="1">
        <f t="array" ref="M197">_xlfn.IFS(
   OR($F197="Pagar", $F197="Pintu Gerbang", $F197="Pintu Handerson", $F197="Kanopi"), "PER-M2",
   $F197="Teralis", "PER-LUBANG",
   OR($F197="Railing", $F197="Railing/Balkon"), "PER-M",
   TRUE, ""
)</f>
        <v>PER-M2</v>
      </c>
      <c r="N197" cm="1">
        <f t="array" ref="N197">IF($M197="PER-M2",
  IFERROR(
     _xlfn.IFS(
        $G197="Hollow",
            INDEX('Referensi Harga'!$C:$C,
                  MATCH($F197&amp;$C197,'Referensi Harga'!$A:$A&amp;'Referensi Harga'!$B:$B,0)),
        $G197="Hollow Stainless",
            INDEX('Referensi Harga'!$D:$D,
                  MATCH($F197&amp;$C197,'Referensi Harga'!$A:$A&amp;'Referensi Harga'!$B:$B,0)),
        $G197="Pipa Stainless",
            INDEX('Referensi Harga'!$E:$E,
                  MATCH($F197&amp;$C197,'Referensi Harga'!$A:$A&amp;'Referensi Harga'!$B:$B,0))
     ),0)
  + IFERROR(VLOOKUP($H197,'Profile Size'!$A:$B,2,FALSE),0)
  + IFERROR(VLOOKUP($I197,'Ketebalan Material'!$A:$B,2,FALSE),0),
0)</f>
        <v>1520000</v>
      </c>
      <c r="O197">
        <f>IF($M197="PER-M",
  IFERROR(
    IF($G197="Hollow",
       INDEX('Referensi Harga'!$C:$C, MATCH($F197 &amp; "|" &amp; $C197, 'Referensi Harga'!$F:$F, 0)),
    IF($G197="Hollow Stainless",
       INDEX('Referensi Harga'!$D:$D, MATCH($F197 &amp; "|" &amp; $C197, 'Referensi Harga'!$F:$F, 0)),
       INDEX('Referensi Harga'!$E:$E, MATCH($F197 &amp; "|" &amp; $C197, 'Referensi Harga'!$F:$F, 0))
    ))
    + IFERROR(VLOOKUP($H197, 'Profile Size'!$A:$B, 2, FALSE), 0)
    + IFERROR(VLOOKUP($I197, 'Ketebalan Material'!$A:$B, 2, FALSE), 0), 0),
0)</f>
        <v>0</v>
      </c>
      <c r="P197" cm="1">
        <f t="array" ref="P197">IF($M197="PER-LUBANG",
  IFERROR(
     _xlfn.IFS(
        $G197="Hollow",
            INDEX('Referensi Harga'!$C:$C,
                  MATCH($F197&amp;$C197,'Referensi Harga'!$A:$A&amp;'Referensi Harga'!$B:$B,0)),
        $G197="Hollow Stainless",
            INDEX('Referensi Harga'!$D:$D,
                  MATCH($F197&amp;$C197,'Referensi Harga'!$A:$A&amp;'Referensi Harga'!$B:$B,0)),
        $G197="Pipa Stainless",
            INDEX('Referensi Harga'!$E:$E,
                  MATCH($F197&amp;$C197,'Referensi Harga'!$A:$A&amp;'Referensi Harga'!$B:$B,0))
     ),0)
  + IFERROR(VLOOKUP($H197,'Profile Size'!$A:$B,2,FALSE),0)
  + IFERROR(VLOOKUP($I197,'Ketebalan Material'!$A:$B,2,FALSE),0),
0)</f>
        <v>0</v>
      </c>
      <c r="Q197">
        <f>IF($M197="PER-M2",
    IFERROR(
        SUMIFS('Upah Tenaga Ahli'!$C:$C,
               'Upah Tenaga Ahli'!$A:$A,"PER-M2",
               'Upah Tenaga Ahli'!$B:$B,$G197
        ) * $J197 * $K197,
    0),
IF($M197="PER-LUBANG",
    IFERROR(
        SUMIFS('Upah Tenaga Ahli'!$D:$D,
               'Upah Tenaga Ahli'!$A:$A,"PER-LUBANG",
               'Upah Tenaga Ahli'!$B:$B,$G197
        ) * $L197 * $K197,
    0),
IF($M197="PER-M",
    IFERROR(
        SUMIFS('Upah Tenaga Ahli'!$E:$E,
               'Upah Tenaga Ahli'!$A:$A,"PER-M",
               'Upah Tenaga Ahli'!$B:$B,$G197
        ) * $J197 * $K197,
    0),
0)))</f>
        <v>376499.99999999994</v>
      </c>
      <c r="R197" t="s">
        <v>617</v>
      </c>
      <c r="S197" t="s">
        <v>24</v>
      </c>
      <c r="T197">
        <f>IF($M197="PER-M2",
   ($N197 * $J197 * $K197)
   + IFERROR(VLOOKUP($R197,Finishing!A:B,2,FALSE),0)
   + IFERROR(VLOOKUP($S197,Kerumitan!A:B,2,FALSE),0),
IF($M197="PER-LUBANG",
   ($P197 * $L197 * $K197)
   + IFERROR(VLOOKUP($R197,Finishing!A:B,2,FALSE),0)
   + IFERROR(VLOOKUP($S197,Kerumitan!A:B,2,FALSE),0),
IF($M197="PER-M",
   ($O197 * $J197 * $K197)
   + IFERROR(VLOOKUP($R197,Finishing!A:B,2,FALSE),0)
   + IFERROR(VLOOKUP($S197,Kerumitan!A:B,2,FALSE),0),
0)))</f>
        <v>3915199.9999999995</v>
      </c>
    </row>
    <row r="198" spans="1:20" x14ac:dyDescent="0.45">
      <c r="A198" t="s">
        <v>293</v>
      </c>
      <c r="B198" s="5">
        <v>44956</v>
      </c>
      <c r="C198">
        <f t="shared" si="3"/>
        <v>2023</v>
      </c>
      <c r="D198" t="s">
        <v>71</v>
      </c>
      <c r="E198" t="s">
        <v>105</v>
      </c>
      <c r="F198" t="s">
        <v>625</v>
      </c>
      <c r="G198" t="s">
        <v>14</v>
      </c>
      <c r="H198" t="s">
        <v>615</v>
      </c>
      <c r="I198">
        <v>1.2</v>
      </c>
      <c r="J198">
        <v>3.53</v>
      </c>
      <c r="K198">
        <v>2</v>
      </c>
      <c r="L198">
        <v>0</v>
      </c>
      <c r="M198" t="str" cm="1">
        <f t="array" ref="M198">_xlfn.IFS(
   OR($F198="Pagar", $F198="Pintu Gerbang", $F198="Pintu Handerson", $F198="Kanopi"), "PER-M2",
   $F198="Teralis", "PER-LUBANG",
   OR($F198="Railing", $F198="Railing/Balkon"), "PER-M",
   TRUE, ""
)</f>
        <v>PER-M</v>
      </c>
      <c r="N198" cm="1">
        <f t="array" ref="N198">IF($M198="PER-M2",
  IFERROR(
     _xlfn.IFS(
        $G198="Hollow",
            INDEX('Referensi Harga'!$C:$C,
                  MATCH($F198&amp;$C198,'Referensi Harga'!$A:$A&amp;'Referensi Harga'!$B:$B,0)),
        $G198="Hollow Stainless",
            INDEX('Referensi Harga'!$D:$D,
                  MATCH($F198&amp;$C198,'Referensi Harga'!$A:$A&amp;'Referensi Harga'!$B:$B,0)),
        $G198="Pipa Stainless",
            INDEX('Referensi Harga'!$E:$E,
                  MATCH($F198&amp;$C198,'Referensi Harga'!$A:$A&amp;'Referensi Harga'!$B:$B,0))
     ),0)
  + IFERROR(VLOOKUP($H198,'Profile Size'!$A:$B,2,FALSE),0)
  + IFERROR(VLOOKUP($I198,'Ketebalan Material'!$A:$B,2,FALSE),0),
0)</f>
        <v>0</v>
      </c>
      <c r="O198">
        <f>IF($M198="PER-M",
  IFERROR(
    IF($G198="Hollow",
       INDEX('Referensi Harga'!$C:$C, MATCH($F198 &amp; "|" &amp; $C198, 'Referensi Harga'!$F:$F, 0)),
    IF($G198="Hollow Stainless",
       INDEX('Referensi Harga'!$D:$D, MATCH($F198 &amp; "|" &amp; $C198, 'Referensi Harga'!$F:$F, 0)),
       INDEX('Referensi Harga'!$E:$E, MATCH($F198 &amp; "|" &amp; $C198, 'Referensi Harga'!$F:$F, 0))
    ))
    + IFERROR(VLOOKUP($H198, 'Profile Size'!$A:$B, 2, FALSE), 0)
    + IFERROR(VLOOKUP($I198, 'Ketebalan Material'!$A:$B, 2, FALSE), 0), 0),
0)</f>
        <v>1150000</v>
      </c>
      <c r="P198" cm="1">
        <f t="array" ref="P198">IF($M198="PER-LUBANG",
  IFERROR(
     _xlfn.IFS(
        $G198="Hollow",
            INDEX('Referensi Harga'!$C:$C,
                  MATCH($F198&amp;$C198,'Referensi Harga'!$A:$A&amp;'Referensi Harga'!$B:$B,0)),
        $G198="Hollow Stainless",
            INDEX('Referensi Harga'!$D:$D,
                  MATCH($F198&amp;$C198,'Referensi Harga'!$A:$A&amp;'Referensi Harga'!$B:$B,0)),
        $G198="Pipa Stainless",
            INDEX('Referensi Harga'!$E:$E,
                  MATCH($F198&amp;$C198,'Referensi Harga'!$A:$A&amp;'Referensi Harga'!$B:$B,0))
     ),0)
  + IFERROR(VLOOKUP($H198,'Profile Size'!$A:$B,2,FALSE),0)
  + IFERROR(VLOOKUP($I198,'Ketebalan Material'!$A:$B,2,FALSE),0),
0)</f>
        <v>0</v>
      </c>
      <c r="Q198">
        <f>IF($M198="PER-M2",
    IFERROR(
        SUMIFS('Upah Tenaga Ahli'!$C:$C,
               'Upah Tenaga Ahli'!$A:$A,"PER-M2",
               'Upah Tenaga Ahli'!$B:$B,$G198
        ) * $J198 * $K198,
    0),
IF($M198="PER-LUBANG",
    IFERROR(
        SUMIFS('Upah Tenaga Ahli'!$D:$D,
               'Upah Tenaga Ahli'!$A:$A,"PER-LUBANG",
               'Upah Tenaga Ahli'!$B:$B,$G198
        ) * $L198 * $K198,
    0),
IF($M198="PER-M",
    IFERROR(
        SUMIFS('Upah Tenaga Ahli'!$E:$E,
               'Upah Tenaga Ahli'!$A:$A,"PER-M",
               'Upah Tenaga Ahli'!$B:$B,$G198
        ) * $J198 * $K198,
    0),
0)))</f>
        <v>1412000</v>
      </c>
      <c r="R198" t="s">
        <v>617</v>
      </c>
      <c r="S198" t="s">
        <v>23</v>
      </c>
      <c r="T198">
        <f>IF($M198="PER-M2",
   ($N198 * $J198 * $K198)
   + IFERROR(VLOOKUP($R198,Finishing!A:B,2,FALSE),0)
   + IFERROR(VLOOKUP($S198,Kerumitan!A:B,2,FALSE),0),
IF($M198="PER-LUBANG",
   ($P198 * $L198 * $K198)
   + IFERROR(VLOOKUP($R198,Finishing!A:B,2,FALSE),0)
   + IFERROR(VLOOKUP($S198,Kerumitan!A:B,2,FALSE),0),
IF($M198="PER-M",
   ($O198 * $J198 * $K198)
   + IFERROR(VLOOKUP($R198,Finishing!A:B,2,FALSE),0)
   + IFERROR(VLOOKUP($S198,Kerumitan!A:B,2,FALSE),0),
0)))</f>
        <v>8119000</v>
      </c>
    </row>
    <row r="199" spans="1:20" x14ac:dyDescent="0.45">
      <c r="A199" t="s">
        <v>294</v>
      </c>
      <c r="B199" s="5">
        <v>45833</v>
      </c>
      <c r="C199">
        <f t="shared" si="3"/>
        <v>2025</v>
      </c>
      <c r="D199" t="s">
        <v>115</v>
      </c>
      <c r="E199" t="s">
        <v>91</v>
      </c>
      <c r="F199" t="s">
        <v>7</v>
      </c>
      <c r="G199" t="s">
        <v>13</v>
      </c>
      <c r="H199" t="s">
        <v>33</v>
      </c>
      <c r="I199">
        <v>1.2</v>
      </c>
      <c r="J199">
        <v>12.35</v>
      </c>
      <c r="K199">
        <v>1</v>
      </c>
      <c r="L199">
        <v>0</v>
      </c>
      <c r="M199" t="str" cm="1">
        <f t="array" ref="M199">_xlfn.IFS(
   OR($F199="Pagar", $F199="Pintu Gerbang", $F199="Pintu Handerson", $F199="Kanopi"), "PER-M2",
   $F199="Teralis", "PER-LUBANG",
   OR($F199="Railing", $F199="Railing/Balkon"), "PER-M",
   TRUE, ""
)</f>
        <v>PER-M2</v>
      </c>
      <c r="N199" cm="1">
        <f t="array" ref="N199">IF($M199="PER-M2",
  IFERROR(
     _xlfn.IFS(
        $G199="Hollow",
            INDEX('Referensi Harga'!$C:$C,
                  MATCH($F199&amp;$C199,'Referensi Harga'!$A:$A&amp;'Referensi Harga'!$B:$B,0)),
        $G199="Hollow Stainless",
            INDEX('Referensi Harga'!$D:$D,
                  MATCH($F199&amp;$C199,'Referensi Harga'!$A:$A&amp;'Referensi Harga'!$B:$B,0)),
        $G199="Pipa Stainless",
            INDEX('Referensi Harga'!$E:$E,
                  MATCH($F199&amp;$C199,'Referensi Harga'!$A:$A&amp;'Referensi Harga'!$B:$B,0))
     ),0)
  + IFERROR(VLOOKUP($H199,'Profile Size'!$A:$B,2,FALSE),0)
  + IFERROR(VLOOKUP($I199,'Ketebalan Material'!$A:$B,2,FALSE),0),
0)</f>
        <v>850000</v>
      </c>
      <c r="O199">
        <f>IF($M199="PER-M",
  IFERROR(
    IF($G199="Hollow",
       INDEX('Referensi Harga'!$C:$C, MATCH($F199 &amp; "|" &amp; $C199, 'Referensi Harga'!$F:$F, 0)),
    IF($G199="Hollow Stainless",
       INDEX('Referensi Harga'!$D:$D, MATCH($F199 &amp; "|" &amp; $C199, 'Referensi Harga'!$F:$F, 0)),
       INDEX('Referensi Harga'!$E:$E, MATCH($F199 &amp; "|" &amp; $C199, 'Referensi Harga'!$F:$F, 0))
    ))
    + IFERROR(VLOOKUP($H199, 'Profile Size'!$A:$B, 2, FALSE), 0)
    + IFERROR(VLOOKUP($I199, 'Ketebalan Material'!$A:$B, 2, FALSE), 0), 0),
0)</f>
        <v>0</v>
      </c>
      <c r="P199" cm="1">
        <f t="array" ref="P199">IF($M199="PER-LUBANG",
  IFERROR(
     _xlfn.IFS(
        $G199="Hollow",
            INDEX('Referensi Harga'!$C:$C,
                  MATCH($F199&amp;$C199,'Referensi Harga'!$A:$A&amp;'Referensi Harga'!$B:$B,0)),
        $G199="Hollow Stainless",
            INDEX('Referensi Harga'!$D:$D,
                  MATCH($F199&amp;$C199,'Referensi Harga'!$A:$A&amp;'Referensi Harga'!$B:$B,0)),
        $G199="Pipa Stainless",
            INDEX('Referensi Harga'!$E:$E,
                  MATCH($F199&amp;$C199,'Referensi Harga'!$A:$A&amp;'Referensi Harga'!$B:$B,0))
     ),0)
  + IFERROR(VLOOKUP($H199,'Profile Size'!$A:$B,2,FALSE),0)
  + IFERROR(VLOOKUP($I199,'Ketebalan Material'!$A:$B,2,FALSE),0),
0)</f>
        <v>0</v>
      </c>
      <c r="Q199">
        <f>IF($M199="PER-M2",
    IFERROR(
        SUMIFS('Upah Tenaga Ahli'!$C:$C,
               'Upah Tenaga Ahli'!$A:$A,"PER-M2",
               'Upah Tenaga Ahli'!$B:$B,$G199
        ) * $J199 * $K199,
    0),
IF($M199="PER-LUBANG",
    IFERROR(
        SUMIFS('Upah Tenaga Ahli'!$D:$D,
               'Upah Tenaga Ahli'!$A:$A,"PER-LUBANG",
               'Upah Tenaga Ahli'!$B:$B,$G199
        ) * $L199 * $K199,
    0),
IF($M199="PER-M",
    IFERROR(
        SUMIFS('Upah Tenaga Ahli'!$E:$E,
               'Upah Tenaga Ahli'!$A:$A,"PER-M",
               'Upah Tenaga Ahli'!$B:$B,$G199
        ) * $J199 * $K199,
    0),
0)))</f>
        <v>1235000</v>
      </c>
      <c r="R199" t="s">
        <v>18</v>
      </c>
      <c r="S199" t="s">
        <v>23</v>
      </c>
      <c r="T199">
        <f>IF($M199="PER-M2",
   ($N199 * $J199 * $K199)
   + IFERROR(VLOOKUP($R199,Finishing!A:B,2,FALSE),0)
   + IFERROR(VLOOKUP($S199,Kerumitan!A:B,2,FALSE),0),
IF($M199="PER-LUBANG",
   ($P199 * $L199 * $K199)
   + IFERROR(VLOOKUP($R199,Finishing!A:B,2,FALSE),0)
   + IFERROR(VLOOKUP($S199,Kerumitan!A:B,2,FALSE),0),
IF($M199="PER-M",
   ($O199 * $J199 * $K199)
   + IFERROR(VLOOKUP($R199,Finishing!A:B,2,FALSE),0)
   + IFERROR(VLOOKUP($S199,Kerumitan!A:B,2,FALSE),0),
0)))</f>
        <v>10497500</v>
      </c>
    </row>
    <row r="200" spans="1:20" x14ac:dyDescent="0.45">
      <c r="A200" t="s">
        <v>295</v>
      </c>
      <c r="B200" s="5">
        <v>44856</v>
      </c>
      <c r="C200">
        <f t="shared" si="3"/>
        <v>2022</v>
      </c>
      <c r="D200" t="s">
        <v>296</v>
      </c>
      <c r="E200" t="s">
        <v>32</v>
      </c>
      <c r="F200" t="s">
        <v>7</v>
      </c>
      <c r="G200" t="s">
        <v>13</v>
      </c>
      <c r="H200" t="s">
        <v>35</v>
      </c>
      <c r="I200">
        <v>0.8</v>
      </c>
      <c r="J200">
        <v>4.97</v>
      </c>
      <c r="K200">
        <v>1</v>
      </c>
      <c r="L200">
        <v>0</v>
      </c>
      <c r="M200" t="str" cm="1">
        <f t="array" ref="M200">_xlfn.IFS(
   OR($F200="Pagar", $F200="Pintu Gerbang", $F200="Pintu Handerson", $F200="Kanopi"), "PER-M2",
   $F200="Teralis", "PER-LUBANG",
   OR($F200="Railing", $F200="Railing/Balkon"), "PER-M",
   TRUE, ""
)</f>
        <v>PER-M2</v>
      </c>
      <c r="N200" cm="1">
        <f t="array" ref="N200">IF($M200="PER-M2",
  IFERROR(
     _xlfn.IFS(
        $G200="Hollow",
            INDEX('Referensi Harga'!$C:$C,
                  MATCH($F200&amp;$C200,'Referensi Harga'!$A:$A&amp;'Referensi Harga'!$B:$B,0)),
        $G200="Hollow Stainless",
            INDEX('Referensi Harga'!$D:$D,
                  MATCH($F200&amp;$C200,'Referensi Harga'!$A:$A&amp;'Referensi Harga'!$B:$B,0)),
        $G200="Pipa Stainless",
            INDEX('Referensi Harga'!$E:$E,
                  MATCH($F200&amp;$C200,'Referensi Harga'!$A:$A&amp;'Referensi Harga'!$B:$B,0))
     ),0)
  + IFERROR(VLOOKUP($H200,'Profile Size'!$A:$B,2,FALSE),0)
  + IFERROR(VLOOKUP($I200,'Ketebalan Material'!$A:$B,2,FALSE),0),
0)</f>
        <v>750000</v>
      </c>
      <c r="O200">
        <f>IF($M200="PER-M",
  IFERROR(
    IF($G200="Hollow",
       INDEX('Referensi Harga'!$C:$C, MATCH($F200 &amp; "|" &amp; $C200, 'Referensi Harga'!$F:$F, 0)),
    IF($G200="Hollow Stainless",
       INDEX('Referensi Harga'!$D:$D, MATCH($F200 &amp; "|" &amp; $C200, 'Referensi Harga'!$F:$F, 0)),
       INDEX('Referensi Harga'!$E:$E, MATCH($F200 &amp; "|" &amp; $C200, 'Referensi Harga'!$F:$F, 0))
    ))
    + IFERROR(VLOOKUP($H200, 'Profile Size'!$A:$B, 2, FALSE), 0)
    + IFERROR(VLOOKUP($I200, 'Ketebalan Material'!$A:$B, 2, FALSE), 0), 0),
0)</f>
        <v>0</v>
      </c>
      <c r="P200" cm="1">
        <f t="array" ref="P200">IF($M200="PER-LUBANG",
  IFERROR(
     _xlfn.IFS(
        $G200="Hollow",
            INDEX('Referensi Harga'!$C:$C,
                  MATCH($F200&amp;$C200,'Referensi Harga'!$A:$A&amp;'Referensi Harga'!$B:$B,0)),
        $G200="Hollow Stainless",
            INDEX('Referensi Harga'!$D:$D,
                  MATCH($F200&amp;$C200,'Referensi Harga'!$A:$A&amp;'Referensi Harga'!$B:$B,0)),
        $G200="Pipa Stainless",
            INDEX('Referensi Harga'!$E:$E,
                  MATCH($F200&amp;$C200,'Referensi Harga'!$A:$A&amp;'Referensi Harga'!$B:$B,0))
     ),0)
  + IFERROR(VLOOKUP($H200,'Profile Size'!$A:$B,2,FALSE),0)
  + IFERROR(VLOOKUP($I200,'Ketebalan Material'!$A:$B,2,FALSE),0),
0)</f>
        <v>0</v>
      </c>
      <c r="Q200">
        <f>IF($M200="PER-M2",
    IFERROR(
        SUMIFS('Upah Tenaga Ahli'!$C:$C,
               'Upah Tenaga Ahli'!$A:$A,"PER-M2",
               'Upah Tenaga Ahli'!$B:$B,$G200
        ) * $J200 * $K200,
    0),
IF($M200="PER-LUBANG",
    IFERROR(
        SUMIFS('Upah Tenaga Ahli'!$D:$D,
               'Upah Tenaga Ahli'!$A:$A,"PER-LUBANG",
               'Upah Tenaga Ahli'!$B:$B,$G200
        ) * $L200 * $K200,
    0),
IF($M200="PER-M",
    IFERROR(
        SUMIFS('Upah Tenaga Ahli'!$E:$E,
               'Upah Tenaga Ahli'!$A:$A,"PER-M",
               'Upah Tenaga Ahli'!$B:$B,$G200
        ) * $J200 * $K200,
    0),
0)))</f>
        <v>497000</v>
      </c>
      <c r="R200" t="s">
        <v>18</v>
      </c>
      <c r="S200" t="s">
        <v>23</v>
      </c>
      <c r="T200">
        <f>IF($M200="PER-M2",
   ($N200 * $J200 * $K200)
   + IFERROR(VLOOKUP($R200,Finishing!A:B,2,FALSE),0)
   + IFERROR(VLOOKUP($S200,Kerumitan!A:B,2,FALSE),0),
IF($M200="PER-LUBANG",
   ($P200 * $L200 * $K200)
   + IFERROR(VLOOKUP($R200,Finishing!A:B,2,FALSE),0)
   + IFERROR(VLOOKUP($S200,Kerumitan!A:B,2,FALSE),0),
IF($M200="PER-M",
   ($O200 * $J200 * $K200)
   + IFERROR(VLOOKUP($R200,Finishing!A:B,2,FALSE),0)
   + IFERROR(VLOOKUP($S200,Kerumitan!A:B,2,FALSE),0),
0)))</f>
        <v>3727500</v>
      </c>
    </row>
    <row r="201" spans="1:20" x14ac:dyDescent="0.45">
      <c r="A201" t="s">
        <v>297</v>
      </c>
      <c r="B201" s="5">
        <v>45262</v>
      </c>
      <c r="C201">
        <f t="shared" si="3"/>
        <v>2023</v>
      </c>
      <c r="D201" t="s">
        <v>49</v>
      </c>
      <c r="E201" t="s">
        <v>87</v>
      </c>
      <c r="F201" t="s">
        <v>7</v>
      </c>
      <c r="G201" t="s">
        <v>13</v>
      </c>
      <c r="H201" t="s">
        <v>33</v>
      </c>
      <c r="I201">
        <v>1.2</v>
      </c>
      <c r="J201">
        <v>12.39</v>
      </c>
      <c r="K201">
        <v>1</v>
      </c>
      <c r="L201">
        <v>0</v>
      </c>
      <c r="M201" t="str" cm="1">
        <f t="array" ref="M201">_xlfn.IFS(
   OR($F201="Pagar", $F201="Pintu Gerbang", $F201="Pintu Handerson", $F201="Kanopi"), "PER-M2",
   $F201="Teralis", "PER-LUBANG",
   OR($F201="Railing", $F201="Railing/Balkon"), "PER-M",
   TRUE, ""
)</f>
        <v>PER-M2</v>
      </c>
      <c r="N201" cm="1">
        <f t="array" ref="N201">IF($M201="PER-M2",
  IFERROR(
     _xlfn.IFS(
        $G201="Hollow",
            INDEX('Referensi Harga'!$C:$C,
                  MATCH($F201&amp;$C201,'Referensi Harga'!$A:$A&amp;'Referensi Harga'!$B:$B,0)),
        $G201="Hollow Stainless",
            INDEX('Referensi Harga'!$D:$D,
                  MATCH($F201&amp;$C201,'Referensi Harga'!$A:$A&amp;'Referensi Harga'!$B:$B,0)),
        $G201="Pipa Stainless",
            INDEX('Referensi Harga'!$E:$E,
                  MATCH($F201&amp;$C201,'Referensi Harga'!$A:$A&amp;'Referensi Harga'!$B:$B,0))
     ),0)
  + IFERROR(VLOOKUP($H201,'Profile Size'!$A:$B,2,FALSE),0)
  + IFERROR(VLOOKUP($I201,'Ketebalan Material'!$A:$B,2,FALSE),0),
0)</f>
        <v>800000</v>
      </c>
      <c r="O201">
        <f>IF($M201="PER-M",
  IFERROR(
    IF($G201="Hollow",
       INDEX('Referensi Harga'!$C:$C, MATCH($F201 &amp; "|" &amp; $C201, 'Referensi Harga'!$F:$F, 0)),
    IF($G201="Hollow Stainless",
       INDEX('Referensi Harga'!$D:$D, MATCH($F201 &amp; "|" &amp; $C201, 'Referensi Harga'!$F:$F, 0)),
       INDEX('Referensi Harga'!$E:$E, MATCH($F201 &amp; "|" &amp; $C201, 'Referensi Harga'!$F:$F, 0))
    ))
    + IFERROR(VLOOKUP($H201, 'Profile Size'!$A:$B, 2, FALSE), 0)
    + IFERROR(VLOOKUP($I201, 'Ketebalan Material'!$A:$B, 2, FALSE), 0), 0),
0)</f>
        <v>0</v>
      </c>
      <c r="P201" cm="1">
        <f t="array" ref="P201">IF($M201="PER-LUBANG",
  IFERROR(
     _xlfn.IFS(
        $G201="Hollow",
            INDEX('Referensi Harga'!$C:$C,
                  MATCH($F201&amp;$C201,'Referensi Harga'!$A:$A&amp;'Referensi Harga'!$B:$B,0)),
        $G201="Hollow Stainless",
            INDEX('Referensi Harga'!$D:$D,
                  MATCH($F201&amp;$C201,'Referensi Harga'!$A:$A&amp;'Referensi Harga'!$B:$B,0)),
        $G201="Pipa Stainless",
            INDEX('Referensi Harga'!$E:$E,
                  MATCH($F201&amp;$C201,'Referensi Harga'!$A:$A&amp;'Referensi Harga'!$B:$B,0))
     ),0)
  + IFERROR(VLOOKUP($H201,'Profile Size'!$A:$B,2,FALSE),0)
  + IFERROR(VLOOKUP($I201,'Ketebalan Material'!$A:$B,2,FALSE),0),
0)</f>
        <v>0</v>
      </c>
      <c r="Q201">
        <f>IF($M201="PER-M2",
    IFERROR(
        SUMIFS('Upah Tenaga Ahli'!$C:$C,
               'Upah Tenaga Ahli'!$A:$A,"PER-M2",
               'Upah Tenaga Ahli'!$B:$B,$G201
        ) * $J201 * $K201,
    0),
IF($M201="PER-LUBANG",
    IFERROR(
        SUMIFS('Upah Tenaga Ahli'!$D:$D,
               'Upah Tenaga Ahli'!$A:$A,"PER-LUBANG",
               'Upah Tenaga Ahli'!$B:$B,$G201
        ) * $L201 * $K201,
    0),
IF($M201="PER-M",
    IFERROR(
        SUMIFS('Upah Tenaga Ahli'!$E:$E,
               'Upah Tenaga Ahli'!$A:$A,"PER-M",
               'Upah Tenaga Ahli'!$B:$B,$G201
        ) * $J201 * $K201,
    0),
0)))</f>
        <v>1239000</v>
      </c>
      <c r="R201" t="s">
        <v>19</v>
      </c>
      <c r="S201" t="s">
        <v>25</v>
      </c>
      <c r="T201">
        <f>IF($M201="PER-M2",
   ($N201 * $J201 * $K201)
   + IFERROR(VLOOKUP($R201,Finishing!A:B,2,FALSE),0)
   + IFERROR(VLOOKUP($S201,Kerumitan!A:B,2,FALSE),0),
IF($M201="PER-LUBANG",
   ($P201 * $L201 * $K201)
   + IFERROR(VLOOKUP($R201,Finishing!A:B,2,FALSE),0)
   + IFERROR(VLOOKUP($S201,Kerumitan!A:B,2,FALSE),0),
IF($M201="PER-M",
   ($O201 * $J201 * $K201)
   + IFERROR(VLOOKUP($R201,Finishing!A:B,2,FALSE),0)
   + IFERROR(VLOOKUP($S201,Kerumitan!A:B,2,FALSE),0),
0)))</f>
        <v>10112000</v>
      </c>
    </row>
    <row r="202" spans="1:20" x14ac:dyDescent="0.45">
      <c r="A202" t="s">
        <v>298</v>
      </c>
      <c r="B202" s="5">
        <v>45450</v>
      </c>
      <c r="C202">
        <f t="shared" si="3"/>
        <v>2024</v>
      </c>
      <c r="D202" t="s">
        <v>27</v>
      </c>
      <c r="E202" t="s">
        <v>44</v>
      </c>
      <c r="F202" t="s">
        <v>8</v>
      </c>
      <c r="G202" t="s">
        <v>15</v>
      </c>
      <c r="H202" t="s">
        <v>612</v>
      </c>
      <c r="I202">
        <v>1.2</v>
      </c>
      <c r="J202">
        <v>0</v>
      </c>
      <c r="K202">
        <v>1</v>
      </c>
      <c r="L202">
        <v>14</v>
      </c>
      <c r="M202" t="str" cm="1">
        <f t="array" ref="M202">_xlfn.IFS(
   OR($F202="Pagar", $F202="Pintu Gerbang", $F202="Pintu Handerson", $F202="Kanopi"), "PER-M2",
   $F202="Teralis", "PER-LUBANG",
   OR($F202="Railing", $F202="Railing/Balkon"), "PER-M",
   TRUE, ""
)</f>
        <v>PER-LUBANG</v>
      </c>
      <c r="N202" cm="1">
        <f t="array" ref="N202">IF($M202="PER-M2",
  IFERROR(
     _xlfn.IFS(
        $G202="Hollow",
            INDEX('Referensi Harga'!$C:$C,
                  MATCH($F202&amp;$C202,'Referensi Harga'!$A:$A&amp;'Referensi Harga'!$B:$B,0)),
        $G202="Hollow Stainless",
            INDEX('Referensi Harga'!$D:$D,
                  MATCH($F202&amp;$C202,'Referensi Harga'!$A:$A&amp;'Referensi Harga'!$B:$B,0)),
        $G202="Pipa Stainless",
            INDEX('Referensi Harga'!$E:$E,
                  MATCH($F202&amp;$C202,'Referensi Harga'!$A:$A&amp;'Referensi Harga'!$B:$B,0))
     ),0)
  + IFERROR(VLOOKUP($H202,'Profile Size'!$A:$B,2,FALSE),0)
  + IFERROR(VLOOKUP($I202,'Ketebalan Material'!$A:$B,2,FALSE),0),
0)</f>
        <v>0</v>
      </c>
      <c r="O202">
        <f>IF($M202="PER-M",
  IFERROR(
    IF($G202="Hollow",
       INDEX('Referensi Harga'!$C:$C, MATCH($F202 &amp; "|" &amp; $C202, 'Referensi Harga'!$F:$F, 0)),
    IF($G202="Hollow Stainless",
       INDEX('Referensi Harga'!$D:$D, MATCH($F202 &amp; "|" &amp; $C202, 'Referensi Harga'!$F:$F, 0)),
       INDEX('Referensi Harga'!$E:$E, MATCH($F202 &amp; "|" &amp; $C202, 'Referensi Harga'!$F:$F, 0))
    ))
    + IFERROR(VLOOKUP($H202, 'Profile Size'!$A:$B, 2, FALSE), 0)
    + IFERROR(VLOOKUP($I202, 'Ketebalan Material'!$A:$B, 2, FALSE), 0), 0),
0)</f>
        <v>0</v>
      </c>
      <c r="P202" cm="1">
        <f t="array" ref="P202">IF($M202="PER-LUBANG",
  IFERROR(
     _xlfn.IFS(
        $G202="Hollow",
            INDEX('Referensi Harga'!$C:$C,
                  MATCH($F202&amp;$C202,'Referensi Harga'!$A:$A&amp;'Referensi Harga'!$B:$B,0)),
        $G202="Hollow Stainless",
            INDEX('Referensi Harga'!$D:$D,
                  MATCH($F202&amp;$C202,'Referensi Harga'!$A:$A&amp;'Referensi Harga'!$B:$B,0)),
        $G202="Pipa Stainless",
            INDEX('Referensi Harga'!$E:$E,
                  MATCH($F202&amp;$C202,'Referensi Harga'!$A:$A&amp;'Referensi Harga'!$B:$B,0))
     ),0)
  + IFERROR(VLOOKUP($H202,'Profile Size'!$A:$B,2,FALSE),0)
  + IFERROR(VLOOKUP($I202,'Ketebalan Material'!$A:$B,2,FALSE),0),
0)</f>
        <v>900000</v>
      </c>
      <c r="Q202">
        <f>IF($M202="PER-M2",
    IFERROR(
        SUMIFS('Upah Tenaga Ahli'!$C:$C,
               'Upah Tenaga Ahli'!$A:$A,"PER-M2",
               'Upah Tenaga Ahli'!$B:$B,$G202
        ) * $J202 * $K202,
    0),
IF($M202="PER-LUBANG",
    IFERROR(
        SUMIFS('Upah Tenaga Ahli'!$D:$D,
               'Upah Tenaga Ahli'!$A:$A,"PER-LUBANG",
               'Upah Tenaga Ahli'!$B:$B,$G202
        ) * $L202 * $K202,
    0),
IF($M202="PER-M",
    IFERROR(
        SUMIFS('Upah Tenaga Ahli'!$E:$E,
               'Upah Tenaga Ahli'!$A:$A,"PER-M",
               'Upah Tenaga Ahli'!$B:$B,$G202
        ) * $J202 * $K202,
    0),
0)))</f>
        <v>2100000</v>
      </c>
      <c r="R202" t="s">
        <v>617</v>
      </c>
      <c r="S202" t="s">
        <v>24</v>
      </c>
      <c r="T202">
        <f>IF($M202="PER-M2",
   ($N202 * $J202 * $K202)
   + IFERROR(VLOOKUP($R202,Finishing!A:B,2,FALSE),0)
   + IFERROR(VLOOKUP($S202,Kerumitan!A:B,2,FALSE),0),
IF($M202="PER-LUBANG",
   ($P202 * $L202 * $K202)
   + IFERROR(VLOOKUP($R202,Finishing!A:B,2,FALSE),0)
   + IFERROR(VLOOKUP($S202,Kerumitan!A:B,2,FALSE),0),
IF($M202="PER-M",
   ($O202 * $J202 * $K202)
   + IFERROR(VLOOKUP($R202,Finishing!A:B,2,FALSE),0)
   + IFERROR(VLOOKUP($S202,Kerumitan!A:B,2,FALSE),0),
0)))</f>
        <v>12700000</v>
      </c>
    </row>
    <row r="203" spans="1:20" x14ac:dyDescent="0.45">
      <c r="A203" t="s">
        <v>299</v>
      </c>
      <c r="B203" s="5">
        <v>44358</v>
      </c>
      <c r="C203">
        <f t="shared" si="3"/>
        <v>2021</v>
      </c>
      <c r="D203" t="s">
        <v>123</v>
      </c>
      <c r="E203" t="s">
        <v>121</v>
      </c>
      <c r="F203" t="s">
        <v>7</v>
      </c>
      <c r="G203" t="s">
        <v>15</v>
      </c>
      <c r="H203" t="s">
        <v>46</v>
      </c>
      <c r="I203">
        <v>0.8</v>
      </c>
      <c r="J203">
        <v>6.64</v>
      </c>
      <c r="K203">
        <v>1</v>
      </c>
      <c r="L203">
        <v>0</v>
      </c>
      <c r="M203" t="str" cm="1">
        <f t="array" ref="M203">_xlfn.IFS(
   OR($F203="Pagar", $F203="Pintu Gerbang", $F203="Pintu Handerson", $F203="Kanopi"), "PER-M2",
   $F203="Teralis", "PER-LUBANG",
   OR($F203="Railing", $F203="Railing/Balkon"), "PER-M",
   TRUE, ""
)</f>
        <v>PER-M2</v>
      </c>
      <c r="N203" cm="1">
        <f t="array" ref="N203">IF($M203="PER-M2",
  IFERROR(
     _xlfn.IFS(
        $G203="Hollow",
            INDEX('Referensi Harga'!$C:$C,
                  MATCH($F203&amp;$C203,'Referensi Harga'!$A:$A&amp;'Referensi Harga'!$B:$B,0)),
        $G203="Hollow Stainless",
            INDEX('Referensi Harga'!$D:$D,
                  MATCH($F203&amp;$C203,'Referensi Harga'!$A:$A&amp;'Referensi Harga'!$B:$B,0)),
        $G203="Pipa Stainless",
            INDEX('Referensi Harga'!$E:$E,
                  MATCH($F203&amp;$C203,'Referensi Harga'!$A:$A&amp;'Referensi Harga'!$B:$B,0))
     ),0)
  + IFERROR(VLOOKUP($H203,'Profile Size'!$A:$B,2,FALSE),0)
  + IFERROR(VLOOKUP($I203,'Ketebalan Material'!$A:$B,2,FALSE),0),
0)</f>
        <v>1250000</v>
      </c>
      <c r="O203">
        <f>IF($M203="PER-M",
  IFERROR(
    IF($G203="Hollow",
       INDEX('Referensi Harga'!$C:$C, MATCH($F203 &amp; "|" &amp; $C203, 'Referensi Harga'!$F:$F, 0)),
    IF($G203="Hollow Stainless",
       INDEX('Referensi Harga'!$D:$D, MATCH($F203 &amp; "|" &amp; $C203, 'Referensi Harga'!$F:$F, 0)),
       INDEX('Referensi Harga'!$E:$E, MATCH($F203 &amp; "|" &amp; $C203, 'Referensi Harga'!$F:$F, 0))
    ))
    + IFERROR(VLOOKUP($H203, 'Profile Size'!$A:$B, 2, FALSE), 0)
    + IFERROR(VLOOKUP($I203, 'Ketebalan Material'!$A:$B, 2, FALSE), 0), 0),
0)</f>
        <v>0</v>
      </c>
      <c r="P203" cm="1">
        <f t="array" ref="P203">IF($M203="PER-LUBANG",
  IFERROR(
     _xlfn.IFS(
        $G203="Hollow",
            INDEX('Referensi Harga'!$C:$C,
                  MATCH($F203&amp;$C203,'Referensi Harga'!$A:$A&amp;'Referensi Harga'!$B:$B,0)),
        $G203="Hollow Stainless",
            INDEX('Referensi Harga'!$D:$D,
                  MATCH($F203&amp;$C203,'Referensi Harga'!$A:$A&amp;'Referensi Harga'!$B:$B,0)),
        $G203="Pipa Stainless",
            INDEX('Referensi Harga'!$E:$E,
                  MATCH($F203&amp;$C203,'Referensi Harga'!$A:$A&amp;'Referensi Harga'!$B:$B,0))
     ),0)
  + IFERROR(VLOOKUP($H203,'Profile Size'!$A:$B,2,FALSE),0)
  + IFERROR(VLOOKUP($I203,'Ketebalan Material'!$A:$B,2,FALSE),0),
0)</f>
        <v>0</v>
      </c>
      <c r="Q203">
        <f>IF($M203="PER-M2",
    IFERROR(
        SUMIFS('Upah Tenaga Ahli'!$C:$C,
               'Upah Tenaga Ahli'!$A:$A,"PER-M2",
               'Upah Tenaga Ahli'!$B:$B,$G203
        ) * $J203 * $K203,
    0),
IF($M203="PER-LUBANG",
    IFERROR(
        SUMIFS('Upah Tenaga Ahli'!$D:$D,
               'Upah Tenaga Ahli'!$A:$A,"PER-LUBANG",
               'Upah Tenaga Ahli'!$B:$B,$G203
        ) * $L203 * $K203,
    0),
IF($M203="PER-M",
    IFERROR(
        SUMIFS('Upah Tenaga Ahli'!$E:$E,
               'Upah Tenaga Ahli'!$A:$A,"PER-M",
               'Upah Tenaga Ahli'!$B:$B,$G203
        ) * $J203 * $K203,
    0),
0)))</f>
        <v>996000</v>
      </c>
      <c r="R203" t="s">
        <v>617</v>
      </c>
      <c r="S203" t="s">
        <v>23</v>
      </c>
      <c r="T203">
        <f>IF($M203="PER-M2",
   ($N203 * $J203 * $K203)
   + IFERROR(VLOOKUP($R203,Finishing!A:B,2,FALSE),0)
   + IFERROR(VLOOKUP($S203,Kerumitan!A:B,2,FALSE),0),
IF($M203="PER-LUBANG",
   ($P203 * $L203 * $K203)
   + IFERROR(VLOOKUP($R203,Finishing!A:B,2,FALSE),0)
   + IFERROR(VLOOKUP($S203,Kerumitan!A:B,2,FALSE),0),
IF($M203="PER-M",
   ($O203 * $J203 * $K203)
   + IFERROR(VLOOKUP($R203,Finishing!A:B,2,FALSE),0)
   + IFERROR(VLOOKUP($S203,Kerumitan!A:B,2,FALSE),0),
0)))</f>
        <v>8300000</v>
      </c>
    </row>
    <row r="204" spans="1:20" x14ac:dyDescent="0.45">
      <c r="A204" t="s">
        <v>300</v>
      </c>
      <c r="B204" s="5">
        <v>44793</v>
      </c>
      <c r="C204">
        <f t="shared" si="3"/>
        <v>2022</v>
      </c>
      <c r="D204" t="s">
        <v>86</v>
      </c>
      <c r="E204" t="s">
        <v>87</v>
      </c>
      <c r="F204" t="s">
        <v>6</v>
      </c>
      <c r="G204" t="s">
        <v>13</v>
      </c>
      <c r="H204" t="s">
        <v>35</v>
      </c>
      <c r="I204">
        <v>0.8</v>
      </c>
      <c r="J204">
        <v>13.96</v>
      </c>
      <c r="K204">
        <v>2</v>
      </c>
      <c r="L204">
        <v>0</v>
      </c>
      <c r="M204" t="str" cm="1">
        <f t="array" ref="M204">_xlfn.IFS(
   OR($F204="Pagar", $F204="Pintu Gerbang", $F204="Pintu Handerson", $F204="Kanopi"), "PER-M2",
   $F204="Teralis", "PER-LUBANG",
   OR($F204="Railing", $F204="Railing/Balkon"), "PER-M",
   TRUE, ""
)</f>
        <v>PER-M2</v>
      </c>
      <c r="N204" cm="1">
        <f t="array" ref="N204">IF($M204="PER-M2",
  IFERROR(
     _xlfn.IFS(
        $G204="Hollow",
            INDEX('Referensi Harga'!$C:$C,
                  MATCH($F204&amp;$C204,'Referensi Harga'!$A:$A&amp;'Referensi Harga'!$B:$B,0)),
        $G204="Hollow Stainless",
            INDEX('Referensi Harga'!$D:$D,
                  MATCH($F204&amp;$C204,'Referensi Harga'!$A:$A&amp;'Referensi Harga'!$B:$B,0)),
        $G204="Pipa Stainless",
            INDEX('Referensi Harga'!$E:$E,
                  MATCH($F204&amp;$C204,'Referensi Harga'!$A:$A&amp;'Referensi Harga'!$B:$B,0))
     ),0)
  + IFERROR(VLOOKUP($H204,'Profile Size'!$A:$B,2,FALSE),0)
  + IFERROR(VLOOKUP($I204,'Ketebalan Material'!$A:$B,2,FALSE),0),
0)</f>
        <v>450000</v>
      </c>
      <c r="O204">
        <f>IF($M204="PER-M",
  IFERROR(
    IF($G204="Hollow",
       INDEX('Referensi Harga'!$C:$C, MATCH($F204 &amp; "|" &amp; $C204, 'Referensi Harga'!$F:$F, 0)),
    IF($G204="Hollow Stainless",
       INDEX('Referensi Harga'!$D:$D, MATCH($F204 &amp; "|" &amp; $C204, 'Referensi Harga'!$F:$F, 0)),
       INDEX('Referensi Harga'!$E:$E, MATCH($F204 &amp; "|" &amp; $C204, 'Referensi Harga'!$F:$F, 0))
    ))
    + IFERROR(VLOOKUP($H204, 'Profile Size'!$A:$B, 2, FALSE), 0)
    + IFERROR(VLOOKUP($I204, 'Ketebalan Material'!$A:$B, 2, FALSE), 0), 0),
0)</f>
        <v>0</v>
      </c>
      <c r="P204" cm="1">
        <f t="array" ref="P204">IF($M204="PER-LUBANG",
  IFERROR(
     _xlfn.IFS(
        $G204="Hollow",
            INDEX('Referensi Harga'!$C:$C,
                  MATCH($F204&amp;$C204,'Referensi Harga'!$A:$A&amp;'Referensi Harga'!$B:$B,0)),
        $G204="Hollow Stainless",
            INDEX('Referensi Harga'!$D:$D,
                  MATCH($F204&amp;$C204,'Referensi Harga'!$A:$A&amp;'Referensi Harga'!$B:$B,0)),
        $G204="Pipa Stainless",
            INDEX('Referensi Harga'!$E:$E,
                  MATCH($F204&amp;$C204,'Referensi Harga'!$A:$A&amp;'Referensi Harga'!$B:$B,0))
     ),0)
  + IFERROR(VLOOKUP($H204,'Profile Size'!$A:$B,2,FALSE),0)
  + IFERROR(VLOOKUP($I204,'Ketebalan Material'!$A:$B,2,FALSE),0),
0)</f>
        <v>0</v>
      </c>
      <c r="Q204">
        <f>IF($M204="PER-M2",
    IFERROR(
        SUMIFS('Upah Tenaga Ahli'!$C:$C,
               'Upah Tenaga Ahli'!$A:$A,"PER-M2",
               'Upah Tenaga Ahli'!$B:$B,$G204
        ) * $J204 * $K204,
    0),
IF($M204="PER-LUBANG",
    IFERROR(
        SUMIFS('Upah Tenaga Ahli'!$D:$D,
               'Upah Tenaga Ahli'!$A:$A,"PER-LUBANG",
               'Upah Tenaga Ahli'!$B:$B,$G204
        ) * $L204 * $K204,
    0),
IF($M204="PER-M",
    IFERROR(
        SUMIFS('Upah Tenaga Ahli'!$E:$E,
               'Upah Tenaga Ahli'!$A:$A,"PER-M",
               'Upah Tenaga Ahli'!$B:$B,$G204
        ) * $J204 * $K204,
    0),
0)))</f>
        <v>2792000</v>
      </c>
      <c r="R204" t="s">
        <v>18</v>
      </c>
      <c r="S204" t="s">
        <v>24</v>
      </c>
      <c r="T204">
        <f>IF($M204="PER-M2",
   ($N204 * $J204 * $K204)
   + IFERROR(VLOOKUP($R204,Finishing!A:B,2,FALSE),0)
   + IFERROR(VLOOKUP($S204,Kerumitan!A:B,2,FALSE),0),
IF($M204="PER-LUBANG",
   ($P204 * $L204 * $K204)
   + IFERROR(VLOOKUP($R204,Finishing!A:B,2,FALSE),0)
   + IFERROR(VLOOKUP($S204,Kerumitan!A:B,2,FALSE),0),
IF($M204="PER-M",
   ($O204 * $J204 * $K204)
   + IFERROR(VLOOKUP($R204,Finishing!A:B,2,FALSE),0)
   + IFERROR(VLOOKUP($S204,Kerumitan!A:B,2,FALSE),0),
0)))</f>
        <v>12664000</v>
      </c>
    </row>
    <row r="205" spans="1:20" x14ac:dyDescent="0.45">
      <c r="A205" t="s">
        <v>301</v>
      </c>
      <c r="B205" s="5">
        <v>44577</v>
      </c>
      <c r="C205">
        <f t="shared" si="3"/>
        <v>2022</v>
      </c>
      <c r="D205" t="s">
        <v>139</v>
      </c>
      <c r="E205" t="s">
        <v>32</v>
      </c>
      <c r="F205" t="s">
        <v>8</v>
      </c>
      <c r="G205" t="s">
        <v>15</v>
      </c>
      <c r="H205" t="s">
        <v>612</v>
      </c>
      <c r="I205">
        <v>0.8</v>
      </c>
      <c r="J205">
        <v>0</v>
      </c>
      <c r="K205">
        <v>1</v>
      </c>
      <c r="L205">
        <v>4</v>
      </c>
      <c r="M205" t="str" cm="1">
        <f t="array" ref="M205">_xlfn.IFS(
   OR($F205="Pagar", $F205="Pintu Gerbang", $F205="Pintu Handerson", $F205="Kanopi"), "PER-M2",
   $F205="Teralis", "PER-LUBANG",
   OR($F205="Railing", $F205="Railing/Balkon"), "PER-M",
   TRUE, ""
)</f>
        <v>PER-LUBANG</v>
      </c>
      <c r="N205" cm="1">
        <f t="array" ref="N205">IF($M205="PER-M2",
  IFERROR(
     _xlfn.IFS(
        $G205="Hollow",
            INDEX('Referensi Harga'!$C:$C,
                  MATCH($F205&amp;$C205,'Referensi Harga'!$A:$A&amp;'Referensi Harga'!$B:$B,0)),
        $G205="Hollow Stainless",
            INDEX('Referensi Harga'!$D:$D,
                  MATCH($F205&amp;$C205,'Referensi Harga'!$A:$A&amp;'Referensi Harga'!$B:$B,0)),
        $G205="Pipa Stainless",
            INDEX('Referensi Harga'!$E:$E,
                  MATCH($F205&amp;$C205,'Referensi Harga'!$A:$A&amp;'Referensi Harga'!$B:$B,0))
     ),0)
  + IFERROR(VLOOKUP($H205,'Profile Size'!$A:$B,2,FALSE),0)
  + IFERROR(VLOOKUP($I205,'Ketebalan Material'!$A:$B,2,FALSE),0),
0)</f>
        <v>0</v>
      </c>
      <c r="O205">
        <f>IF($M205="PER-M",
  IFERROR(
    IF($G205="Hollow",
       INDEX('Referensi Harga'!$C:$C, MATCH($F205 &amp; "|" &amp; $C205, 'Referensi Harga'!$F:$F, 0)),
    IF($G205="Hollow Stainless",
       INDEX('Referensi Harga'!$D:$D, MATCH($F205 &amp; "|" &amp; $C205, 'Referensi Harga'!$F:$F, 0)),
       INDEX('Referensi Harga'!$E:$E, MATCH($F205 &amp; "|" &amp; $C205, 'Referensi Harga'!$F:$F, 0))
    ))
    + IFERROR(VLOOKUP($H205, 'Profile Size'!$A:$B, 2, FALSE), 0)
    + IFERROR(VLOOKUP($I205, 'Ketebalan Material'!$A:$B, 2, FALSE), 0), 0),
0)</f>
        <v>0</v>
      </c>
      <c r="P205" cm="1">
        <f t="array" ref="P205">IF($M205="PER-LUBANG",
  IFERROR(
     _xlfn.IFS(
        $G205="Hollow",
            INDEX('Referensi Harga'!$C:$C,
                  MATCH($F205&amp;$C205,'Referensi Harga'!$A:$A&amp;'Referensi Harga'!$B:$B,0)),
        $G205="Hollow Stainless",
            INDEX('Referensi Harga'!$D:$D,
                  MATCH($F205&amp;$C205,'Referensi Harga'!$A:$A&amp;'Referensi Harga'!$B:$B,0)),
        $G205="Pipa Stainless",
            INDEX('Referensi Harga'!$E:$E,
                  MATCH($F205&amp;$C205,'Referensi Harga'!$A:$A&amp;'Referensi Harga'!$B:$B,0))
     ),0)
  + IFERROR(VLOOKUP($H205,'Profile Size'!$A:$B,2,FALSE),0)
  + IFERROR(VLOOKUP($I205,'Ketebalan Material'!$A:$B,2,FALSE),0),
0)</f>
        <v>780000</v>
      </c>
      <c r="Q205">
        <f>IF($M205="PER-M2",
    IFERROR(
        SUMIFS('Upah Tenaga Ahli'!$C:$C,
               'Upah Tenaga Ahli'!$A:$A,"PER-M2",
               'Upah Tenaga Ahli'!$B:$B,$G205
        ) * $J205 * $K205,
    0),
IF($M205="PER-LUBANG",
    IFERROR(
        SUMIFS('Upah Tenaga Ahli'!$D:$D,
               'Upah Tenaga Ahli'!$A:$A,"PER-LUBANG",
               'Upah Tenaga Ahli'!$B:$B,$G205
        ) * $L205 * $K205,
    0),
IF($M205="PER-M",
    IFERROR(
        SUMIFS('Upah Tenaga Ahli'!$E:$E,
               'Upah Tenaga Ahli'!$A:$A,"PER-M",
               'Upah Tenaga Ahli'!$B:$B,$G205
        ) * $J205 * $K205,
    0),
0)))</f>
        <v>600000</v>
      </c>
      <c r="R205" t="s">
        <v>617</v>
      </c>
      <c r="S205" t="s">
        <v>23</v>
      </c>
      <c r="T205">
        <f>IF($M205="PER-M2",
   ($N205 * $J205 * $K205)
   + IFERROR(VLOOKUP($R205,Finishing!A:B,2,FALSE),0)
   + IFERROR(VLOOKUP($S205,Kerumitan!A:B,2,FALSE),0),
IF($M205="PER-LUBANG",
   ($P205 * $L205 * $K205)
   + IFERROR(VLOOKUP($R205,Finishing!A:B,2,FALSE),0)
   + IFERROR(VLOOKUP($S205,Kerumitan!A:B,2,FALSE),0),
IF($M205="PER-M",
   ($O205 * $J205 * $K205)
   + IFERROR(VLOOKUP($R205,Finishing!A:B,2,FALSE),0)
   + IFERROR(VLOOKUP($S205,Kerumitan!A:B,2,FALSE),0),
0)))</f>
        <v>3120000</v>
      </c>
    </row>
    <row r="206" spans="1:20" x14ac:dyDescent="0.45">
      <c r="A206" t="s">
        <v>302</v>
      </c>
      <c r="B206" s="5">
        <v>44366</v>
      </c>
      <c r="C206">
        <f t="shared" si="3"/>
        <v>2021</v>
      </c>
      <c r="D206" t="s">
        <v>139</v>
      </c>
      <c r="E206" t="s">
        <v>28</v>
      </c>
      <c r="F206" t="s">
        <v>4</v>
      </c>
      <c r="G206" t="s">
        <v>14</v>
      </c>
      <c r="H206" t="s">
        <v>615</v>
      </c>
      <c r="I206">
        <v>0.8</v>
      </c>
      <c r="J206">
        <v>11.15</v>
      </c>
      <c r="K206">
        <v>1</v>
      </c>
      <c r="L206">
        <v>0</v>
      </c>
      <c r="M206" t="str" cm="1">
        <f t="array" ref="M206">_xlfn.IFS(
   OR($F206="Pagar", $F206="Pintu Gerbang", $F206="Pintu Handerson", $F206="Kanopi"), "PER-M2",
   $F206="Teralis", "PER-LUBANG",
   OR($F206="Railing", $F206="Railing/Balkon"), "PER-M",
   TRUE, ""
)</f>
        <v>PER-M2</v>
      </c>
      <c r="N206" cm="1">
        <f t="array" ref="N206">IF($M206="PER-M2",
  IFERROR(
     _xlfn.IFS(
        $G206="Hollow",
            INDEX('Referensi Harga'!$C:$C,
                  MATCH($F206&amp;$C206,'Referensi Harga'!$A:$A&amp;'Referensi Harga'!$B:$B,0)),
        $G206="Hollow Stainless",
            INDEX('Referensi Harga'!$D:$D,
                  MATCH($F206&amp;$C206,'Referensi Harga'!$A:$A&amp;'Referensi Harga'!$B:$B,0)),
        $G206="Pipa Stainless",
            INDEX('Referensi Harga'!$E:$E,
                  MATCH($F206&amp;$C206,'Referensi Harga'!$A:$A&amp;'Referensi Harga'!$B:$B,0))
     ),0)
  + IFERROR(VLOOKUP($H206,'Profile Size'!$A:$B,2,FALSE),0)
  + IFERROR(VLOOKUP($I206,'Ketebalan Material'!$A:$B,2,FALSE),0),
0)</f>
        <v>1000000</v>
      </c>
      <c r="O206">
        <f>IF($M206="PER-M",
  IFERROR(
    IF($G206="Hollow",
       INDEX('Referensi Harga'!$C:$C, MATCH($F206 &amp; "|" &amp; $C206, 'Referensi Harga'!$F:$F, 0)),
    IF($G206="Hollow Stainless",
       INDEX('Referensi Harga'!$D:$D, MATCH($F206 &amp; "|" &amp; $C206, 'Referensi Harga'!$F:$F, 0)),
       INDEX('Referensi Harga'!$E:$E, MATCH($F206 &amp; "|" &amp; $C206, 'Referensi Harga'!$F:$F, 0))
    ))
    + IFERROR(VLOOKUP($H206, 'Profile Size'!$A:$B, 2, FALSE), 0)
    + IFERROR(VLOOKUP($I206, 'Ketebalan Material'!$A:$B, 2, FALSE), 0), 0),
0)</f>
        <v>0</v>
      </c>
      <c r="P206" cm="1">
        <f t="array" ref="P206">IF($M206="PER-LUBANG",
  IFERROR(
     _xlfn.IFS(
        $G206="Hollow",
            INDEX('Referensi Harga'!$C:$C,
                  MATCH($F206&amp;$C206,'Referensi Harga'!$A:$A&amp;'Referensi Harga'!$B:$B,0)),
        $G206="Hollow Stainless",
            INDEX('Referensi Harga'!$D:$D,
                  MATCH($F206&amp;$C206,'Referensi Harga'!$A:$A&amp;'Referensi Harga'!$B:$B,0)),
        $G206="Pipa Stainless",
            INDEX('Referensi Harga'!$E:$E,
                  MATCH($F206&amp;$C206,'Referensi Harga'!$A:$A&amp;'Referensi Harga'!$B:$B,0))
     ),0)
  + IFERROR(VLOOKUP($H206,'Profile Size'!$A:$B,2,FALSE),0)
  + IFERROR(VLOOKUP($I206,'Ketebalan Material'!$A:$B,2,FALSE),0),
0)</f>
        <v>0</v>
      </c>
      <c r="Q206">
        <f>IF($M206="PER-M2",
    IFERROR(
        SUMIFS('Upah Tenaga Ahli'!$C:$C,
               'Upah Tenaga Ahli'!$A:$A,"PER-M2",
               'Upah Tenaga Ahli'!$B:$B,$G206
        ) * $J206 * $K206,
    0),
IF($M206="PER-LUBANG",
    IFERROR(
        SUMIFS('Upah Tenaga Ahli'!$D:$D,
               'Upah Tenaga Ahli'!$A:$A,"PER-LUBANG",
               'Upah Tenaga Ahli'!$B:$B,$G206
        ) * $L206 * $K206,
    0),
IF($M206="PER-M",
    IFERROR(
        SUMIFS('Upah Tenaga Ahli'!$E:$E,
               'Upah Tenaga Ahli'!$A:$A,"PER-M",
               'Upah Tenaga Ahli'!$B:$B,$G206
        ) * $J206 * $K206,
    0),
0)))</f>
        <v>2230000</v>
      </c>
      <c r="R206" t="s">
        <v>617</v>
      </c>
      <c r="S206" t="s">
        <v>23</v>
      </c>
      <c r="T206">
        <f>IF($M206="PER-M2",
   ($N206 * $J206 * $K206)
   + IFERROR(VLOOKUP($R206,Finishing!A:B,2,FALSE),0)
   + IFERROR(VLOOKUP($S206,Kerumitan!A:B,2,FALSE),0),
IF($M206="PER-LUBANG",
   ($P206 * $L206 * $K206)
   + IFERROR(VLOOKUP($R206,Finishing!A:B,2,FALSE),0)
   + IFERROR(VLOOKUP($S206,Kerumitan!A:B,2,FALSE),0),
IF($M206="PER-M",
   ($O206 * $J206 * $K206)
   + IFERROR(VLOOKUP($R206,Finishing!A:B,2,FALSE),0)
   + IFERROR(VLOOKUP($S206,Kerumitan!A:B,2,FALSE),0),
0)))</f>
        <v>11150000</v>
      </c>
    </row>
    <row r="207" spans="1:20" x14ac:dyDescent="0.45">
      <c r="A207" t="s">
        <v>303</v>
      </c>
      <c r="B207" s="5">
        <v>45248</v>
      </c>
      <c r="C207">
        <f t="shared" si="3"/>
        <v>2023</v>
      </c>
      <c r="D207" t="s">
        <v>53</v>
      </c>
      <c r="E207" t="s">
        <v>38</v>
      </c>
      <c r="F207" t="s">
        <v>8</v>
      </c>
      <c r="G207" t="s">
        <v>13</v>
      </c>
      <c r="H207" t="s">
        <v>612</v>
      </c>
      <c r="I207">
        <v>1.2</v>
      </c>
      <c r="J207">
        <v>0</v>
      </c>
      <c r="K207">
        <v>1</v>
      </c>
      <c r="L207">
        <v>22</v>
      </c>
      <c r="M207" t="str" cm="1">
        <f t="array" ref="M207">_xlfn.IFS(
   OR($F207="Pagar", $F207="Pintu Gerbang", $F207="Pintu Handerson", $F207="Kanopi"), "PER-M2",
   $F207="Teralis", "PER-LUBANG",
   OR($F207="Railing", $F207="Railing/Balkon"), "PER-M",
   TRUE, ""
)</f>
        <v>PER-LUBANG</v>
      </c>
      <c r="N207" cm="1">
        <f t="array" ref="N207">IF($M207="PER-M2",
  IFERROR(
     _xlfn.IFS(
        $G207="Hollow",
            INDEX('Referensi Harga'!$C:$C,
                  MATCH($F207&amp;$C207,'Referensi Harga'!$A:$A&amp;'Referensi Harga'!$B:$B,0)),
        $G207="Hollow Stainless",
            INDEX('Referensi Harga'!$D:$D,
                  MATCH($F207&amp;$C207,'Referensi Harga'!$A:$A&amp;'Referensi Harga'!$B:$B,0)),
        $G207="Pipa Stainless",
            INDEX('Referensi Harga'!$E:$E,
                  MATCH($F207&amp;$C207,'Referensi Harga'!$A:$A&amp;'Referensi Harga'!$B:$B,0))
     ),0)
  + IFERROR(VLOOKUP($H207,'Profile Size'!$A:$B,2,FALSE),0)
  + IFERROR(VLOOKUP($I207,'Ketebalan Material'!$A:$B,2,FALSE),0),
0)</f>
        <v>0</v>
      </c>
      <c r="O207">
        <f>IF($M207="PER-M",
  IFERROR(
    IF($G207="Hollow",
       INDEX('Referensi Harga'!$C:$C, MATCH($F207 &amp; "|" &amp; $C207, 'Referensi Harga'!$F:$F, 0)),
    IF($G207="Hollow Stainless",
       INDEX('Referensi Harga'!$D:$D, MATCH($F207 &amp; "|" &amp; $C207, 'Referensi Harga'!$F:$F, 0)),
       INDEX('Referensi Harga'!$E:$E, MATCH($F207 &amp; "|" &amp; $C207, 'Referensi Harga'!$F:$F, 0))
    ))
    + IFERROR(VLOOKUP($H207, 'Profile Size'!$A:$B, 2, FALSE), 0)
    + IFERROR(VLOOKUP($I207, 'Ketebalan Material'!$A:$B, 2, FALSE), 0), 0),
0)</f>
        <v>0</v>
      </c>
      <c r="P207" cm="1">
        <f t="array" ref="P207">IF($M207="PER-LUBANG",
  IFERROR(
     _xlfn.IFS(
        $G207="Hollow",
            INDEX('Referensi Harga'!$C:$C,
                  MATCH($F207&amp;$C207,'Referensi Harga'!$A:$A&amp;'Referensi Harga'!$B:$B,0)),
        $G207="Hollow Stainless",
            INDEX('Referensi Harga'!$D:$D,
                  MATCH($F207&amp;$C207,'Referensi Harga'!$A:$A&amp;'Referensi Harga'!$B:$B,0)),
        $G207="Pipa Stainless",
            INDEX('Referensi Harga'!$E:$E,
                  MATCH($F207&amp;$C207,'Referensi Harga'!$A:$A&amp;'Referensi Harga'!$B:$B,0))
     ),0)
  + IFERROR(VLOOKUP($H207,'Profile Size'!$A:$B,2,FALSE),0)
  + IFERROR(VLOOKUP($I207,'Ketebalan Material'!$A:$B,2,FALSE),0),
0)</f>
        <v>450000</v>
      </c>
      <c r="Q207">
        <f>IF($M207="PER-M2",
    IFERROR(
        SUMIFS('Upah Tenaga Ahli'!$C:$C,
               'Upah Tenaga Ahli'!$A:$A,"PER-M2",
               'Upah Tenaga Ahli'!$B:$B,$G207
        ) * $J207 * $K207,
    0),
IF($M207="PER-LUBANG",
    IFERROR(
        SUMIFS('Upah Tenaga Ahli'!$D:$D,
               'Upah Tenaga Ahli'!$A:$A,"PER-LUBANG",
               'Upah Tenaga Ahli'!$B:$B,$G207
        ) * $L207 * $K207,
    0),
IF($M207="PER-M",
    IFERROR(
        SUMIFS('Upah Tenaga Ahli'!$E:$E,
               'Upah Tenaga Ahli'!$A:$A,"PER-M",
               'Upah Tenaga Ahli'!$B:$B,$G207
        ) * $J207 * $K207,
    0),
0)))</f>
        <v>1650000</v>
      </c>
      <c r="R207" t="s">
        <v>20</v>
      </c>
      <c r="S207" t="s">
        <v>25</v>
      </c>
      <c r="T207">
        <f>IF($M207="PER-M2",
   ($N207 * $J207 * $K207)
   + IFERROR(VLOOKUP($R207,Finishing!A:B,2,FALSE),0)
   + IFERROR(VLOOKUP($S207,Kerumitan!A:B,2,FALSE),0),
IF($M207="PER-LUBANG",
   ($P207 * $L207 * $K207)
   + IFERROR(VLOOKUP($R207,Finishing!A:B,2,FALSE),0)
   + IFERROR(VLOOKUP($S207,Kerumitan!A:B,2,FALSE),0),
IF($M207="PER-M",
   ($O207 * $J207 * $K207)
   + IFERROR(VLOOKUP($R207,Finishing!A:B,2,FALSE),0)
   + IFERROR(VLOOKUP($S207,Kerumitan!A:B,2,FALSE),0),
0)))</f>
        <v>10200000</v>
      </c>
    </row>
    <row r="208" spans="1:20" x14ac:dyDescent="0.45">
      <c r="A208" t="s">
        <v>304</v>
      </c>
      <c r="B208" s="5">
        <v>44514</v>
      </c>
      <c r="C208">
        <f t="shared" si="3"/>
        <v>2021</v>
      </c>
      <c r="D208" t="s">
        <v>251</v>
      </c>
      <c r="E208" t="s">
        <v>121</v>
      </c>
      <c r="F208" t="s">
        <v>10</v>
      </c>
      <c r="G208" t="s">
        <v>15</v>
      </c>
      <c r="H208" t="s">
        <v>46</v>
      </c>
      <c r="I208">
        <v>1</v>
      </c>
      <c r="J208">
        <v>4.6100000000000003</v>
      </c>
      <c r="K208">
        <v>2</v>
      </c>
      <c r="L208">
        <v>0</v>
      </c>
      <c r="M208" t="str" cm="1">
        <f t="array" ref="M208">_xlfn.IFS(
   OR($F208="Pagar", $F208="Pintu Gerbang", $F208="Pintu Handerson", $F208="Kanopi"), "PER-M2",
   $F208="Teralis", "PER-LUBANG",
   OR($F208="Railing", $F208="Railing/Balkon"), "PER-M",
   TRUE, ""
)</f>
        <v>PER-M2</v>
      </c>
      <c r="N208" cm="1">
        <f t="array" ref="N208">IF($M208="PER-M2",
  IFERROR(
     _xlfn.IFS(
        $G208="Hollow",
            INDEX('Referensi Harga'!$C:$C,
                  MATCH($F208&amp;$C208,'Referensi Harga'!$A:$A&amp;'Referensi Harga'!$B:$B,0)),
        $G208="Hollow Stainless",
            INDEX('Referensi Harga'!$D:$D,
                  MATCH($F208&amp;$C208,'Referensi Harga'!$A:$A&amp;'Referensi Harga'!$B:$B,0)),
        $G208="Pipa Stainless",
            INDEX('Referensi Harga'!$E:$E,
                  MATCH($F208&amp;$C208,'Referensi Harga'!$A:$A&amp;'Referensi Harga'!$B:$B,0))
     ),0)
  + IFERROR(VLOOKUP($H208,'Profile Size'!$A:$B,2,FALSE),0)
  + IFERROR(VLOOKUP($I208,'Ketebalan Material'!$A:$B,2,FALSE),0),
0)</f>
        <v>1520000</v>
      </c>
      <c r="O208">
        <f>IF($M208="PER-M",
  IFERROR(
    IF($G208="Hollow",
       INDEX('Referensi Harga'!$C:$C, MATCH($F208 &amp; "|" &amp; $C208, 'Referensi Harga'!$F:$F, 0)),
    IF($G208="Hollow Stainless",
       INDEX('Referensi Harga'!$D:$D, MATCH($F208 &amp; "|" &amp; $C208, 'Referensi Harga'!$F:$F, 0)),
       INDEX('Referensi Harga'!$E:$E, MATCH($F208 &amp; "|" &amp; $C208, 'Referensi Harga'!$F:$F, 0))
    ))
    + IFERROR(VLOOKUP($H208, 'Profile Size'!$A:$B, 2, FALSE), 0)
    + IFERROR(VLOOKUP($I208, 'Ketebalan Material'!$A:$B, 2, FALSE), 0), 0),
0)</f>
        <v>0</v>
      </c>
      <c r="P208" cm="1">
        <f t="array" ref="P208">IF($M208="PER-LUBANG",
  IFERROR(
     _xlfn.IFS(
        $G208="Hollow",
            INDEX('Referensi Harga'!$C:$C,
                  MATCH($F208&amp;$C208,'Referensi Harga'!$A:$A&amp;'Referensi Harga'!$B:$B,0)),
        $G208="Hollow Stainless",
            INDEX('Referensi Harga'!$D:$D,
                  MATCH($F208&amp;$C208,'Referensi Harga'!$A:$A&amp;'Referensi Harga'!$B:$B,0)),
        $G208="Pipa Stainless",
            INDEX('Referensi Harga'!$E:$E,
                  MATCH($F208&amp;$C208,'Referensi Harga'!$A:$A&amp;'Referensi Harga'!$B:$B,0))
     ),0)
  + IFERROR(VLOOKUP($H208,'Profile Size'!$A:$B,2,FALSE),0)
  + IFERROR(VLOOKUP($I208,'Ketebalan Material'!$A:$B,2,FALSE),0),
0)</f>
        <v>0</v>
      </c>
      <c r="Q208">
        <f>IF($M208="PER-M2",
    IFERROR(
        SUMIFS('Upah Tenaga Ahli'!$C:$C,
               'Upah Tenaga Ahli'!$A:$A,"PER-M2",
               'Upah Tenaga Ahli'!$B:$B,$G208
        ) * $J208 * $K208,
    0),
IF($M208="PER-LUBANG",
    IFERROR(
        SUMIFS('Upah Tenaga Ahli'!$D:$D,
               'Upah Tenaga Ahli'!$A:$A,"PER-LUBANG",
               'Upah Tenaga Ahli'!$B:$B,$G208
        ) * $L208 * $K208,
    0),
IF($M208="PER-M",
    IFERROR(
        SUMIFS('Upah Tenaga Ahli'!$E:$E,
               'Upah Tenaga Ahli'!$A:$A,"PER-M",
               'Upah Tenaga Ahli'!$B:$B,$G208
        ) * $J208 * $K208,
    0),
0)))</f>
        <v>1383000</v>
      </c>
      <c r="R208" t="s">
        <v>617</v>
      </c>
      <c r="S208" t="s">
        <v>23</v>
      </c>
      <c r="T208">
        <f>IF($M208="PER-M2",
   ($N208 * $J208 * $K208)
   + IFERROR(VLOOKUP($R208,Finishing!A:B,2,FALSE),0)
   + IFERROR(VLOOKUP($S208,Kerumitan!A:B,2,FALSE),0),
IF($M208="PER-LUBANG",
   ($P208 * $L208 * $K208)
   + IFERROR(VLOOKUP($R208,Finishing!A:B,2,FALSE),0)
   + IFERROR(VLOOKUP($S208,Kerumitan!A:B,2,FALSE),0),
IF($M208="PER-M",
   ($O208 * $J208 * $K208)
   + IFERROR(VLOOKUP($R208,Finishing!A:B,2,FALSE),0)
   + IFERROR(VLOOKUP($S208,Kerumitan!A:B,2,FALSE),0),
0)))</f>
        <v>14014400.000000002</v>
      </c>
    </row>
    <row r="209" spans="1:20" x14ac:dyDescent="0.45">
      <c r="A209" t="s">
        <v>305</v>
      </c>
      <c r="B209" s="5">
        <v>43914</v>
      </c>
      <c r="C209">
        <f t="shared" si="3"/>
        <v>2020</v>
      </c>
      <c r="D209" t="s">
        <v>65</v>
      </c>
      <c r="E209" t="s">
        <v>54</v>
      </c>
      <c r="F209" t="s">
        <v>8</v>
      </c>
      <c r="G209" t="s">
        <v>15</v>
      </c>
      <c r="H209" t="s">
        <v>612</v>
      </c>
      <c r="I209">
        <v>1.2</v>
      </c>
      <c r="J209">
        <v>0</v>
      </c>
      <c r="K209">
        <v>1</v>
      </c>
      <c r="L209">
        <v>4</v>
      </c>
      <c r="M209" t="str" cm="1">
        <f t="array" ref="M209">_xlfn.IFS(
   OR($F209="Pagar", $F209="Pintu Gerbang", $F209="Pintu Handerson", $F209="Kanopi"), "PER-M2",
   $F209="Teralis", "PER-LUBANG",
   OR($F209="Railing", $F209="Railing/Balkon"), "PER-M",
   TRUE, ""
)</f>
        <v>PER-LUBANG</v>
      </c>
      <c r="N209" cm="1">
        <f t="array" ref="N209">IF($M209="PER-M2",
  IFERROR(
     _xlfn.IFS(
        $G209="Hollow",
            INDEX('Referensi Harga'!$C:$C,
                  MATCH($F209&amp;$C209,'Referensi Harga'!$A:$A&amp;'Referensi Harga'!$B:$B,0)),
        $G209="Hollow Stainless",
            INDEX('Referensi Harga'!$D:$D,
                  MATCH($F209&amp;$C209,'Referensi Harga'!$A:$A&amp;'Referensi Harga'!$B:$B,0)),
        $G209="Pipa Stainless",
            INDEX('Referensi Harga'!$E:$E,
                  MATCH($F209&amp;$C209,'Referensi Harga'!$A:$A&amp;'Referensi Harga'!$B:$B,0))
     ),0)
  + IFERROR(VLOOKUP($H209,'Profile Size'!$A:$B,2,FALSE),0)
  + IFERROR(VLOOKUP($I209,'Ketebalan Material'!$A:$B,2,FALSE),0),
0)</f>
        <v>0</v>
      </c>
      <c r="O209">
        <f>IF($M209="PER-M",
  IFERROR(
    IF($G209="Hollow",
       INDEX('Referensi Harga'!$C:$C, MATCH($F209 &amp; "|" &amp; $C209, 'Referensi Harga'!$F:$F, 0)),
    IF($G209="Hollow Stainless",
       INDEX('Referensi Harga'!$D:$D, MATCH($F209 &amp; "|" &amp; $C209, 'Referensi Harga'!$F:$F, 0)),
       INDEX('Referensi Harga'!$E:$E, MATCH($F209 &amp; "|" &amp; $C209, 'Referensi Harga'!$F:$F, 0))
    ))
    + IFERROR(VLOOKUP($H209, 'Profile Size'!$A:$B, 2, FALSE), 0)
    + IFERROR(VLOOKUP($I209, 'Ketebalan Material'!$A:$B, 2, FALSE), 0), 0),
0)</f>
        <v>0</v>
      </c>
      <c r="P209" cm="1">
        <f t="array" ref="P209">IF($M209="PER-LUBANG",
  IFERROR(
     _xlfn.IFS(
        $G209="Hollow",
            INDEX('Referensi Harga'!$C:$C,
                  MATCH($F209&amp;$C209,'Referensi Harga'!$A:$A&amp;'Referensi Harga'!$B:$B,0)),
        $G209="Hollow Stainless",
            INDEX('Referensi Harga'!$D:$D,
                  MATCH($F209&amp;$C209,'Referensi Harga'!$A:$A&amp;'Referensi Harga'!$B:$B,0)),
        $G209="Pipa Stainless",
            INDEX('Referensi Harga'!$E:$E,
                  MATCH($F209&amp;$C209,'Referensi Harga'!$A:$A&amp;'Referensi Harga'!$B:$B,0))
     ),0)
  + IFERROR(VLOOKUP($H209,'Profile Size'!$A:$B,2,FALSE),0)
  + IFERROR(VLOOKUP($I209,'Ketebalan Material'!$A:$B,2,FALSE),0),
0)</f>
        <v>800000</v>
      </c>
      <c r="Q209">
        <f>IF($M209="PER-M2",
    IFERROR(
        SUMIFS('Upah Tenaga Ahli'!$C:$C,
               'Upah Tenaga Ahli'!$A:$A,"PER-M2",
               'Upah Tenaga Ahli'!$B:$B,$G209
        ) * $J209 * $K209,
    0),
IF($M209="PER-LUBANG",
    IFERROR(
        SUMIFS('Upah Tenaga Ahli'!$D:$D,
               'Upah Tenaga Ahli'!$A:$A,"PER-LUBANG",
               'Upah Tenaga Ahli'!$B:$B,$G209
        ) * $L209 * $K209,
    0),
IF($M209="PER-M",
    IFERROR(
        SUMIFS('Upah Tenaga Ahli'!$E:$E,
               'Upah Tenaga Ahli'!$A:$A,"PER-M",
               'Upah Tenaga Ahli'!$B:$B,$G209
        ) * $J209 * $K209,
    0),
0)))</f>
        <v>600000</v>
      </c>
      <c r="R209" t="s">
        <v>617</v>
      </c>
      <c r="S209" t="s">
        <v>23</v>
      </c>
      <c r="T209">
        <f>IF($M209="PER-M2",
   ($N209 * $J209 * $K209)
   + IFERROR(VLOOKUP($R209,Finishing!A:B,2,FALSE),0)
   + IFERROR(VLOOKUP($S209,Kerumitan!A:B,2,FALSE),0),
IF($M209="PER-LUBANG",
   ($P209 * $L209 * $K209)
   + IFERROR(VLOOKUP($R209,Finishing!A:B,2,FALSE),0)
   + IFERROR(VLOOKUP($S209,Kerumitan!A:B,2,FALSE),0),
IF($M209="PER-M",
   ($O209 * $J209 * $K209)
   + IFERROR(VLOOKUP($R209,Finishing!A:B,2,FALSE),0)
   + IFERROR(VLOOKUP($S209,Kerumitan!A:B,2,FALSE),0),
0)))</f>
        <v>3200000</v>
      </c>
    </row>
    <row r="210" spans="1:20" x14ac:dyDescent="0.45">
      <c r="A210" t="s">
        <v>306</v>
      </c>
      <c r="B210" s="5">
        <v>44110</v>
      </c>
      <c r="C210">
        <f t="shared" si="3"/>
        <v>2020</v>
      </c>
      <c r="D210" t="s">
        <v>179</v>
      </c>
      <c r="E210" t="s">
        <v>75</v>
      </c>
      <c r="F210" t="s">
        <v>4</v>
      </c>
      <c r="G210" t="s">
        <v>14</v>
      </c>
      <c r="H210" t="s">
        <v>615</v>
      </c>
      <c r="I210">
        <v>0.8</v>
      </c>
      <c r="J210">
        <v>18.07</v>
      </c>
      <c r="K210">
        <v>1</v>
      </c>
      <c r="L210">
        <v>0</v>
      </c>
      <c r="M210" t="str" cm="1">
        <f t="array" ref="M210">_xlfn.IFS(
   OR($F210="Pagar", $F210="Pintu Gerbang", $F210="Pintu Handerson", $F210="Kanopi"), "PER-M2",
   $F210="Teralis", "PER-LUBANG",
   OR($F210="Railing", $F210="Railing/Balkon"), "PER-M",
   TRUE, ""
)</f>
        <v>PER-M2</v>
      </c>
      <c r="N210" cm="1">
        <f t="array" ref="N210">IF($M210="PER-M2",
  IFERROR(
     _xlfn.IFS(
        $G210="Hollow",
            INDEX('Referensi Harga'!$C:$C,
                  MATCH($F210&amp;$C210,'Referensi Harga'!$A:$A&amp;'Referensi Harga'!$B:$B,0)),
        $G210="Hollow Stainless",
            INDEX('Referensi Harga'!$D:$D,
                  MATCH($F210&amp;$C210,'Referensi Harga'!$A:$A&amp;'Referensi Harga'!$B:$B,0)),
        $G210="Pipa Stainless",
            INDEX('Referensi Harga'!$E:$E,
                  MATCH($F210&amp;$C210,'Referensi Harga'!$A:$A&amp;'Referensi Harga'!$B:$B,0))
     ),0)
  + IFERROR(VLOOKUP($H210,'Profile Size'!$A:$B,2,FALSE),0)
  + IFERROR(VLOOKUP($I210,'Ketebalan Material'!$A:$B,2,FALSE),0),
0)</f>
        <v>980000</v>
      </c>
      <c r="O210">
        <f>IF($M210="PER-M",
  IFERROR(
    IF($G210="Hollow",
       INDEX('Referensi Harga'!$C:$C, MATCH($F210 &amp; "|" &amp; $C210, 'Referensi Harga'!$F:$F, 0)),
    IF($G210="Hollow Stainless",
       INDEX('Referensi Harga'!$D:$D, MATCH($F210 &amp; "|" &amp; $C210, 'Referensi Harga'!$F:$F, 0)),
       INDEX('Referensi Harga'!$E:$E, MATCH($F210 &amp; "|" &amp; $C210, 'Referensi Harga'!$F:$F, 0))
    ))
    + IFERROR(VLOOKUP($H210, 'Profile Size'!$A:$B, 2, FALSE), 0)
    + IFERROR(VLOOKUP($I210, 'Ketebalan Material'!$A:$B, 2, FALSE), 0), 0),
0)</f>
        <v>0</v>
      </c>
      <c r="P210" cm="1">
        <f t="array" ref="P210">IF($M210="PER-LUBANG",
  IFERROR(
     _xlfn.IFS(
        $G210="Hollow",
            INDEX('Referensi Harga'!$C:$C,
                  MATCH($F210&amp;$C210,'Referensi Harga'!$A:$A&amp;'Referensi Harga'!$B:$B,0)),
        $G210="Hollow Stainless",
            INDEX('Referensi Harga'!$D:$D,
                  MATCH($F210&amp;$C210,'Referensi Harga'!$A:$A&amp;'Referensi Harga'!$B:$B,0)),
        $G210="Pipa Stainless",
            INDEX('Referensi Harga'!$E:$E,
                  MATCH($F210&amp;$C210,'Referensi Harga'!$A:$A&amp;'Referensi Harga'!$B:$B,0))
     ),0)
  + IFERROR(VLOOKUP($H210,'Profile Size'!$A:$B,2,FALSE),0)
  + IFERROR(VLOOKUP($I210,'Ketebalan Material'!$A:$B,2,FALSE),0),
0)</f>
        <v>0</v>
      </c>
      <c r="Q210">
        <f>IF($M210="PER-M2",
    IFERROR(
        SUMIFS('Upah Tenaga Ahli'!$C:$C,
               'Upah Tenaga Ahli'!$A:$A,"PER-M2",
               'Upah Tenaga Ahli'!$B:$B,$G210
        ) * $J210 * $K210,
    0),
IF($M210="PER-LUBANG",
    IFERROR(
        SUMIFS('Upah Tenaga Ahli'!$D:$D,
               'Upah Tenaga Ahli'!$A:$A,"PER-LUBANG",
               'Upah Tenaga Ahli'!$B:$B,$G210
        ) * $L210 * $K210,
    0),
IF($M210="PER-M",
    IFERROR(
        SUMIFS('Upah Tenaga Ahli'!$E:$E,
               'Upah Tenaga Ahli'!$A:$A,"PER-M",
               'Upah Tenaga Ahli'!$B:$B,$G210
        ) * $J210 * $K210,
    0),
0)))</f>
        <v>3614000</v>
      </c>
      <c r="R210" t="s">
        <v>617</v>
      </c>
      <c r="S210" t="s">
        <v>25</v>
      </c>
      <c r="T210">
        <f>IF($M210="PER-M2",
   ($N210 * $J210 * $K210)
   + IFERROR(VLOOKUP($R210,Finishing!A:B,2,FALSE),0)
   + IFERROR(VLOOKUP($S210,Kerumitan!A:B,2,FALSE),0),
IF($M210="PER-LUBANG",
   ($P210 * $L210 * $K210)
   + IFERROR(VLOOKUP($R210,Finishing!A:B,2,FALSE),0)
   + IFERROR(VLOOKUP($S210,Kerumitan!A:B,2,FALSE),0),
IF($M210="PER-M",
   ($O210 * $J210 * $K210)
   + IFERROR(VLOOKUP($R210,Finishing!A:B,2,FALSE),0)
   + IFERROR(VLOOKUP($S210,Kerumitan!A:B,2,FALSE),0),
0)))</f>
        <v>17858600</v>
      </c>
    </row>
    <row r="211" spans="1:20" x14ac:dyDescent="0.45">
      <c r="A211" t="s">
        <v>307</v>
      </c>
      <c r="B211" s="5">
        <v>44734</v>
      </c>
      <c r="C211">
        <f t="shared" si="3"/>
        <v>2022</v>
      </c>
      <c r="D211" t="s">
        <v>81</v>
      </c>
      <c r="E211" t="s">
        <v>75</v>
      </c>
      <c r="F211" t="s">
        <v>8</v>
      </c>
      <c r="G211" t="s">
        <v>13</v>
      </c>
      <c r="H211" t="s">
        <v>612</v>
      </c>
      <c r="I211">
        <v>1.2</v>
      </c>
      <c r="J211">
        <v>0</v>
      </c>
      <c r="K211">
        <v>1</v>
      </c>
      <c r="L211">
        <v>14</v>
      </c>
      <c r="M211" t="str" cm="1">
        <f t="array" ref="M211">_xlfn.IFS(
   OR($F211="Pagar", $F211="Pintu Gerbang", $F211="Pintu Handerson", $F211="Kanopi"), "PER-M2",
   $F211="Teralis", "PER-LUBANG",
   OR($F211="Railing", $F211="Railing/Balkon"), "PER-M",
   TRUE, ""
)</f>
        <v>PER-LUBANG</v>
      </c>
      <c r="N211" cm="1">
        <f t="array" ref="N211">IF($M211="PER-M2",
  IFERROR(
     _xlfn.IFS(
        $G211="Hollow",
            INDEX('Referensi Harga'!$C:$C,
                  MATCH($F211&amp;$C211,'Referensi Harga'!$A:$A&amp;'Referensi Harga'!$B:$B,0)),
        $G211="Hollow Stainless",
            INDEX('Referensi Harga'!$D:$D,
                  MATCH($F211&amp;$C211,'Referensi Harga'!$A:$A&amp;'Referensi Harga'!$B:$B,0)),
        $G211="Pipa Stainless",
            INDEX('Referensi Harga'!$E:$E,
                  MATCH($F211&amp;$C211,'Referensi Harga'!$A:$A&amp;'Referensi Harga'!$B:$B,0))
     ),0)
  + IFERROR(VLOOKUP($H211,'Profile Size'!$A:$B,2,FALSE),0)
  + IFERROR(VLOOKUP($I211,'Ketebalan Material'!$A:$B,2,FALSE),0),
0)</f>
        <v>0</v>
      </c>
      <c r="O211">
        <f>IF($M211="PER-M",
  IFERROR(
    IF($G211="Hollow",
       INDEX('Referensi Harga'!$C:$C, MATCH($F211 &amp; "|" &amp; $C211, 'Referensi Harga'!$F:$F, 0)),
    IF($G211="Hollow Stainless",
       INDEX('Referensi Harga'!$D:$D, MATCH($F211 &amp; "|" &amp; $C211, 'Referensi Harga'!$F:$F, 0)),
       INDEX('Referensi Harga'!$E:$E, MATCH($F211 &amp; "|" &amp; $C211, 'Referensi Harga'!$F:$F, 0))
    ))
    + IFERROR(VLOOKUP($H211, 'Profile Size'!$A:$B, 2, FALSE), 0)
    + IFERROR(VLOOKUP($I211, 'Ketebalan Material'!$A:$B, 2, FALSE), 0), 0),
0)</f>
        <v>0</v>
      </c>
      <c r="P211" cm="1">
        <f t="array" ref="P211">IF($M211="PER-LUBANG",
  IFERROR(
     _xlfn.IFS(
        $G211="Hollow",
            INDEX('Referensi Harga'!$C:$C,
                  MATCH($F211&amp;$C211,'Referensi Harga'!$A:$A&amp;'Referensi Harga'!$B:$B,0)),
        $G211="Hollow Stainless",
            INDEX('Referensi Harga'!$D:$D,
                  MATCH($F211&amp;$C211,'Referensi Harga'!$A:$A&amp;'Referensi Harga'!$B:$B,0)),
        $G211="Pipa Stainless",
            INDEX('Referensi Harga'!$E:$E,
                  MATCH($F211&amp;$C211,'Referensi Harga'!$A:$A&amp;'Referensi Harga'!$B:$B,0))
     ),0)
  + IFERROR(VLOOKUP($H211,'Profile Size'!$A:$B,2,FALSE),0)
  + IFERROR(VLOOKUP($I211,'Ketebalan Material'!$A:$B,2,FALSE),0),
0)</f>
        <v>400000</v>
      </c>
      <c r="Q211">
        <f>IF($M211="PER-M2",
    IFERROR(
        SUMIFS('Upah Tenaga Ahli'!$C:$C,
               'Upah Tenaga Ahli'!$A:$A,"PER-M2",
               'Upah Tenaga Ahli'!$B:$B,$G211
        ) * $J211 * $K211,
    0),
IF($M211="PER-LUBANG",
    IFERROR(
        SUMIFS('Upah Tenaga Ahli'!$D:$D,
               'Upah Tenaga Ahli'!$A:$A,"PER-LUBANG",
               'Upah Tenaga Ahli'!$B:$B,$G211
        ) * $L211 * $K211,
    0),
IF($M211="PER-M",
    IFERROR(
        SUMIFS('Upah Tenaga Ahli'!$E:$E,
               'Upah Tenaga Ahli'!$A:$A,"PER-M",
               'Upah Tenaga Ahli'!$B:$B,$G211
        ) * $J211 * $K211,
    0),
0)))</f>
        <v>1050000</v>
      </c>
      <c r="R211" t="s">
        <v>20</v>
      </c>
      <c r="S211" t="s">
        <v>24</v>
      </c>
      <c r="T211">
        <f>IF($M211="PER-M2",
   ($N211 * $J211 * $K211)
   + IFERROR(VLOOKUP($R211,Finishing!A:B,2,FALSE),0)
   + IFERROR(VLOOKUP($S211,Kerumitan!A:B,2,FALSE),0),
IF($M211="PER-LUBANG",
   ($P211 * $L211 * $K211)
   + IFERROR(VLOOKUP($R211,Finishing!A:B,2,FALSE),0)
   + IFERROR(VLOOKUP($S211,Kerumitan!A:B,2,FALSE),0),
IF($M211="PER-M",
   ($O211 * $J211 * $K211)
   + IFERROR(VLOOKUP($R211,Finishing!A:B,2,FALSE),0)
   + IFERROR(VLOOKUP($S211,Kerumitan!A:B,2,FALSE),0),
0)))</f>
        <v>5850000</v>
      </c>
    </row>
    <row r="212" spans="1:20" x14ac:dyDescent="0.45">
      <c r="A212" t="s">
        <v>308</v>
      </c>
      <c r="B212" s="5">
        <v>44891</v>
      </c>
      <c r="C212">
        <f t="shared" si="3"/>
        <v>2022</v>
      </c>
      <c r="D212" t="s">
        <v>159</v>
      </c>
      <c r="E212" t="s">
        <v>57</v>
      </c>
      <c r="F212" t="s">
        <v>6</v>
      </c>
      <c r="G212" t="s">
        <v>15</v>
      </c>
      <c r="H212" t="s">
        <v>33</v>
      </c>
      <c r="I212">
        <v>1</v>
      </c>
      <c r="J212">
        <v>13.48</v>
      </c>
      <c r="K212">
        <v>1</v>
      </c>
      <c r="L212">
        <v>0</v>
      </c>
      <c r="M212" t="str" cm="1">
        <f t="array" ref="M212">_xlfn.IFS(
   OR($F212="Pagar", $F212="Pintu Gerbang", $F212="Pintu Handerson", $F212="Kanopi"), "PER-M2",
   $F212="Teralis", "PER-LUBANG",
   OR($F212="Railing", $F212="Railing/Balkon"), "PER-M",
   TRUE, ""
)</f>
        <v>PER-M2</v>
      </c>
      <c r="N212" cm="1">
        <f t="array" ref="N212">IF($M212="PER-M2",
  IFERROR(
     _xlfn.IFS(
        $G212="Hollow",
            INDEX('Referensi Harga'!$C:$C,
                  MATCH($F212&amp;$C212,'Referensi Harga'!$A:$A&amp;'Referensi Harga'!$B:$B,0)),
        $G212="Hollow Stainless",
            INDEX('Referensi Harga'!$D:$D,
                  MATCH($F212&amp;$C212,'Referensi Harga'!$A:$A&amp;'Referensi Harga'!$B:$B,0)),
        $G212="Pipa Stainless",
            INDEX('Referensi Harga'!$E:$E,
                  MATCH($F212&amp;$C212,'Referensi Harga'!$A:$A&amp;'Referensi Harga'!$B:$B,0))
     ),0)
  + IFERROR(VLOOKUP($H212,'Profile Size'!$A:$B,2,FALSE),0)
  + IFERROR(VLOOKUP($I212,'Ketebalan Material'!$A:$B,2,FALSE),0),
0)</f>
        <v>830000</v>
      </c>
      <c r="O212">
        <f>IF($M212="PER-M",
  IFERROR(
    IF($G212="Hollow",
       INDEX('Referensi Harga'!$C:$C, MATCH($F212 &amp; "|" &amp; $C212, 'Referensi Harga'!$F:$F, 0)),
    IF($G212="Hollow Stainless",
       INDEX('Referensi Harga'!$D:$D, MATCH($F212 &amp; "|" &amp; $C212, 'Referensi Harga'!$F:$F, 0)),
       INDEX('Referensi Harga'!$E:$E, MATCH($F212 &amp; "|" &amp; $C212, 'Referensi Harga'!$F:$F, 0))
    ))
    + IFERROR(VLOOKUP($H212, 'Profile Size'!$A:$B, 2, FALSE), 0)
    + IFERROR(VLOOKUP($I212, 'Ketebalan Material'!$A:$B, 2, FALSE), 0), 0),
0)</f>
        <v>0</v>
      </c>
      <c r="P212" cm="1">
        <f t="array" ref="P212">IF($M212="PER-LUBANG",
  IFERROR(
     _xlfn.IFS(
        $G212="Hollow",
            INDEX('Referensi Harga'!$C:$C,
                  MATCH($F212&amp;$C212,'Referensi Harga'!$A:$A&amp;'Referensi Harga'!$B:$B,0)),
        $G212="Hollow Stainless",
            INDEX('Referensi Harga'!$D:$D,
                  MATCH($F212&amp;$C212,'Referensi Harga'!$A:$A&amp;'Referensi Harga'!$B:$B,0)),
        $G212="Pipa Stainless",
            INDEX('Referensi Harga'!$E:$E,
                  MATCH($F212&amp;$C212,'Referensi Harga'!$A:$A&amp;'Referensi Harga'!$B:$B,0))
     ),0)
  + IFERROR(VLOOKUP($H212,'Profile Size'!$A:$B,2,FALSE),0)
  + IFERROR(VLOOKUP($I212,'Ketebalan Material'!$A:$B,2,FALSE),0),
0)</f>
        <v>0</v>
      </c>
      <c r="Q212">
        <f>IF($M212="PER-M2",
    IFERROR(
        SUMIFS('Upah Tenaga Ahli'!$C:$C,
               'Upah Tenaga Ahli'!$A:$A,"PER-M2",
               'Upah Tenaga Ahli'!$B:$B,$G212
        ) * $J212 * $K212,
    0),
IF($M212="PER-LUBANG",
    IFERROR(
        SUMIFS('Upah Tenaga Ahli'!$D:$D,
               'Upah Tenaga Ahli'!$A:$A,"PER-LUBANG",
               'Upah Tenaga Ahli'!$B:$B,$G212
        ) * $L212 * $K212,
    0),
IF($M212="PER-M",
    IFERROR(
        SUMIFS('Upah Tenaga Ahli'!$E:$E,
               'Upah Tenaga Ahli'!$A:$A,"PER-M",
               'Upah Tenaga Ahli'!$B:$B,$G212
        ) * $J212 * $K212,
    0),
0)))</f>
        <v>2022000</v>
      </c>
      <c r="R212" t="s">
        <v>617</v>
      </c>
      <c r="S212" t="s">
        <v>23</v>
      </c>
      <c r="T212">
        <f>IF($M212="PER-M2",
   ($N212 * $J212 * $K212)
   + IFERROR(VLOOKUP($R212,Finishing!A:B,2,FALSE),0)
   + IFERROR(VLOOKUP($S212,Kerumitan!A:B,2,FALSE),0),
IF($M212="PER-LUBANG",
   ($P212 * $L212 * $K212)
   + IFERROR(VLOOKUP($R212,Finishing!A:B,2,FALSE),0)
   + IFERROR(VLOOKUP($S212,Kerumitan!A:B,2,FALSE),0),
IF($M212="PER-M",
   ($O212 * $J212 * $K212)
   + IFERROR(VLOOKUP($R212,Finishing!A:B,2,FALSE),0)
   + IFERROR(VLOOKUP($S212,Kerumitan!A:B,2,FALSE),0),
0)))</f>
        <v>11188400</v>
      </c>
    </row>
    <row r="213" spans="1:20" x14ac:dyDescent="0.45">
      <c r="A213" t="s">
        <v>309</v>
      </c>
      <c r="B213" s="5">
        <v>43780</v>
      </c>
      <c r="C213">
        <f t="shared" si="3"/>
        <v>2019</v>
      </c>
      <c r="D213" t="s">
        <v>148</v>
      </c>
      <c r="E213" t="s">
        <v>41</v>
      </c>
      <c r="F213" t="s">
        <v>7</v>
      </c>
      <c r="G213" t="s">
        <v>14</v>
      </c>
      <c r="H213" t="s">
        <v>615</v>
      </c>
      <c r="I213">
        <v>0.8</v>
      </c>
      <c r="J213">
        <v>12.85</v>
      </c>
      <c r="K213">
        <v>1</v>
      </c>
      <c r="L213">
        <v>0</v>
      </c>
      <c r="M213" t="str" cm="1">
        <f t="array" ref="M213">_xlfn.IFS(
   OR($F213="Pagar", $F213="Pintu Gerbang", $F213="Pintu Handerson", $F213="Kanopi"), "PER-M2",
   $F213="Teralis", "PER-LUBANG",
   OR($F213="Railing", $F213="Railing/Balkon"), "PER-M",
   TRUE, ""
)</f>
        <v>PER-M2</v>
      </c>
      <c r="N213" cm="1">
        <f t="array" ref="N213">IF($M213="PER-M2",
  IFERROR(
     _xlfn.IFS(
        $G213="Hollow",
            INDEX('Referensi Harga'!$C:$C,
                  MATCH($F213&amp;$C213,'Referensi Harga'!$A:$A&amp;'Referensi Harga'!$B:$B,0)),
        $G213="Hollow Stainless",
            INDEX('Referensi Harga'!$D:$D,
                  MATCH($F213&amp;$C213,'Referensi Harga'!$A:$A&amp;'Referensi Harga'!$B:$B,0)),
        $G213="Pipa Stainless",
            INDEX('Referensi Harga'!$E:$E,
                  MATCH($F213&amp;$C213,'Referensi Harga'!$A:$A&amp;'Referensi Harga'!$B:$B,0))
     ),0)
  + IFERROR(VLOOKUP($H213,'Profile Size'!$A:$B,2,FALSE),0)
  + IFERROR(VLOOKUP($I213,'Ketebalan Material'!$A:$B,2,FALSE),0),
0)</f>
        <v>1050000</v>
      </c>
      <c r="O213">
        <f>IF($M213="PER-M",
  IFERROR(
    IF($G213="Hollow",
       INDEX('Referensi Harga'!$C:$C, MATCH($F213 &amp; "|" &amp; $C213, 'Referensi Harga'!$F:$F, 0)),
    IF($G213="Hollow Stainless",
       INDEX('Referensi Harga'!$D:$D, MATCH($F213 &amp; "|" &amp; $C213, 'Referensi Harga'!$F:$F, 0)),
       INDEX('Referensi Harga'!$E:$E, MATCH($F213 &amp; "|" &amp; $C213, 'Referensi Harga'!$F:$F, 0))
    ))
    + IFERROR(VLOOKUP($H213, 'Profile Size'!$A:$B, 2, FALSE), 0)
    + IFERROR(VLOOKUP($I213, 'Ketebalan Material'!$A:$B, 2, FALSE), 0), 0),
0)</f>
        <v>0</v>
      </c>
      <c r="P213" cm="1">
        <f t="array" ref="P213">IF($M213="PER-LUBANG",
  IFERROR(
     _xlfn.IFS(
        $G213="Hollow",
            INDEX('Referensi Harga'!$C:$C,
                  MATCH($F213&amp;$C213,'Referensi Harga'!$A:$A&amp;'Referensi Harga'!$B:$B,0)),
        $G213="Hollow Stainless",
            INDEX('Referensi Harga'!$D:$D,
                  MATCH($F213&amp;$C213,'Referensi Harga'!$A:$A&amp;'Referensi Harga'!$B:$B,0)),
        $G213="Pipa Stainless",
            INDEX('Referensi Harga'!$E:$E,
                  MATCH($F213&amp;$C213,'Referensi Harga'!$A:$A&amp;'Referensi Harga'!$B:$B,0))
     ),0)
  + IFERROR(VLOOKUP($H213,'Profile Size'!$A:$B,2,FALSE),0)
  + IFERROR(VLOOKUP($I213,'Ketebalan Material'!$A:$B,2,FALSE),0),
0)</f>
        <v>0</v>
      </c>
      <c r="Q213">
        <f>IF($M213="PER-M2",
    IFERROR(
        SUMIFS('Upah Tenaga Ahli'!$C:$C,
               'Upah Tenaga Ahli'!$A:$A,"PER-M2",
               'Upah Tenaga Ahli'!$B:$B,$G213
        ) * $J213 * $K213,
    0),
IF($M213="PER-LUBANG",
    IFERROR(
        SUMIFS('Upah Tenaga Ahli'!$D:$D,
               'Upah Tenaga Ahli'!$A:$A,"PER-LUBANG",
               'Upah Tenaga Ahli'!$B:$B,$G213
        ) * $L213 * $K213,
    0),
IF($M213="PER-M",
    IFERROR(
        SUMIFS('Upah Tenaga Ahli'!$E:$E,
               'Upah Tenaga Ahli'!$A:$A,"PER-M",
               'Upah Tenaga Ahli'!$B:$B,$G213
        ) * $J213 * $K213,
    0),
0)))</f>
        <v>2570000</v>
      </c>
      <c r="R213" t="s">
        <v>617</v>
      </c>
      <c r="S213" t="s">
        <v>23</v>
      </c>
      <c r="T213">
        <f>IF($M213="PER-M2",
   ($N213 * $J213 * $K213)
   + IFERROR(VLOOKUP($R213,Finishing!A:B,2,FALSE),0)
   + IFERROR(VLOOKUP($S213,Kerumitan!A:B,2,FALSE),0),
IF($M213="PER-LUBANG",
   ($P213 * $L213 * $K213)
   + IFERROR(VLOOKUP($R213,Finishing!A:B,2,FALSE),0)
   + IFERROR(VLOOKUP($S213,Kerumitan!A:B,2,FALSE),0),
IF($M213="PER-M",
   ($O213 * $J213 * $K213)
   + IFERROR(VLOOKUP($R213,Finishing!A:B,2,FALSE),0)
   + IFERROR(VLOOKUP($S213,Kerumitan!A:B,2,FALSE),0),
0)))</f>
        <v>13492500</v>
      </c>
    </row>
    <row r="214" spans="1:20" x14ac:dyDescent="0.45">
      <c r="A214" t="s">
        <v>310</v>
      </c>
      <c r="B214" s="5">
        <v>44279</v>
      </c>
      <c r="C214">
        <f t="shared" si="3"/>
        <v>2021</v>
      </c>
      <c r="D214" t="s">
        <v>133</v>
      </c>
      <c r="E214" t="s">
        <v>28</v>
      </c>
      <c r="F214" t="s">
        <v>625</v>
      </c>
      <c r="G214" t="s">
        <v>15</v>
      </c>
      <c r="H214" t="s">
        <v>46</v>
      </c>
      <c r="I214">
        <v>0.8</v>
      </c>
      <c r="J214">
        <v>7.97</v>
      </c>
      <c r="K214">
        <v>2</v>
      </c>
      <c r="L214">
        <v>0</v>
      </c>
      <c r="M214" t="str" cm="1">
        <f t="array" ref="M214">_xlfn.IFS(
   OR($F214="Pagar", $F214="Pintu Gerbang", $F214="Pintu Handerson", $F214="Kanopi"), "PER-M2",
   $F214="Teralis", "PER-LUBANG",
   OR($F214="Railing", $F214="Railing/Balkon"), "PER-M",
   TRUE, ""
)</f>
        <v>PER-M</v>
      </c>
      <c r="N214" cm="1">
        <f t="array" ref="N214">IF($M214="PER-M2",
  IFERROR(
     _xlfn.IFS(
        $G214="Hollow",
            INDEX('Referensi Harga'!$C:$C,
                  MATCH($F214&amp;$C214,'Referensi Harga'!$A:$A&amp;'Referensi Harga'!$B:$B,0)),
        $G214="Hollow Stainless",
            INDEX('Referensi Harga'!$D:$D,
                  MATCH($F214&amp;$C214,'Referensi Harga'!$A:$A&amp;'Referensi Harga'!$B:$B,0)),
        $G214="Pipa Stainless",
            INDEX('Referensi Harga'!$E:$E,
                  MATCH($F214&amp;$C214,'Referensi Harga'!$A:$A&amp;'Referensi Harga'!$B:$B,0))
     ),0)
  + IFERROR(VLOOKUP($H214,'Profile Size'!$A:$B,2,FALSE),0)
  + IFERROR(VLOOKUP($I214,'Ketebalan Material'!$A:$B,2,FALSE),0),
0)</f>
        <v>0</v>
      </c>
      <c r="O214">
        <f>IF($M214="PER-M",
  IFERROR(
    IF($G214="Hollow",
       INDEX('Referensi Harga'!$C:$C, MATCH($F214 &amp; "|" &amp; $C214, 'Referensi Harga'!$F:$F, 0)),
    IF($G214="Hollow Stainless",
       INDEX('Referensi Harga'!$D:$D, MATCH($F214 &amp; "|" &amp; $C214, 'Referensi Harga'!$F:$F, 0)),
       INDEX('Referensi Harga'!$E:$E, MATCH($F214 &amp; "|" &amp; $C214, 'Referensi Harga'!$F:$F, 0))
    ))
    + IFERROR(VLOOKUP($H214, 'Profile Size'!$A:$B, 2, FALSE), 0)
    + IFERROR(VLOOKUP($I214, 'Ketebalan Material'!$A:$B, 2, FALSE), 0), 0),
0)</f>
        <v>1150000</v>
      </c>
      <c r="P214" cm="1">
        <f t="array" ref="P214">IF($M214="PER-LUBANG",
  IFERROR(
     _xlfn.IFS(
        $G214="Hollow",
            INDEX('Referensi Harga'!$C:$C,
                  MATCH($F214&amp;$C214,'Referensi Harga'!$A:$A&amp;'Referensi Harga'!$B:$B,0)),
        $G214="Hollow Stainless",
            INDEX('Referensi Harga'!$D:$D,
                  MATCH($F214&amp;$C214,'Referensi Harga'!$A:$A&amp;'Referensi Harga'!$B:$B,0)),
        $G214="Pipa Stainless",
            INDEX('Referensi Harga'!$E:$E,
                  MATCH($F214&amp;$C214,'Referensi Harga'!$A:$A&amp;'Referensi Harga'!$B:$B,0))
     ),0)
  + IFERROR(VLOOKUP($H214,'Profile Size'!$A:$B,2,FALSE),0)
  + IFERROR(VLOOKUP($I214,'Ketebalan Material'!$A:$B,2,FALSE),0),
0)</f>
        <v>0</v>
      </c>
      <c r="Q214">
        <f>IF($M214="PER-M2",
    IFERROR(
        SUMIFS('Upah Tenaga Ahli'!$C:$C,
               'Upah Tenaga Ahli'!$A:$A,"PER-M2",
               'Upah Tenaga Ahli'!$B:$B,$G214
        ) * $J214 * $K214,
    0),
IF($M214="PER-LUBANG",
    IFERROR(
        SUMIFS('Upah Tenaga Ahli'!$D:$D,
               'Upah Tenaga Ahli'!$A:$A,"PER-LUBANG",
               'Upah Tenaga Ahli'!$B:$B,$G214
        ) * $L214 * $K214,
    0),
IF($M214="PER-M",
    IFERROR(
        SUMIFS('Upah Tenaga Ahli'!$E:$E,
               'Upah Tenaga Ahli'!$A:$A,"PER-M",
               'Upah Tenaga Ahli'!$B:$B,$G214
        ) * $J214 * $K214,
    0),
0)))</f>
        <v>2391000</v>
      </c>
      <c r="R214" t="s">
        <v>617</v>
      </c>
      <c r="S214" t="s">
        <v>24</v>
      </c>
      <c r="T214">
        <f>IF($M214="PER-M2",
   ($N214 * $J214 * $K214)
   + IFERROR(VLOOKUP($R214,Finishing!A:B,2,FALSE),0)
   + IFERROR(VLOOKUP($S214,Kerumitan!A:B,2,FALSE),0),
IF($M214="PER-LUBANG",
   ($P214 * $L214 * $K214)
   + IFERROR(VLOOKUP($R214,Finishing!A:B,2,FALSE),0)
   + IFERROR(VLOOKUP($S214,Kerumitan!A:B,2,FALSE),0),
IF($M214="PER-M",
   ($O214 * $J214 * $K214)
   + IFERROR(VLOOKUP($R214,Finishing!A:B,2,FALSE),0)
   + IFERROR(VLOOKUP($S214,Kerumitan!A:B,2,FALSE),0),
0)))</f>
        <v>18431000</v>
      </c>
    </row>
    <row r="215" spans="1:20" x14ac:dyDescent="0.45">
      <c r="A215" t="s">
        <v>311</v>
      </c>
      <c r="B215" s="5">
        <v>45813</v>
      </c>
      <c r="C215">
        <f t="shared" si="3"/>
        <v>2025</v>
      </c>
      <c r="D215" t="s">
        <v>159</v>
      </c>
      <c r="E215" t="s">
        <v>69</v>
      </c>
      <c r="F215" t="s">
        <v>625</v>
      </c>
      <c r="G215" t="s">
        <v>13</v>
      </c>
      <c r="H215" t="s">
        <v>33</v>
      </c>
      <c r="I215">
        <v>1</v>
      </c>
      <c r="J215">
        <v>10.99</v>
      </c>
      <c r="K215">
        <v>3</v>
      </c>
      <c r="L215">
        <v>0</v>
      </c>
      <c r="M215" t="str" cm="1">
        <f t="array" ref="M215">_xlfn.IFS(
   OR($F215="Pagar", $F215="Pintu Gerbang", $F215="Pintu Handerson", $F215="Kanopi"), "PER-M2",
   $F215="Teralis", "PER-LUBANG",
   OR($F215="Railing", $F215="Railing/Balkon"), "PER-M",
   TRUE, ""
)</f>
        <v>PER-M</v>
      </c>
      <c r="N215" cm="1">
        <f t="array" ref="N215">IF($M215="PER-M2",
  IFERROR(
     _xlfn.IFS(
        $G215="Hollow",
            INDEX('Referensi Harga'!$C:$C,
                  MATCH($F215&amp;$C215,'Referensi Harga'!$A:$A&amp;'Referensi Harga'!$B:$B,0)),
        $G215="Hollow Stainless",
            INDEX('Referensi Harga'!$D:$D,
                  MATCH($F215&amp;$C215,'Referensi Harga'!$A:$A&amp;'Referensi Harga'!$B:$B,0)),
        $G215="Pipa Stainless",
            INDEX('Referensi Harga'!$E:$E,
                  MATCH($F215&amp;$C215,'Referensi Harga'!$A:$A&amp;'Referensi Harga'!$B:$B,0))
     ),0)
  + IFERROR(VLOOKUP($H215,'Profile Size'!$A:$B,2,FALSE),0)
  + IFERROR(VLOOKUP($I215,'Ketebalan Material'!$A:$B,2,FALSE),0),
0)</f>
        <v>0</v>
      </c>
      <c r="O215">
        <f>IF($M215="PER-M",
  IFERROR(
    IF($G215="Hollow",
       INDEX('Referensi Harga'!$C:$C, MATCH($F215 &amp; "|" &amp; $C215, 'Referensi Harga'!$F:$F, 0)),
    IF($G215="Hollow Stainless",
       INDEX('Referensi Harga'!$D:$D, MATCH($F215 &amp; "|" &amp; $C215, 'Referensi Harga'!$F:$F, 0)),
       INDEX('Referensi Harga'!$E:$E, MATCH($F215 &amp; "|" &amp; $C215, 'Referensi Harga'!$F:$F, 0))
    ))
    + IFERROR(VLOOKUP($H215, 'Profile Size'!$A:$B, 2, FALSE), 0)
    + IFERROR(VLOOKUP($I215, 'Ketebalan Material'!$A:$B, 2, FALSE), 0), 0),
0)</f>
        <v>550000</v>
      </c>
      <c r="P215" cm="1">
        <f t="array" ref="P215">IF($M215="PER-LUBANG",
  IFERROR(
     _xlfn.IFS(
        $G215="Hollow",
            INDEX('Referensi Harga'!$C:$C,
                  MATCH($F215&amp;$C215,'Referensi Harga'!$A:$A&amp;'Referensi Harga'!$B:$B,0)),
        $G215="Hollow Stainless",
            INDEX('Referensi Harga'!$D:$D,
                  MATCH($F215&amp;$C215,'Referensi Harga'!$A:$A&amp;'Referensi Harga'!$B:$B,0)),
        $G215="Pipa Stainless",
            INDEX('Referensi Harga'!$E:$E,
                  MATCH($F215&amp;$C215,'Referensi Harga'!$A:$A&amp;'Referensi Harga'!$B:$B,0))
     ),0)
  + IFERROR(VLOOKUP($H215,'Profile Size'!$A:$B,2,FALSE),0)
  + IFERROR(VLOOKUP($I215,'Ketebalan Material'!$A:$B,2,FALSE),0),
0)</f>
        <v>0</v>
      </c>
      <c r="Q215">
        <f>IF($M215="PER-M2",
    IFERROR(
        SUMIFS('Upah Tenaga Ahli'!$C:$C,
               'Upah Tenaga Ahli'!$A:$A,"PER-M2",
               'Upah Tenaga Ahli'!$B:$B,$G215
        ) * $J215 * $K215,
    0),
IF($M215="PER-LUBANG",
    IFERROR(
        SUMIFS('Upah Tenaga Ahli'!$D:$D,
               'Upah Tenaga Ahli'!$A:$A,"PER-LUBANG",
               'Upah Tenaga Ahli'!$B:$B,$G215
        ) * $L215 * $K215,
    0),
IF($M215="PER-M",
    IFERROR(
        SUMIFS('Upah Tenaga Ahli'!$E:$E,
               'Upah Tenaga Ahli'!$A:$A,"PER-M",
               'Upah Tenaga Ahli'!$B:$B,$G215
        ) * $J215 * $K215,
    0),
0)))</f>
        <v>3297000</v>
      </c>
      <c r="R215" t="s">
        <v>18</v>
      </c>
      <c r="S215" t="s">
        <v>23</v>
      </c>
      <c r="T215">
        <f>IF($M215="PER-M2",
   ($N215 * $J215 * $K215)
   + IFERROR(VLOOKUP($R215,Finishing!A:B,2,FALSE),0)
   + IFERROR(VLOOKUP($S215,Kerumitan!A:B,2,FALSE),0),
IF($M215="PER-LUBANG",
   ($P215 * $L215 * $K215)
   + IFERROR(VLOOKUP($R215,Finishing!A:B,2,FALSE),0)
   + IFERROR(VLOOKUP($S215,Kerumitan!A:B,2,FALSE),0),
IF($M215="PER-M",
   ($O215 * $J215 * $K215)
   + IFERROR(VLOOKUP($R215,Finishing!A:B,2,FALSE),0)
   + IFERROR(VLOOKUP($S215,Kerumitan!A:B,2,FALSE),0),
0)))</f>
        <v>18133500</v>
      </c>
    </row>
    <row r="216" spans="1:20" x14ac:dyDescent="0.45">
      <c r="A216" t="s">
        <v>312</v>
      </c>
      <c r="B216" s="5">
        <v>45872</v>
      </c>
      <c r="C216">
        <f t="shared" si="3"/>
        <v>2025</v>
      </c>
      <c r="D216" t="s">
        <v>71</v>
      </c>
      <c r="E216" t="s">
        <v>28</v>
      </c>
      <c r="F216" t="s">
        <v>4</v>
      </c>
      <c r="G216" t="s">
        <v>15</v>
      </c>
      <c r="H216" t="s">
        <v>46</v>
      </c>
      <c r="I216">
        <v>0.8</v>
      </c>
      <c r="J216">
        <v>25.2</v>
      </c>
      <c r="K216">
        <v>1</v>
      </c>
      <c r="L216">
        <v>0</v>
      </c>
      <c r="M216" t="str" cm="1">
        <f t="array" ref="M216">_xlfn.IFS(
   OR($F216="Pagar", $F216="Pintu Gerbang", $F216="Pintu Handerson", $F216="Kanopi"), "PER-M2",
   $F216="Teralis", "PER-LUBANG",
   OR($F216="Railing", $F216="Railing/Balkon"), "PER-M",
   TRUE, ""
)</f>
        <v>PER-M2</v>
      </c>
      <c r="N216" cm="1">
        <f t="array" ref="N216">IF($M216="PER-M2",
  IFERROR(
     _xlfn.IFS(
        $G216="Hollow",
            INDEX('Referensi Harga'!$C:$C,
                  MATCH($F216&amp;$C216,'Referensi Harga'!$A:$A&amp;'Referensi Harga'!$B:$B,0)),
        $G216="Hollow Stainless",
            INDEX('Referensi Harga'!$D:$D,
                  MATCH($F216&amp;$C216,'Referensi Harga'!$A:$A&amp;'Referensi Harga'!$B:$B,0)),
        $G216="Pipa Stainless",
            INDEX('Referensi Harga'!$E:$E,
                  MATCH($F216&amp;$C216,'Referensi Harga'!$A:$A&amp;'Referensi Harga'!$B:$B,0))
     ),0)
  + IFERROR(VLOOKUP($H216,'Profile Size'!$A:$B,2,FALSE),0)
  + IFERROR(VLOOKUP($I216,'Ketebalan Material'!$A:$B,2,FALSE),0),
0)</f>
        <v>1250000</v>
      </c>
      <c r="O216">
        <f>IF($M216="PER-M",
  IFERROR(
    IF($G216="Hollow",
       INDEX('Referensi Harga'!$C:$C, MATCH($F216 &amp; "|" &amp; $C216, 'Referensi Harga'!$F:$F, 0)),
    IF($G216="Hollow Stainless",
       INDEX('Referensi Harga'!$D:$D, MATCH($F216 &amp; "|" &amp; $C216, 'Referensi Harga'!$F:$F, 0)),
       INDEX('Referensi Harga'!$E:$E, MATCH($F216 &amp; "|" &amp; $C216, 'Referensi Harga'!$F:$F, 0))
    ))
    + IFERROR(VLOOKUP($H216, 'Profile Size'!$A:$B, 2, FALSE), 0)
    + IFERROR(VLOOKUP($I216, 'Ketebalan Material'!$A:$B, 2, FALSE), 0), 0),
0)</f>
        <v>0</v>
      </c>
      <c r="P216" cm="1">
        <f t="array" ref="P216">IF($M216="PER-LUBANG",
  IFERROR(
     _xlfn.IFS(
        $G216="Hollow",
            INDEX('Referensi Harga'!$C:$C,
                  MATCH($F216&amp;$C216,'Referensi Harga'!$A:$A&amp;'Referensi Harga'!$B:$B,0)),
        $G216="Hollow Stainless",
            INDEX('Referensi Harga'!$D:$D,
                  MATCH($F216&amp;$C216,'Referensi Harga'!$A:$A&amp;'Referensi Harga'!$B:$B,0)),
        $G216="Pipa Stainless",
            INDEX('Referensi Harga'!$E:$E,
                  MATCH($F216&amp;$C216,'Referensi Harga'!$A:$A&amp;'Referensi Harga'!$B:$B,0))
     ),0)
  + IFERROR(VLOOKUP($H216,'Profile Size'!$A:$B,2,FALSE),0)
  + IFERROR(VLOOKUP($I216,'Ketebalan Material'!$A:$B,2,FALSE),0),
0)</f>
        <v>0</v>
      </c>
      <c r="Q216">
        <f>IF($M216="PER-M2",
    IFERROR(
        SUMIFS('Upah Tenaga Ahli'!$C:$C,
               'Upah Tenaga Ahli'!$A:$A,"PER-M2",
               'Upah Tenaga Ahli'!$B:$B,$G216
        ) * $J216 * $K216,
    0),
IF($M216="PER-LUBANG",
    IFERROR(
        SUMIFS('Upah Tenaga Ahli'!$D:$D,
               'Upah Tenaga Ahli'!$A:$A,"PER-LUBANG",
               'Upah Tenaga Ahli'!$B:$B,$G216
        ) * $L216 * $K216,
    0),
IF($M216="PER-M",
    IFERROR(
        SUMIFS('Upah Tenaga Ahli'!$E:$E,
               'Upah Tenaga Ahli'!$A:$A,"PER-M",
               'Upah Tenaga Ahli'!$B:$B,$G216
        ) * $J216 * $K216,
    0),
0)))</f>
        <v>3780000</v>
      </c>
      <c r="R216" t="s">
        <v>617</v>
      </c>
      <c r="S216" t="s">
        <v>23</v>
      </c>
      <c r="T216">
        <f>IF($M216="PER-M2",
   ($N216 * $J216 * $K216)
   + IFERROR(VLOOKUP($R216,Finishing!A:B,2,FALSE),0)
   + IFERROR(VLOOKUP($S216,Kerumitan!A:B,2,FALSE),0),
IF($M216="PER-LUBANG",
   ($P216 * $L216 * $K216)
   + IFERROR(VLOOKUP($R216,Finishing!A:B,2,FALSE),0)
   + IFERROR(VLOOKUP($S216,Kerumitan!A:B,2,FALSE),0),
IF($M216="PER-M",
   ($O216 * $J216 * $K216)
   + IFERROR(VLOOKUP($R216,Finishing!A:B,2,FALSE),0)
   + IFERROR(VLOOKUP($S216,Kerumitan!A:B,2,FALSE),0),
0)))</f>
        <v>31500000</v>
      </c>
    </row>
    <row r="217" spans="1:20" x14ac:dyDescent="0.45">
      <c r="A217" t="s">
        <v>313</v>
      </c>
      <c r="B217" s="5">
        <v>43779</v>
      </c>
      <c r="C217">
        <f t="shared" si="3"/>
        <v>2019</v>
      </c>
      <c r="D217" t="s">
        <v>83</v>
      </c>
      <c r="E217" t="s">
        <v>87</v>
      </c>
      <c r="F217" t="s">
        <v>4</v>
      </c>
      <c r="G217" t="s">
        <v>13</v>
      </c>
      <c r="H217" t="s">
        <v>46</v>
      </c>
      <c r="I217">
        <v>1</v>
      </c>
      <c r="J217">
        <v>21.53</v>
      </c>
      <c r="K217">
        <v>1</v>
      </c>
      <c r="L217">
        <v>0</v>
      </c>
      <c r="M217" t="str" cm="1">
        <f t="array" ref="M217">_xlfn.IFS(
   OR($F217="Pagar", $F217="Pintu Gerbang", $F217="Pintu Handerson", $F217="Kanopi"), "PER-M2",
   $F217="Teralis", "PER-LUBANG",
   OR($F217="Railing", $F217="Railing/Balkon"), "PER-M",
   TRUE, ""
)</f>
        <v>PER-M2</v>
      </c>
      <c r="N217" cm="1">
        <f t="array" ref="N217">IF($M217="PER-M2",
  IFERROR(
     _xlfn.IFS(
        $G217="Hollow",
            INDEX('Referensi Harga'!$C:$C,
                  MATCH($F217&amp;$C217,'Referensi Harga'!$A:$A&amp;'Referensi Harga'!$B:$B,0)),
        $G217="Hollow Stainless",
            INDEX('Referensi Harga'!$D:$D,
                  MATCH($F217&amp;$C217,'Referensi Harga'!$A:$A&amp;'Referensi Harga'!$B:$B,0)),
        $G217="Pipa Stainless",
            INDEX('Referensi Harga'!$E:$E,
                  MATCH($F217&amp;$C217,'Referensi Harga'!$A:$A&amp;'Referensi Harga'!$B:$B,0))
     ),0)
  + IFERROR(VLOOKUP($H217,'Profile Size'!$A:$B,2,FALSE),0)
  + IFERROR(VLOOKUP($I217,'Ketebalan Material'!$A:$B,2,FALSE),0),
0)</f>
        <v>600000</v>
      </c>
      <c r="O217">
        <f>IF($M217="PER-M",
  IFERROR(
    IF($G217="Hollow",
       INDEX('Referensi Harga'!$C:$C, MATCH($F217 &amp; "|" &amp; $C217, 'Referensi Harga'!$F:$F, 0)),
    IF($G217="Hollow Stainless",
       INDEX('Referensi Harga'!$D:$D, MATCH($F217 &amp; "|" &amp; $C217, 'Referensi Harga'!$F:$F, 0)),
       INDEX('Referensi Harga'!$E:$E, MATCH($F217 &amp; "|" &amp; $C217, 'Referensi Harga'!$F:$F, 0))
    ))
    + IFERROR(VLOOKUP($H217, 'Profile Size'!$A:$B, 2, FALSE), 0)
    + IFERROR(VLOOKUP($I217, 'Ketebalan Material'!$A:$B, 2, FALSE), 0), 0),
0)</f>
        <v>0</v>
      </c>
      <c r="P217" cm="1">
        <f t="array" ref="P217">IF($M217="PER-LUBANG",
  IFERROR(
     _xlfn.IFS(
        $G217="Hollow",
            INDEX('Referensi Harga'!$C:$C,
                  MATCH($F217&amp;$C217,'Referensi Harga'!$A:$A&amp;'Referensi Harga'!$B:$B,0)),
        $G217="Hollow Stainless",
            INDEX('Referensi Harga'!$D:$D,
                  MATCH($F217&amp;$C217,'Referensi Harga'!$A:$A&amp;'Referensi Harga'!$B:$B,0)),
        $G217="Pipa Stainless",
            INDEX('Referensi Harga'!$E:$E,
                  MATCH($F217&amp;$C217,'Referensi Harga'!$A:$A&amp;'Referensi Harga'!$B:$B,0))
     ),0)
  + IFERROR(VLOOKUP($H217,'Profile Size'!$A:$B,2,FALSE),0)
  + IFERROR(VLOOKUP($I217,'Ketebalan Material'!$A:$B,2,FALSE),0),
0)</f>
        <v>0</v>
      </c>
      <c r="Q217">
        <f>IF($M217="PER-M2",
    IFERROR(
        SUMIFS('Upah Tenaga Ahli'!$C:$C,
               'Upah Tenaga Ahli'!$A:$A,"PER-M2",
               'Upah Tenaga Ahli'!$B:$B,$G217
        ) * $J217 * $K217,
    0),
IF($M217="PER-LUBANG",
    IFERROR(
        SUMIFS('Upah Tenaga Ahli'!$D:$D,
               'Upah Tenaga Ahli'!$A:$A,"PER-LUBANG",
               'Upah Tenaga Ahli'!$B:$B,$G217
        ) * $L217 * $K217,
    0),
IF($M217="PER-M",
    IFERROR(
        SUMIFS('Upah Tenaga Ahli'!$E:$E,
               'Upah Tenaga Ahli'!$A:$A,"PER-M",
               'Upah Tenaga Ahli'!$B:$B,$G217
        ) * $J217 * $K217,
    0),
0)))</f>
        <v>2153000</v>
      </c>
      <c r="R217" t="s">
        <v>19</v>
      </c>
      <c r="S217" t="s">
        <v>24</v>
      </c>
      <c r="T217">
        <f>IF($M217="PER-M2",
   ($N217 * $J217 * $K217)
   + IFERROR(VLOOKUP($R217,Finishing!A:B,2,FALSE),0)
   + IFERROR(VLOOKUP($S217,Kerumitan!A:B,2,FALSE),0),
IF($M217="PER-LUBANG",
   ($P217 * $L217 * $K217)
   + IFERROR(VLOOKUP($R217,Finishing!A:B,2,FALSE),0)
   + IFERROR(VLOOKUP($S217,Kerumitan!A:B,2,FALSE),0),
IF($M217="PER-M",
   ($O217 * $J217 * $K217)
   + IFERROR(VLOOKUP($R217,Finishing!A:B,2,FALSE),0)
   + IFERROR(VLOOKUP($S217,Kerumitan!A:B,2,FALSE),0),
0)))</f>
        <v>13068000</v>
      </c>
    </row>
    <row r="218" spans="1:20" x14ac:dyDescent="0.45">
      <c r="A218" t="s">
        <v>314</v>
      </c>
      <c r="B218" s="5">
        <v>43625</v>
      </c>
      <c r="C218">
        <f t="shared" si="3"/>
        <v>2019</v>
      </c>
      <c r="D218" t="s">
        <v>71</v>
      </c>
      <c r="E218" t="s">
        <v>44</v>
      </c>
      <c r="F218" t="s">
        <v>8</v>
      </c>
      <c r="G218" t="s">
        <v>14</v>
      </c>
      <c r="H218" t="s">
        <v>612</v>
      </c>
      <c r="I218">
        <v>1.2</v>
      </c>
      <c r="J218">
        <v>0</v>
      </c>
      <c r="K218">
        <v>1</v>
      </c>
      <c r="L218">
        <v>15</v>
      </c>
      <c r="M218" t="str" cm="1">
        <f t="array" ref="M218">_xlfn.IFS(
   OR($F218="Pagar", $F218="Pintu Gerbang", $F218="Pintu Handerson", $F218="Kanopi"), "PER-M2",
   $F218="Teralis", "PER-LUBANG",
   OR($F218="Railing", $F218="Railing/Balkon"), "PER-M",
   TRUE, ""
)</f>
        <v>PER-LUBANG</v>
      </c>
      <c r="N218" cm="1">
        <f t="array" ref="N218">IF($M218="PER-M2",
  IFERROR(
     _xlfn.IFS(
        $G218="Hollow",
            INDEX('Referensi Harga'!$C:$C,
                  MATCH($F218&amp;$C218,'Referensi Harga'!$A:$A&amp;'Referensi Harga'!$B:$B,0)),
        $G218="Hollow Stainless",
            INDEX('Referensi Harga'!$D:$D,
                  MATCH($F218&amp;$C218,'Referensi Harga'!$A:$A&amp;'Referensi Harga'!$B:$B,0)),
        $G218="Pipa Stainless",
            INDEX('Referensi Harga'!$E:$E,
                  MATCH($F218&amp;$C218,'Referensi Harga'!$A:$A&amp;'Referensi Harga'!$B:$B,0))
     ),0)
  + IFERROR(VLOOKUP($H218,'Profile Size'!$A:$B,2,FALSE),0)
  + IFERROR(VLOOKUP($I218,'Ketebalan Material'!$A:$B,2,FALSE),0),
0)</f>
        <v>0</v>
      </c>
      <c r="O218">
        <f>IF($M218="PER-M",
  IFERROR(
    IF($G218="Hollow",
       INDEX('Referensi Harga'!$C:$C, MATCH($F218 &amp; "|" &amp; $C218, 'Referensi Harga'!$F:$F, 0)),
    IF($G218="Hollow Stainless",
       INDEX('Referensi Harga'!$D:$D, MATCH($F218 &amp; "|" &amp; $C218, 'Referensi Harga'!$F:$F, 0)),
       INDEX('Referensi Harga'!$E:$E, MATCH($F218 &amp; "|" &amp; $C218, 'Referensi Harga'!$F:$F, 0))
    ))
    + IFERROR(VLOOKUP($H218, 'Profile Size'!$A:$B, 2, FALSE), 0)
    + IFERROR(VLOOKUP($I218, 'Ketebalan Material'!$A:$B, 2, FALSE), 0), 0),
0)</f>
        <v>0</v>
      </c>
      <c r="P218" cm="1">
        <f t="array" ref="P218">IF($M218="PER-LUBANG",
  IFERROR(
     _xlfn.IFS(
        $G218="Hollow",
            INDEX('Referensi Harga'!$C:$C,
                  MATCH($F218&amp;$C218,'Referensi Harga'!$A:$A&amp;'Referensi Harga'!$B:$B,0)),
        $G218="Hollow Stainless",
            INDEX('Referensi Harga'!$D:$D,
                  MATCH($F218&amp;$C218,'Referensi Harga'!$A:$A&amp;'Referensi Harga'!$B:$B,0)),
        $G218="Pipa Stainless",
            INDEX('Referensi Harga'!$E:$E,
                  MATCH($F218&amp;$C218,'Referensi Harga'!$A:$A&amp;'Referensi Harga'!$B:$B,0))
     ),0)
  + IFERROR(VLOOKUP($H218,'Profile Size'!$A:$B,2,FALSE),0)
  + IFERROR(VLOOKUP($I218,'Ketebalan Material'!$A:$B,2,FALSE),0),
0)</f>
        <v>700000</v>
      </c>
      <c r="Q218">
        <f>IF($M218="PER-M2",
    IFERROR(
        SUMIFS('Upah Tenaga Ahli'!$C:$C,
               'Upah Tenaga Ahli'!$A:$A,"PER-M2",
               'Upah Tenaga Ahli'!$B:$B,$G218
        ) * $J218 * $K218,
    0),
IF($M218="PER-LUBANG",
    IFERROR(
        SUMIFS('Upah Tenaga Ahli'!$D:$D,
               'Upah Tenaga Ahli'!$A:$A,"PER-LUBANG",
               'Upah Tenaga Ahli'!$B:$B,$G218
        ) * $L218 * $K218,
    0),
IF($M218="PER-M",
    IFERROR(
        SUMIFS('Upah Tenaga Ahli'!$E:$E,
               'Upah Tenaga Ahli'!$A:$A,"PER-M",
               'Upah Tenaga Ahli'!$B:$B,$G218
        ) * $J218 * $K218,
    0),
0)))</f>
        <v>2250000</v>
      </c>
      <c r="R218" t="s">
        <v>617</v>
      </c>
      <c r="S218" t="s">
        <v>24</v>
      </c>
      <c r="T218">
        <f>IF($M218="PER-M2",
   ($N218 * $J218 * $K218)
   + IFERROR(VLOOKUP($R218,Finishing!A:B,2,FALSE),0)
   + IFERROR(VLOOKUP($S218,Kerumitan!A:B,2,FALSE),0),
IF($M218="PER-LUBANG",
   ($P218 * $L218 * $K218)
   + IFERROR(VLOOKUP($R218,Finishing!A:B,2,FALSE),0)
   + IFERROR(VLOOKUP($S218,Kerumitan!A:B,2,FALSE),0),
IF($M218="PER-M",
   ($O218 * $J218 * $K218)
   + IFERROR(VLOOKUP($R218,Finishing!A:B,2,FALSE),0)
   + IFERROR(VLOOKUP($S218,Kerumitan!A:B,2,FALSE),0),
0)))</f>
        <v>10600000</v>
      </c>
    </row>
    <row r="219" spans="1:20" x14ac:dyDescent="0.45">
      <c r="A219" t="s">
        <v>315</v>
      </c>
      <c r="B219" s="5">
        <v>45632</v>
      </c>
      <c r="C219">
        <f t="shared" si="3"/>
        <v>2024</v>
      </c>
      <c r="D219" t="s">
        <v>251</v>
      </c>
      <c r="E219" t="s">
        <v>91</v>
      </c>
      <c r="F219" t="s">
        <v>10</v>
      </c>
      <c r="G219" t="s">
        <v>13</v>
      </c>
      <c r="H219" t="s">
        <v>35</v>
      </c>
      <c r="I219">
        <v>1.2</v>
      </c>
      <c r="J219">
        <v>5.85</v>
      </c>
      <c r="K219">
        <v>2</v>
      </c>
      <c r="L219">
        <v>0</v>
      </c>
      <c r="M219" t="str" cm="1">
        <f t="array" ref="M219">_xlfn.IFS(
   OR($F219="Pagar", $F219="Pintu Gerbang", $F219="Pintu Handerson", $F219="Kanopi"), "PER-M2",
   $F219="Teralis", "PER-LUBANG",
   OR($F219="Railing", $F219="Railing/Balkon"), "PER-M",
   TRUE, ""
)</f>
        <v>PER-M2</v>
      </c>
      <c r="N219" cm="1">
        <f t="array" ref="N219">IF($M219="PER-M2",
  IFERROR(
     _xlfn.IFS(
        $G219="Hollow",
            INDEX('Referensi Harga'!$C:$C,
                  MATCH($F219&amp;$C219,'Referensi Harga'!$A:$A&amp;'Referensi Harga'!$B:$B,0)),
        $G219="Hollow Stainless",
            INDEX('Referensi Harga'!$D:$D,
                  MATCH($F219&amp;$C219,'Referensi Harga'!$A:$A&amp;'Referensi Harga'!$B:$B,0)),
        $G219="Pipa Stainless",
            INDEX('Referensi Harga'!$E:$E,
                  MATCH($F219&amp;$C219,'Referensi Harga'!$A:$A&amp;'Referensi Harga'!$B:$B,0))
     ),0)
  + IFERROR(VLOOKUP($H219,'Profile Size'!$A:$B,2,FALSE),0)
  + IFERROR(VLOOKUP($I219,'Ketebalan Material'!$A:$B,2,FALSE),0),
0)</f>
        <v>1100000</v>
      </c>
      <c r="O219">
        <f>IF($M219="PER-M",
  IFERROR(
    IF($G219="Hollow",
       INDEX('Referensi Harga'!$C:$C, MATCH($F219 &amp; "|" &amp; $C219, 'Referensi Harga'!$F:$F, 0)),
    IF($G219="Hollow Stainless",
       INDEX('Referensi Harga'!$D:$D, MATCH($F219 &amp; "|" &amp; $C219, 'Referensi Harga'!$F:$F, 0)),
       INDEX('Referensi Harga'!$E:$E, MATCH($F219 &amp; "|" &amp; $C219, 'Referensi Harga'!$F:$F, 0))
    ))
    + IFERROR(VLOOKUP($H219, 'Profile Size'!$A:$B, 2, FALSE), 0)
    + IFERROR(VLOOKUP($I219, 'Ketebalan Material'!$A:$B, 2, FALSE), 0), 0),
0)</f>
        <v>0</v>
      </c>
      <c r="P219" cm="1">
        <f t="array" ref="P219">IF($M219="PER-LUBANG",
  IFERROR(
     _xlfn.IFS(
        $G219="Hollow",
            INDEX('Referensi Harga'!$C:$C,
                  MATCH($F219&amp;$C219,'Referensi Harga'!$A:$A&amp;'Referensi Harga'!$B:$B,0)),
        $G219="Hollow Stainless",
            INDEX('Referensi Harga'!$D:$D,
                  MATCH($F219&amp;$C219,'Referensi Harga'!$A:$A&amp;'Referensi Harga'!$B:$B,0)),
        $G219="Pipa Stainless",
            INDEX('Referensi Harga'!$E:$E,
                  MATCH($F219&amp;$C219,'Referensi Harga'!$A:$A&amp;'Referensi Harga'!$B:$B,0))
     ),0)
  + IFERROR(VLOOKUP($H219,'Profile Size'!$A:$B,2,FALSE),0)
  + IFERROR(VLOOKUP($I219,'Ketebalan Material'!$A:$B,2,FALSE),0),
0)</f>
        <v>0</v>
      </c>
      <c r="Q219">
        <f>IF($M219="PER-M2",
    IFERROR(
        SUMIFS('Upah Tenaga Ahli'!$C:$C,
               'Upah Tenaga Ahli'!$A:$A,"PER-M2",
               'Upah Tenaga Ahli'!$B:$B,$G219
        ) * $J219 * $K219,
    0),
IF($M219="PER-LUBANG",
    IFERROR(
        SUMIFS('Upah Tenaga Ahli'!$D:$D,
               'Upah Tenaga Ahli'!$A:$A,"PER-LUBANG",
               'Upah Tenaga Ahli'!$B:$B,$G219
        ) * $L219 * $K219,
    0),
IF($M219="PER-M",
    IFERROR(
        SUMIFS('Upah Tenaga Ahli'!$E:$E,
               'Upah Tenaga Ahli'!$A:$A,"PER-M",
               'Upah Tenaga Ahli'!$B:$B,$G219
        ) * $J219 * $K219,
    0),
0)))</f>
        <v>1170000</v>
      </c>
      <c r="R219" t="s">
        <v>18</v>
      </c>
      <c r="S219" t="s">
        <v>24</v>
      </c>
      <c r="T219">
        <f>IF($M219="PER-M2",
   ($N219 * $J219 * $K219)
   + IFERROR(VLOOKUP($R219,Finishing!A:B,2,FALSE),0)
   + IFERROR(VLOOKUP($S219,Kerumitan!A:B,2,FALSE),0),
IF($M219="PER-LUBANG",
   ($P219 * $L219 * $K219)
   + IFERROR(VLOOKUP($R219,Finishing!A:B,2,FALSE),0)
   + IFERROR(VLOOKUP($S219,Kerumitan!A:B,2,FALSE),0),
IF($M219="PER-M",
   ($O219 * $J219 * $K219)
   + IFERROR(VLOOKUP($R219,Finishing!A:B,2,FALSE),0)
   + IFERROR(VLOOKUP($S219,Kerumitan!A:B,2,FALSE),0),
0)))</f>
        <v>12970000</v>
      </c>
    </row>
    <row r="220" spans="1:20" x14ac:dyDescent="0.45">
      <c r="A220" t="s">
        <v>316</v>
      </c>
      <c r="B220" s="5">
        <v>45520</v>
      </c>
      <c r="C220">
        <f t="shared" si="3"/>
        <v>2024</v>
      </c>
      <c r="D220" t="s">
        <v>126</v>
      </c>
      <c r="E220" t="s">
        <v>75</v>
      </c>
      <c r="F220" t="s">
        <v>10</v>
      </c>
      <c r="G220" t="s">
        <v>13</v>
      </c>
      <c r="H220" t="s">
        <v>46</v>
      </c>
      <c r="I220">
        <v>0.8</v>
      </c>
      <c r="J220">
        <v>4.2</v>
      </c>
      <c r="K220">
        <v>1</v>
      </c>
      <c r="L220">
        <v>0</v>
      </c>
      <c r="M220" t="str" cm="1">
        <f t="array" ref="M220">_xlfn.IFS(
   OR($F220="Pagar", $F220="Pintu Gerbang", $F220="Pintu Handerson", $F220="Kanopi"), "PER-M2",
   $F220="Teralis", "PER-LUBANG",
   OR($F220="Railing", $F220="Railing/Balkon"), "PER-M",
   TRUE, ""
)</f>
        <v>PER-M2</v>
      </c>
      <c r="N220" cm="1">
        <f t="array" ref="N220">IF($M220="PER-M2",
  IFERROR(
     _xlfn.IFS(
        $G220="Hollow",
            INDEX('Referensi Harga'!$C:$C,
                  MATCH($F220&amp;$C220,'Referensi Harga'!$A:$A&amp;'Referensi Harga'!$B:$B,0)),
        $G220="Hollow Stainless",
            INDEX('Referensi Harga'!$D:$D,
                  MATCH($F220&amp;$C220,'Referensi Harga'!$A:$A&amp;'Referensi Harga'!$B:$B,0)),
        $G220="Pipa Stainless",
            INDEX('Referensi Harga'!$E:$E,
                  MATCH($F220&amp;$C220,'Referensi Harga'!$A:$A&amp;'Referensi Harga'!$B:$B,0))
     ),0)
  + IFERROR(VLOOKUP($H220,'Profile Size'!$A:$B,2,FALSE),0)
  + IFERROR(VLOOKUP($I220,'Ketebalan Material'!$A:$B,2,FALSE),0),
0)</f>
        <v>950000</v>
      </c>
      <c r="O220">
        <f>IF($M220="PER-M",
  IFERROR(
    IF($G220="Hollow",
       INDEX('Referensi Harga'!$C:$C, MATCH($F220 &amp; "|" &amp; $C220, 'Referensi Harga'!$F:$F, 0)),
    IF($G220="Hollow Stainless",
       INDEX('Referensi Harga'!$D:$D, MATCH($F220 &amp; "|" &amp; $C220, 'Referensi Harga'!$F:$F, 0)),
       INDEX('Referensi Harga'!$E:$E, MATCH($F220 &amp; "|" &amp; $C220, 'Referensi Harga'!$F:$F, 0))
    ))
    + IFERROR(VLOOKUP($H220, 'Profile Size'!$A:$B, 2, FALSE), 0)
    + IFERROR(VLOOKUP($I220, 'Ketebalan Material'!$A:$B, 2, FALSE), 0), 0),
0)</f>
        <v>0</v>
      </c>
      <c r="P220" cm="1">
        <f t="array" ref="P220">IF($M220="PER-LUBANG",
  IFERROR(
     _xlfn.IFS(
        $G220="Hollow",
            INDEX('Referensi Harga'!$C:$C,
                  MATCH($F220&amp;$C220,'Referensi Harga'!$A:$A&amp;'Referensi Harga'!$B:$B,0)),
        $G220="Hollow Stainless",
            INDEX('Referensi Harga'!$D:$D,
                  MATCH($F220&amp;$C220,'Referensi Harga'!$A:$A&amp;'Referensi Harga'!$B:$B,0)),
        $G220="Pipa Stainless",
            INDEX('Referensi Harga'!$E:$E,
                  MATCH($F220&amp;$C220,'Referensi Harga'!$A:$A&amp;'Referensi Harga'!$B:$B,0))
     ),0)
  + IFERROR(VLOOKUP($H220,'Profile Size'!$A:$B,2,FALSE),0)
  + IFERROR(VLOOKUP($I220,'Ketebalan Material'!$A:$B,2,FALSE),0),
0)</f>
        <v>0</v>
      </c>
      <c r="Q220">
        <f>IF($M220="PER-M2",
    IFERROR(
        SUMIFS('Upah Tenaga Ahli'!$C:$C,
               'Upah Tenaga Ahli'!$A:$A,"PER-M2",
               'Upah Tenaga Ahli'!$B:$B,$G220
        ) * $J220 * $K220,
    0),
IF($M220="PER-LUBANG",
    IFERROR(
        SUMIFS('Upah Tenaga Ahli'!$D:$D,
               'Upah Tenaga Ahli'!$A:$A,"PER-LUBANG",
               'Upah Tenaga Ahli'!$B:$B,$G220
        ) * $L220 * $K220,
    0),
IF($M220="PER-M",
    IFERROR(
        SUMIFS('Upah Tenaga Ahli'!$E:$E,
               'Upah Tenaga Ahli'!$A:$A,"PER-M",
               'Upah Tenaga Ahli'!$B:$B,$G220
        ) * $J220 * $K220,
    0),
0)))</f>
        <v>420000</v>
      </c>
      <c r="R220" t="s">
        <v>19</v>
      </c>
      <c r="S220" t="s">
        <v>23</v>
      </c>
      <c r="T220">
        <f>IF($M220="PER-M2",
   ($N220 * $J220 * $K220)
   + IFERROR(VLOOKUP($R220,Finishing!A:B,2,FALSE),0)
   + IFERROR(VLOOKUP($S220,Kerumitan!A:B,2,FALSE),0),
IF($M220="PER-LUBANG",
   ($P220 * $L220 * $K220)
   + IFERROR(VLOOKUP($R220,Finishing!A:B,2,FALSE),0)
   + IFERROR(VLOOKUP($S220,Kerumitan!A:B,2,FALSE),0),
IF($M220="PER-M",
   ($O220 * $J220 * $K220)
   + IFERROR(VLOOKUP($R220,Finishing!A:B,2,FALSE),0)
   + IFERROR(VLOOKUP($S220,Kerumitan!A:B,2,FALSE),0),
0)))</f>
        <v>4040000</v>
      </c>
    </row>
    <row r="221" spans="1:20" x14ac:dyDescent="0.45">
      <c r="A221" t="s">
        <v>317</v>
      </c>
      <c r="B221" s="5">
        <v>45062</v>
      </c>
      <c r="C221">
        <f t="shared" si="3"/>
        <v>2023</v>
      </c>
      <c r="D221" t="s">
        <v>81</v>
      </c>
      <c r="E221" t="s">
        <v>87</v>
      </c>
      <c r="F221" t="s">
        <v>625</v>
      </c>
      <c r="G221" t="s">
        <v>14</v>
      </c>
      <c r="H221" t="s">
        <v>612</v>
      </c>
      <c r="I221">
        <v>1.2</v>
      </c>
      <c r="J221">
        <v>4.8499999999999996</v>
      </c>
      <c r="K221">
        <v>2</v>
      </c>
      <c r="L221">
        <v>0</v>
      </c>
      <c r="M221" t="str" cm="1">
        <f t="array" ref="M221">_xlfn.IFS(
   OR($F221="Pagar", $F221="Pintu Gerbang", $F221="Pintu Handerson", $F221="Kanopi"), "PER-M2",
   $F221="Teralis", "PER-LUBANG",
   OR($F221="Railing", $F221="Railing/Balkon"), "PER-M",
   TRUE, ""
)</f>
        <v>PER-M</v>
      </c>
      <c r="N221" cm="1">
        <f t="array" ref="N221">IF($M221="PER-M2",
  IFERROR(
     _xlfn.IFS(
        $G221="Hollow",
            INDEX('Referensi Harga'!$C:$C,
                  MATCH($F221&amp;$C221,'Referensi Harga'!$A:$A&amp;'Referensi Harga'!$B:$B,0)),
        $G221="Hollow Stainless",
            INDEX('Referensi Harga'!$D:$D,
                  MATCH($F221&amp;$C221,'Referensi Harga'!$A:$A&amp;'Referensi Harga'!$B:$B,0)),
        $G221="Pipa Stainless",
            INDEX('Referensi Harga'!$E:$E,
                  MATCH($F221&amp;$C221,'Referensi Harga'!$A:$A&amp;'Referensi Harga'!$B:$B,0))
     ),0)
  + IFERROR(VLOOKUP($H221,'Profile Size'!$A:$B,2,FALSE),0)
  + IFERROR(VLOOKUP($I221,'Ketebalan Material'!$A:$B,2,FALSE),0),
0)</f>
        <v>0</v>
      </c>
      <c r="O221">
        <f>IF($M221="PER-M",
  IFERROR(
    IF($G221="Hollow",
       INDEX('Referensi Harga'!$C:$C, MATCH($F221 &amp; "|" &amp; $C221, 'Referensi Harga'!$F:$F, 0)),
    IF($G221="Hollow Stainless",
       INDEX('Referensi Harga'!$D:$D, MATCH($F221 &amp; "|" &amp; $C221, 'Referensi Harga'!$F:$F, 0)),
       INDEX('Referensi Harga'!$E:$E, MATCH($F221 &amp; "|" &amp; $C221, 'Referensi Harga'!$F:$F, 0))
    ))
    + IFERROR(VLOOKUP($H221, 'Profile Size'!$A:$B, 2, FALSE), 0)
    + IFERROR(VLOOKUP($I221, 'Ketebalan Material'!$A:$B, 2, FALSE), 0), 0),
0)</f>
        <v>1050000</v>
      </c>
      <c r="P221" cm="1">
        <f t="array" ref="P221">IF($M221="PER-LUBANG",
  IFERROR(
     _xlfn.IFS(
        $G221="Hollow",
            INDEX('Referensi Harga'!$C:$C,
                  MATCH($F221&amp;$C221,'Referensi Harga'!$A:$A&amp;'Referensi Harga'!$B:$B,0)),
        $G221="Hollow Stainless",
            INDEX('Referensi Harga'!$D:$D,
                  MATCH($F221&amp;$C221,'Referensi Harga'!$A:$A&amp;'Referensi Harga'!$B:$B,0)),
        $G221="Pipa Stainless",
            INDEX('Referensi Harga'!$E:$E,
                  MATCH($F221&amp;$C221,'Referensi Harga'!$A:$A&amp;'Referensi Harga'!$B:$B,0))
     ),0)
  + IFERROR(VLOOKUP($H221,'Profile Size'!$A:$B,2,FALSE),0)
  + IFERROR(VLOOKUP($I221,'Ketebalan Material'!$A:$B,2,FALSE),0),
0)</f>
        <v>0</v>
      </c>
      <c r="Q221">
        <f>IF($M221="PER-M2",
    IFERROR(
        SUMIFS('Upah Tenaga Ahli'!$C:$C,
               'Upah Tenaga Ahli'!$A:$A,"PER-M2",
               'Upah Tenaga Ahli'!$B:$B,$G221
        ) * $J221 * $K221,
    0),
IF($M221="PER-LUBANG",
    IFERROR(
        SUMIFS('Upah Tenaga Ahli'!$D:$D,
               'Upah Tenaga Ahli'!$A:$A,"PER-LUBANG",
               'Upah Tenaga Ahli'!$B:$B,$G221
        ) * $L221 * $K221,
    0),
IF($M221="PER-M",
    IFERROR(
        SUMIFS('Upah Tenaga Ahli'!$E:$E,
               'Upah Tenaga Ahli'!$A:$A,"PER-M",
               'Upah Tenaga Ahli'!$B:$B,$G221
        ) * $J221 * $K221,
    0),
0)))</f>
        <v>1939999.9999999998</v>
      </c>
      <c r="R221" t="s">
        <v>617</v>
      </c>
      <c r="S221" t="s">
        <v>23</v>
      </c>
      <c r="T221">
        <f>IF($M221="PER-M2",
   ($N221 * $J221 * $K221)
   + IFERROR(VLOOKUP($R221,Finishing!A:B,2,FALSE),0)
   + IFERROR(VLOOKUP($S221,Kerumitan!A:B,2,FALSE),0),
IF($M221="PER-LUBANG",
   ($P221 * $L221 * $K221)
   + IFERROR(VLOOKUP($R221,Finishing!A:B,2,FALSE),0)
   + IFERROR(VLOOKUP($S221,Kerumitan!A:B,2,FALSE),0),
IF($M221="PER-M",
   ($O221 * $J221 * $K221)
   + IFERROR(VLOOKUP($R221,Finishing!A:B,2,FALSE),0)
   + IFERROR(VLOOKUP($S221,Kerumitan!A:B,2,FALSE),0),
0)))</f>
        <v>10185000</v>
      </c>
    </row>
    <row r="222" spans="1:20" x14ac:dyDescent="0.45">
      <c r="A222" t="s">
        <v>318</v>
      </c>
      <c r="B222" s="5">
        <v>45014</v>
      </c>
      <c r="C222">
        <f t="shared" si="3"/>
        <v>2023</v>
      </c>
      <c r="D222" t="s">
        <v>117</v>
      </c>
      <c r="E222" t="s">
        <v>105</v>
      </c>
      <c r="F222" t="s">
        <v>8</v>
      </c>
      <c r="G222" t="s">
        <v>13</v>
      </c>
      <c r="H222" t="s">
        <v>33</v>
      </c>
      <c r="I222">
        <v>0.8</v>
      </c>
      <c r="J222">
        <v>0</v>
      </c>
      <c r="K222">
        <v>1</v>
      </c>
      <c r="L222">
        <v>7</v>
      </c>
      <c r="M222" t="str" cm="1">
        <f t="array" ref="M222">_xlfn.IFS(
   OR($F222="Pagar", $F222="Pintu Gerbang", $F222="Pintu Handerson", $F222="Kanopi"), "PER-M2",
   $F222="Teralis", "PER-LUBANG",
   OR($F222="Railing", $F222="Railing/Balkon"), "PER-M",
   TRUE, ""
)</f>
        <v>PER-LUBANG</v>
      </c>
      <c r="N222" cm="1">
        <f t="array" ref="N222">IF($M222="PER-M2",
  IFERROR(
     _xlfn.IFS(
        $G222="Hollow",
            INDEX('Referensi Harga'!$C:$C,
                  MATCH($F222&amp;$C222,'Referensi Harga'!$A:$A&amp;'Referensi Harga'!$B:$B,0)),
        $G222="Hollow Stainless",
            INDEX('Referensi Harga'!$D:$D,
                  MATCH($F222&amp;$C222,'Referensi Harga'!$A:$A&amp;'Referensi Harga'!$B:$B,0)),
        $G222="Pipa Stainless",
            INDEX('Referensi Harga'!$E:$E,
                  MATCH($F222&amp;$C222,'Referensi Harga'!$A:$A&amp;'Referensi Harga'!$B:$B,0))
     ),0)
  + IFERROR(VLOOKUP($H222,'Profile Size'!$A:$B,2,FALSE),0)
  + IFERROR(VLOOKUP($I222,'Ketebalan Material'!$A:$B,2,FALSE),0),
0)</f>
        <v>0</v>
      </c>
      <c r="O222">
        <f>IF($M222="PER-M",
  IFERROR(
    IF($G222="Hollow",
       INDEX('Referensi Harga'!$C:$C, MATCH($F222 &amp; "|" &amp; $C222, 'Referensi Harga'!$F:$F, 0)),
    IF($G222="Hollow Stainless",
       INDEX('Referensi Harga'!$D:$D, MATCH($F222 &amp; "|" &amp; $C222, 'Referensi Harga'!$F:$F, 0)),
       INDEX('Referensi Harga'!$E:$E, MATCH($F222 &amp; "|" &amp; $C222, 'Referensi Harga'!$F:$F, 0))
    ))
    + IFERROR(VLOOKUP($H222, 'Profile Size'!$A:$B, 2, FALSE), 0)
    + IFERROR(VLOOKUP($I222, 'Ketebalan Material'!$A:$B, 2, FALSE), 0), 0),
0)</f>
        <v>0</v>
      </c>
      <c r="P222" cm="1">
        <f t="array" ref="P222">IF($M222="PER-LUBANG",
  IFERROR(
     _xlfn.IFS(
        $G222="Hollow",
            INDEX('Referensi Harga'!$C:$C,
                  MATCH($F222&amp;$C222,'Referensi Harga'!$A:$A&amp;'Referensi Harga'!$B:$B,0)),
        $G222="Hollow Stainless",
            INDEX('Referensi Harga'!$D:$D,
                  MATCH($F222&amp;$C222,'Referensi Harga'!$A:$A&amp;'Referensi Harga'!$B:$B,0)),
        $G222="Pipa Stainless",
            INDEX('Referensi Harga'!$E:$E,
                  MATCH($F222&amp;$C222,'Referensi Harga'!$A:$A&amp;'Referensi Harga'!$B:$B,0))
     ),0)
  + IFERROR(VLOOKUP($H222,'Profile Size'!$A:$B,2,FALSE),0)
  + IFERROR(VLOOKUP($I222,'Ketebalan Material'!$A:$B,2,FALSE),0),
0)</f>
        <v>350000</v>
      </c>
      <c r="Q222">
        <f>IF($M222="PER-M2",
    IFERROR(
        SUMIFS('Upah Tenaga Ahli'!$C:$C,
               'Upah Tenaga Ahli'!$A:$A,"PER-M2",
               'Upah Tenaga Ahli'!$B:$B,$G222
        ) * $J222 * $K222,
    0),
IF($M222="PER-LUBANG",
    IFERROR(
        SUMIFS('Upah Tenaga Ahli'!$D:$D,
               'Upah Tenaga Ahli'!$A:$A,"PER-LUBANG",
               'Upah Tenaga Ahli'!$B:$B,$G222
        ) * $L222 * $K222,
    0),
IF($M222="PER-M",
    IFERROR(
        SUMIFS('Upah Tenaga Ahli'!$E:$E,
               'Upah Tenaga Ahli'!$A:$A,"PER-M",
               'Upah Tenaga Ahli'!$B:$B,$G222
        ) * $J222 * $K222,
    0),
0)))</f>
        <v>525000</v>
      </c>
      <c r="R222" t="s">
        <v>18</v>
      </c>
      <c r="S222" t="s">
        <v>23</v>
      </c>
      <c r="T222">
        <f>IF($M222="PER-M2",
   ($N222 * $J222 * $K222)
   + IFERROR(VLOOKUP($R222,Finishing!A:B,2,FALSE),0)
   + IFERROR(VLOOKUP($S222,Kerumitan!A:B,2,FALSE),0),
IF($M222="PER-LUBANG",
   ($P222 * $L222 * $K222)
   + IFERROR(VLOOKUP($R222,Finishing!A:B,2,FALSE),0)
   + IFERROR(VLOOKUP($S222,Kerumitan!A:B,2,FALSE),0),
IF($M222="PER-M",
   ($O222 * $J222 * $K222)
   + IFERROR(VLOOKUP($R222,Finishing!A:B,2,FALSE),0)
   + IFERROR(VLOOKUP($S222,Kerumitan!A:B,2,FALSE),0),
0)))</f>
        <v>2450000</v>
      </c>
    </row>
    <row r="223" spans="1:20" x14ac:dyDescent="0.45">
      <c r="A223" t="s">
        <v>319</v>
      </c>
      <c r="B223" s="5">
        <v>44391</v>
      </c>
      <c r="C223">
        <f t="shared" si="3"/>
        <v>2021</v>
      </c>
      <c r="D223" t="s">
        <v>179</v>
      </c>
      <c r="E223" t="s">
        <v>121</v>
      </c>
      <c r="F223" t="s">
        <v>6</v>
      </c>
      <c r="G223" t="s">
        <v>15</v>
      </c>
      <c r="H223" t="s">
        <v>33</v>
      </c>
      <c r="I223">
        <v>1.2</v>
      </c>
      <c r="J223">
        <v>16.3</v>
      </c>
      <c r="K223">
        <v>2</v>
      </c>
      <c r="L223">
        <v>0</v>
      </c>
      <c r="M223" t="str" cm="1">
        <f t="array" ref="M223">_xlfn.IFS(
   OR($F223="Pagar", $F223="Pintu Gerbang", $F223="Pintu Handerson", $F223="Kanopi"), "PER-M2",
   $F223="Teralis", "PER-LUBANG",
   OR($F223="Railing", $F223="Railing/Balkon"), "PER-M",
   TRUE, ""
)</f>
        <v>PER-M2</v>
      </c>
      <c r="N223" cm="1">
        <f t="array" ref="N223">IF($M223="PER-M2",
  IFERROR(
     _xlfn.IFS(
        $G223="Hollow",
            INDEX('Referensi Harga'!$C:$C,
                  MATCH($F223&amp;$C223,'Referensi Harga'!$A:$A&amp;'Referensi Harga'!$B:$B,0)),
        $G223="Hollow Stainless",
            INDEX('Referensi Harga'!$D:$D,
                  MATCH($F223&amp;$C223,'Referensi Harga'!$A:$A&amp;'Referensi Harga'!$B:$B,0)),
        $G223="Pipa Stainless",
            INDEX('Referensi Harga'!$E:$E,
                  MATCH($F223&amp;$C223,'Referensi Harga'!$A:$A&amp;'Referensi Harga'!$B:$B,0))
     ),0)
  + IFERROR(VLOOKUP($H223,'Profile Size'!$A:$B,2,FALSE),0)
  + IFERROR(VLOOKUP($I223,'Ketebalan Material'!$A:$B,2,FALSE),0),
0)</f>
        <v>850000</v>
      </c>
      <c r="O223">
        <f>IF($M223="PER-M",
  IFERROR(
    IF($G223="Hollow",
       INDEX('Referensi Harga'!$C:$C, MATCH($F223 &amp; "|" &amp; $C223, 'Referensi Harga'!$F:$F, 0)),
    IF($G223="Hollow Stainless",
       INDEX('Referensi Harga'!$D:$D, MATCH($F223 &amp; "|" &amp; $C223, 'Referensi Harga'!$F:$F, 0)),
       INDEX('Referensi Harga'!$E:$E, MATCH($F223 &amp; "|" &amp; $C223, 'Referensi Harga'!$F:$F, 0))
    ))
    + IFERROR(VLOOKUP($H223, 'Profile Size'!$A:$B, 2, FALSE), 0)
    + IFERROR(VLOOKUP($I223, 'Ketebalan Material'!$A:$B, 2, FALSE), 0), 0),
0)</f>
        <v>0</v>
      </c>
      <c r="P223" cm="1">
        <f t="array" ref="P223">IF($M223="PER-LUBANG",
  IFERROR(
     _xlfn.IFS(
        $G223="Hollow",
            INDEX('Referensi Harga'!$C:$C,
                  MATCH($F223&amp;$C223,'Referensi Harga'!$A:$A&amp;'Referensi Harga'!$B:$B,0)),
        $G223="Hollow Stainless",
            INDEX('Referensi Harga'!$D:$D,
                  MATCH($F223&amp;$C223,'Referensi Harga'!$A:$A&amp;'Referensi Harga'!$B:$B,0)),
        $G223="Pipa Stainless",
            INDEX('Referensi Harga'!$E:$E,
                  MATCH($F223&amp;$C223,'Referensi Harga'!$A:$A&amp;'Referensi Harga'!$B:$B,0))
     ),0)
  + IFERROR(VLOOKUP($H223,'Profile Size'!$A:$B,2,FALSE),0)
  + IFERROR(VLOOKUP($I223,'Ketebalan Material'!$A:$B,2,FALSE),0),
0)</f>
        <v>0</v>
      </c>
      <c r="Q223">
        <f>IF($M223="PER-M2",
    IFERROR(
        SUMIFS('Upah Tenaga Ahli'!$C:$C,
               'Upah Tenaga Ahli'!$A:$A,"PER-M2",
               'Upah Tenaga Ahli'!$B:$B,$G223
        ) * $J223 * $K223,
    0),
IF($M223="PER-LUBANG",
    IFERROR(
        SUMIFS('Upah Tenaga Ahli'!$D:$D,
               'Upah Tenaga Ahli'!$A:$A,"PER-LUBANG",
               'Upah Tenaga Ahli'!$B:$B,$G223
        ) * $L223 * $K223,
    0),
IF($M223="PER-M",
    IFERROR(
        SUMIFS('Upah Tenaga Ahli'!$E:$E,
               'Upah Tenaga Ahli'!$A:$A,"PER-M",
               'Upah Tenaga Ahli'!$B:$B,$G223
        ) * $J223 * $K223,
    0),
0)))</f>
        <v>4890000</v>
      </c>
      <c r="R223" t="s">
        <v>617</v>
      </c>
      <c r="S223" t="s">
        <v>23</v>
      </c>
      <c r="T223">
        <f>IF($M223="PER-M2",
   ($N223 * $J223 * $K223)
   + IFERROR(VLOOKUP($R223,Finishing!A:B,2,FALSE),0)
   + IFERROR(VLOOKUP($S223,Kerumitan!A:B,2,FALSE),0),
IF($M223="PER-LUBANG",
   ($P223 * $L223 * $K223)
   + IFERROR(VLOOKUP($R223,Finishing!A:B,2,FALSE),0)
   + IFERROR(VLOOKUP($S223,Kerumitan!A:B,2,FALSE),0),
IF($M223="PER-M",
   ($O223 * $J223 * $K223)
   + IFERROR(VLOOKUP($R223,Finishing!A:B,2,FALSE),0)
   + IFERROR(VLOOKUP($S223,Kerumitan!A:B,2,FALSE),0),
0)))</f>
        <v>27710000</v>
      </c>
    </row>
    <row r="224" spans="1:20" x14ac:dyDescent="0.45">
      <c r="A224" t="s">
        <v>320</v>
      </c>
      <c r="B224" s="5">
        <v>44406</v>
      </c>
      <c r="C224">
        <f t="shared" si="3"/>
        <v>2021</v>
      </c>
      <c r="D224" t="s">
        <v>163</v>
      </c>
      <c r="E224" t="s">
        <v>75</v>
      </c>
      <c r="F224" t="s">
        <v>7</v>
      </c>
      <c r="G224" t="s">
        <v>14</v>
      </c>
      <c r="H224" t="s">
        <v>615</v>
      </c>
      <c r="I224">
        <v>1.2</v>
      </c>
      <c r="J224">
        <v>6.69</v>
      </c>
      <c r="K224">
        <v>1</v>
      </c>
      <c r="L224">
        <v>0</v>
      </c>
      <c r="M224" t="str" cm="1">
        <f t="array" ref="M224">_xlfn.IFS(
   OR($F224="Pagar", $F224="Pintu Gerbang", $F224="Pintu Handerson", $F224="Kanopi"), "PER-M2",
   $F224="Teralis", "PER-LUBANG",
   OR($F224="Railing", $F224="Railing/Balkon"), "PER-M",
   TRUE, ""
)</f>
        <v>PER-M2</v>
      </c>
      <c r="N224" cm="1">
        <f t="array" ref="N224">IF($M224="PER-M2",
  IFERROR(
     _xlfn.IFS(
        $G224="Hollow",
            INDEX('Referensi Harga'!$C:$C,
                  MATCH($F224&amp;$C224,'Referensi Harga'!$A:$A&amp;'Referensi Harga'!$B:$B,0)),
        $G224="Hollow Stainless",
            INDEX('Referensi Harga'!$D:$D,
                  MATCH($F224&amp;$C224,'Referensi Harga'!$A:$A&amp;'Referensi Harga'!$B:$B,0)),
        $G224="Pipa Stainless",
            INDEX('Referensi Harga'!$E:$E,
                  MATCH($F224&amp;$C224,'Referensi Harga'!$A:$A&amp;'Referensi Harga'!$B:$B,0))
     ),0)
  + IFERROR(VLOOKUP($H224,'Profile Size'!$A:$B,2,FALSE),0)
  + IFERROR(VLOOKUP($I224,'Ketebalan Material'!$A:$B,2,FALSE),0),
0)</f>
        <v>1250000</v>
      </c>
      <c r="O224">
        <f>IF($M224="PER-M",
  IFERROR(
    IF($G224="Hollow",
       INDEX('Referensi Harga'!$C:$C, MATCH($F224 &amp; "|" &amp; $C224, 'Referensi Harga'!$F:$F, 0)),
    IF($G224="Hollow Stainless",
       INDEX('Referensi Harga'!$D:$D, MATCH($F224 &amp; "|" &amp; $C224, 'Referensi Harga'!$F:$F, 0)),
       INDEX('Referensi Harga'!$E:$E, MATCH($F224 &amp; "|" &amp; $C224, 'Referensi Harga'!$F:$F, 0))
    ))
    + IFERROR(VLOOKUP($H224, 'Profile Size'!$A:$B, 2, FALSE), 0)
    + IFERROR(VLOOKUP($I224, 'Ketebalan Material'!$A:$B, 2, FALSE), 0), 0),
0)</f>
        <v>0</v>
      </c>
      <c r="P224" cm="1">
        <f t="array" ref="P224">IF($M224="PER-LUBANG",
  IFERROR(
     _xlfn.IFS(
        $G224="Hollow",
            INDEX('Referensi Harga'!$C:$C,
                  MATCH($F224&amp;$C224,'Referensi Harga'!$A:$A&amp;'Referensi Harga'!$B:$B,0)),
        $G224="Hollow Stainless",
            INDEX('Referensi Harga'!$D:$D,
                  MATCH($F224&amp;$C224,'Referensi Harga'!$A:$A&amp;'Referensi Harga'!$B:$B,0)),
        $G224="Pipa Stainless",
            INDEX('Referensi Harga'!$E:$E,
                  MATCH($F224&amp;$C224,'Referensi Harga'!$A:$A&amp;'Referensi Harga'!$B:$B,0))
     ),0)
  + IFERROR(VLOOKUP($H224,'Profile Size'!$A:$B,2,FALSE),0)
  + IFERROR(VLOOKUP($I224,'Ketebalan Material'!$A:$B,2,FALSE),0),
0)</f>
        <v>0</v>
      </c>
      <c r="Q224">
        <f>IF($M224="PER-M2",
    IFERROR(
        SUMIFS('Upah Tenaga Ahli'!$C:$C,
               'Upah Tenaga Ahli'!$A:$A,"PER-M2",
               'Upah Tenaga Ahli'!$B:$B,$G224
        ) * $J224 * $K224,
    0),
IF($M224="PER-LUBANG",
    IFERROR(
        SUMIFS('Upah Tenaga Ahli'!$D:$D,
               'Upah Tenaga Ahli'!$A:$A,"PER-LUBANG",
               'Upah Tenaga Ahli'!$B:$B,$G224
        ) * $L224 * $K224,
    0),
IF($M224="PER-M",
    IFERROR(
        SUMIFS('Upah Tenaga Ahli'!$E:$E,
               'Upah Tenaga Ahli'!$A:$A,"PER-M",
               'Upah Tenaga Ahli'!$B:$B,$G224
        ) * $J224 * $K224,
    0),
0)))</f>
        <v>1338000</v>
      </c>
      <c r="R224" t="s">
        <v>617</v>
      </c>
      <c r="S224" t="s">
        <v>24</v>
      </c>
      <c r="T224">
        <f>IF($M224="PER-M2",
   ($N224 * $J224 * $K224)
   + IFERROR(VLOOKUP($R224,Finishing!A:B,2,FALSE),0)
   + IFERROR(VLOOKUP($S224,Kerumitan!A:B,2,FALSE),0),
IF($M224="PER-LUBANG",
   ($P224 * $L224 * $K224)
   + IFERROR(VLOOKUP($R224,Finishing!A:B,2,FALSE),0)
   + IFERROR(VLOOKUP($S224,Kerumitan!A:B,2,FALSE),0),
IF($M224="PER-M",
   ($O224 * $J224 * $K224)
   + IFERROR(VLOOKUP($R224,Finishing!A:B,2,FALSE),0)
   + IFERROR(VLOOKUP($S224,Kerumitan!A:B,2,FALSE),0),
0)))</f>
        <v>8462500</v>
      </c>
    </row>
    <row r="225" spans="1:20" x14ac:dyDescent="0.45">
      <c r="A225" t="s">
        <v>321</v>
      </c>
      <c r="B225" s="5">
        <v>45149</v>
      </c>
      <c r="C225">
        <f t="shared" si="3"/>
        <v>2023</v>
      </c>
      <c r="D225" t="s">
        <v>112</v>
      </c>
      <c r="E225" t="s">
        <v>57</v>
      </c>
      <c r="F225" t="s">
        <v>6</v>
      </c>
      <c r="G225" t="s">
        <v>13</v>
      </c>
      <c r="H225" t="s">
        <v>46</v>
      </c>
      <c r="I225">
        <v>1.2</v>
      </c>
      <c r="J225">
        <v>7.58</v>
      </c>
      <c r="K225">
        <v>2</v>
      </c>
      <c r="L225">
        <v>0</v>
      </c>
      <c r="M225" t="str" cm="1">
        <f t="array" ref="M225">_xlfn.IFS(
   OR($F225="Pagar", $F225="Pintu Gerbang", $F225="Pintu Handerson", $F225="Kanopi"), "PER-M2",
   $F225="Teralis", "PER-LUBANG",
   OR($F225="Railing", $F225="Railing/Balkon"), "PER-M",
   TRUE, ""
)</f>
        <v>PER-M2</v>
      </c>
      <c r="N225" cm="1">
        <f t="array" ref="N225">IF($M225="PER-M2",
  IFERROR(
     _xlfn.IFS(
        $G225="Hollow",
            INDEX('Referensi Harga'!$C:$C,
                  MATCH($F225&amp;$C225,'Referensi Harga'!$A:$A&amp;'Referensi Harga'!$B:$B,0)),
        $G225="Hollow Stainless",
            INDEX('Referensi Harga'!$D:$D,
                  MATCH($F225&amp;$C225,'Referensi Harga'!$A:$A&amp;'Referensi Harga'!$B:$B,0)),
        $G225="Pipa Stainless",
            INDEX('Referensi Harga'!$E:$E,
                  MATCH($F225&amp;$C225,'Referensi Harga'!$A:$A&amp;'Referensi Harga'!$B:$B,0))
     ),0)
  + IFERROR(VLOOKUP($H225,'Profile Size'!$A:$B,2,FALSE),0)
  + IFERROR(VLOOKUP($I225,'Ketebalan Material'!$A:$B,2,FALSE),0),
0)</f>
        <v>570000</v>
      </c>
      <c r="O225">
        <f>IF($M225="PER-M",
  IFERROR(
    IF($G225="Hollow",
       INDEX('Referensi Harga'!$C:$C, MATCH($F225 &amp; "|" &amp; $C225, 'Referensi Harga'!$F:$F, 0)),
    IF($G225="Hollow Stainless",
       INDEX('Referensi Harga'!$D:$D, MATCH($F225 &amp; "|" &amp; $C225, 'Referensi Harga'!$F:$F, 0)),
       INDEX('Referensi Harga'!$E:$E, MATCH($F225 &amp; "|" &amp; $C225, 'Referensi Harga'!$F:$F, 0))
    ))
    + IFERROR(VLOOKUP($H225, 'Profile Size'!$A:$B, 2, FALSE), 0)
    + IFERROR(VLOOKUP($I225, 'Ketebalan Material'!$A:$B, 2, FALSE), 0), 0),
0)</f>
        <v>0</v>
      </c>
      <c r="P225" cm="1">
        <f t="array" ref="P225">IF($M225="PER-LUBANG",
  IFERROR(
     _xlfn.IFS(
        $G225="Hollow",
            INDEX('Referensi Harga'!$C:$C,
                  MATCH($F225&amp;$C225,'Referensi Harga'!$A:$A&amp;'Referensi Harga'!$B:$B,0)),
        $G225="Hollow Stainless",
            INDEX('Referensi Harga'!$D:$D,
                  MATCH($F225&amp;$C225,'Referensi Harga'!$A:$A&amp;'Referensi Harga'!$B:$B,0)),
        $G225="Pipa Stainless",
            INDEX('Referensi Harga'!$E:$E,
                  MATCH($F225&amp;$C225,'Referensi Harga'!$A:$A&amp;'Referensi Harga'!$B:$B,0))
     ),0)
  + IFERROR(VLOOKUP($H225,'Profile Size'!$A:$B,2,FALSE),0)
  + IFERROR(VLOOKUP($I225,'Ketebalan Material'!$A:$B,2,FALSE),0),
0)</f>
        <v>0</v>
      </c>
      <c r="Q225">
        <f>IF($M225="PER-M2",
    IFERROR(
        SUMIFS('Upah Tenaga Ahli'!$C:$C,
               'Upah Tenaga Ahli'!$A:$A,"PER-M2",
               'Upah Tenaga Ahli'!$B:$B,$G225
        ) * $J225 * $K225,
    0),
IF($M225="PER-LUBANG",
    IFERROR(
        SUMIFS('Upah Tenaga Ahli'!$D:$D,
               'Upah Tenaga Ahli'!$A:$A,"PER-LUBANG",
               'Upah Tenaga Ahli'!$B:$B,$G225
        ) * $L225 * $K225,
    0),
IF($M225="PER-M",
    IFERROR(
        SUMIFS('Upah Tenaga Ahli'!$E:$E,
               'Upah Tenaga Ahli'!$A:$A,"PER-M",
               'Upah Tenaga Ahli'!$B:$B,$G225
        ) * $J225 * $K225,
    0),
0)))</f>
        <v>1516000</v>
      </c>
      <c r="R225" t="s">
        <v>19</v>
      </c>
      <c r="S225" t="s">
        <v>24</v>
      </c>
      <c r="T225">
        <f>IF($M225="PER-M2",
   ($N225 * $J225 * $K225)
   + IFERROR(VLOOKUP($R225,Finishing!A:B,2,FALSE),0)
   + IFERROR(VLOOKUP($S225,Kerumitan!A:B,2,FALSE),0),
IF($M225="PER-LUBANG",
   ($P225 * $L225 * $K225)
   + IFERROR(VLOOKUP($R225,Finishing!A:B,2,FALSE),0)
   + IFERROR(VLOOKUP($S225,Kerumitan!A:B,2,FALSE),0),
IF($M225="PER-M",
   ($O225 * $J225 * $K225)
   + IFERROR(VLOOKUP($R225,Finishing!A:B,2,FALSE),0)
   + IFERROR(VLOOKUP($S225,Kerumitan!A:B,2,FALSE),0),
0)))</f>
        <v>8791200</v>
      </c>
    </row>
    <row r="226" spans="1:20" x14ac:dyDescent="0.45">
      <c r="A226" t="s">
        <v>322</v>
      </c>
      <c r="B226" s="5">
        <v>43871</v>
      </c>
      <c r="C226">
        <f t="shared" si="3"/>
        <v>2020</v>
      </c>
      <c r="D226" t="s">
        <v>73</v>
      </c>
      <c r="E226" t="s">
        <v>41</v>
      </c>
      <c r="F226" t="s">
        <v>7</v>
      </c>
      <c r="G226" t="s">
        <v>13</v>
      </c>
      <c r="H226" t="s">
        <v>46</v>
      </c>
      <c r="I226">
        <v>1.2</v>
      </c>
      <c r="J226">
        <v>12.32</v>
      </c>
      <c r="K226">
        <v>1</v>
      </c>
      <c r="L226">
        <v>0</v>
      </c>
      <c r="M226" t="str" cm="1">
        <f t="array" ref="M226">_xlfn.IFS(
   OR($F226="Pagar", $F226="Pintu Gerbang", $F226="Pintu Handerson", $F226="Kanopi"), "PER-M2",
   $F226="Teralis", "PER-LUBANG",
   OR($F226="Railing", $F226="Railing/Balkon"), "PER-M",
   TRUE, ""
)</f>
        <v>PER-M2</v>
      </c>
      <c r="N226" cm="1">
        <f t="array" ref="N226">IF($M226="PER-M2",
  IFERROR(
     _xlfn.IFS(
        $G226="Hollow",
            INDEX('Referensi Harga'!$C:$C,
                  MATCH($F226&amp;$C226,'Referensi Harga'!$A:$A&amp;'Referensi Harga'!$B:$B,0)),
        $G226="Hollow Stainless",
            INDEX('Referensi Harga'!$D:$D,
                  MATCH($F226&amp;$C226,'Referensi Harga'!$A:$A&amp;'Referensi Harga'!$B:$B,0)),
        $G226="Pipa Stainless",
            INDEX('Referensi Harga'!$E:$E,
                  MATCH($F226&amp;$C226,'Referensi Harga'!$A:$A&amp;'Referensi Harga'!$B:$B,0))
     ),0)
  + IFERROR(VLOOKUP($H226,'Profile Size'!$A:$B,2,FALSE),0)
  + IFERROR(VLOOKUP($I226,'Ketebalan Material'!$A:$B,2,FALSE),0),
0)</f>
        <v>750000</v>
      </c>
      <c r="O226">
        <f>IF($M226="PER-M",
  IFERROR(
    IF($G226="Hollow",
       INDEX('Referensi Harga'!$C:$C, MATCH($F226 &amp; "|" &amp; $C226, 'Referensi Harga'!$F:$F, 0)),
    IF($G226="Hollow Stainless",
       INDEX('Referensi Harga'!$D:$D, MATCH($F226 &amp; "|" &amp; $C226, 'Referensi Harga'!$F:$F, 0)),
       INDEX('Referensi Harga'!$E:$E, MATCH($F226 &amp; "|" &amp; $C226, 'Referensi Harga'!$F:$F, 0))
    ))
    + IFERROR(VLOOKUP($H226, 'Profile Size'!$A:$B, 2, FALSE), 0)
    + IFERROR(VLOOKUP($I226, 'Ketebalan Material'!$A:$B, 2, FALSE), 0), 0),
0)</f>
        <v>0</v>
      </c>
      <c r="P226" cm="1">
        <f t="array" ref="P226">IF($M226="PER-LUBANG",
  IFERROR(
     _xlfn.IFS(
        $G226="Hollow",
            INDEX('Referensi Harga'!$C:$C,
                  MATCH($F226&amp;$C226,'Referensi Harga'!$A:$A&amp;'Referensi Harga'!$B:$B,0)),
        $G226="Hollow Stainless",
            INDEX('Referensi Harga'!$D:$D,
                  MATCH($F226&amp;$C226,'Referensi Harga'!$A:$A&amp;'Referensi Harga'!$B:$B,0)),
        $G226="Pipa Stainless",
            INDEX('Referensi Harga'!$E:$E,
                  MATCH($F226&amp;$C226,'Referensi Harga'!$A:$A&amp;'Referensi Harga'!$B:$B,0))
     ),0)
  + IFERROR(VLOOKUP($H226,'Profile Size'!$A:$B,2,FALSE),0)
  + IFERROR(VLOOKUP($I226,'Ketebalan Material'!$A:$B,2,FALSE),0),
0)</f>
        <v>0</v>
      </c>
      <c r="Q226">
        <f>IF($M226="PER-M2",
    IFERROR(
        SUMIFS('Upah Tenaga Ahli'!$C:$C,
               'Upah Tenaga Ahli'!$A:$A,"PER-M2",
               'Upah Tenaga Ahli'!$B:$B,$G226
        ) * $J226 * $K226,
    0),
IF($M226="PER-LUBANG",
    IFERROR(
        SUMIFS('Upah Tenaga Ahli'!$D:$D,
               'Upah Tenaga Ahli'!$A:$A,"PER-LUBANG",
               'Upah Tenaga Ahli'!$B:$B,$G226
        ) * $L226 * $K226,
    0),
IF($M226="PER-M",
    IFERROR(
        SUMIFS('Upah Tenaga Ahli'!$E:$E,
               'Upah Tenaga Ahli'!$A:$A,"PER-M",
               'Upah Tenaga Ahli'!$B:$B,$G226
        ) * $J226 * $K226,
    0),
0)))</f>
        <v>1232000</v>
      </c>
      <c r="R226" t="s">
        <v>18</v>
      </c>
      <c r="S226" t="s">
        <v>24</v>
      </c>
      <c r="T226">
        <f>IF($M226="PER-M2",
   ($N226 * $J226 * $K226)
   + IFERROR(VLOOKUP($R226,Finishing!A:B,2,FALSE),0)
   + IFERROR(VLOOKUP($S226,Kerumitan!A:B,2,FALSE),0),
IF($M226="PER-LUBANG",
   ($P226 * $L226 * $K226)
   + IFERROR(VLOOKUP($R226,Finishing!A:B,2,FALSE),0)
   + IFERROR(VLOOKUP($S226,Kerumitan!A:B,2,FALSE),0),
IF($M226="PER-M",
   ($O226 * $J226 * $K226)
   + IFERROR(VLOOKUP($R226,Finishing!A:B,2,FALSE),0)
   + IFERROR(VLOOKUP($S226,Kerumitan!A:B,2,FALSE),0),
0)))</f>
        <v>9340000</v>
      </c>
    </row>
    <row r="227" spans="1:20" x14ac:dyDescent="0.45">
      <c r="A227" t="s">
        <v>323</v>
      </c>
      <c r="B227" s="5">
        <v>44129</v>
      </c>
      <c r="C227">
        <f t="shared" si="3"/>
        <v>2020</v>
      </c>
      <c r="D227" t="s">
        <v>27</v>
      </c>
      <c r="E227" t="s">
        <v>38</v>
      </c>
      <c r="F227" t="s">
        <v>10</v>
      </c>
      <c r="G227" t="s">
        <v>13</v>
      </c>
      <c r="H227" t="s">
        <v>33</v>
      </c>
      <c r="I227">
        <v>1.2</v>
      </c>
      <c r="J227">
        <v>3.06</v>
      </c>
      <c r="K227">
        <v>2</v>
      </c>
      <c r="L227">
        <v>0</v>
      </c>
      <c r="M227" t="str" cm="1">
        <f t="array" ref="M227">_xlfn.IFS(
   OR($F227="Pagar", $F227="Pintu Gerbang", $F227="Pintu Handerson", $F227="Kanopi"), "PER-M2",
   $F227="Teralis", "PER-LUBANG",
   OR($F227="Railing", $F227="Railing/Balkon"), "PER-M",
   TRUE, ""
)</f>
        <v>PER-M2</v>
      </c>
      <c r="N227" cm="1">
        <f t="array" ref="N227">IF($M227="PER-M2",
  IFERROR(
     _xlfn.IFS(
        $G227="Hollow",
            INDEX('Referensi Harga'!$C:$C,
                  MATCH($F227&amp;$C227,'Referensi Harga'!$A:$A&amp;'Referensi Harga'!$B:$B,0)),
        $G227="Hollow Stainless",
            INDEX('Referensi Harga'!$D:$D,
                  MATCH($F227&amp;$C227,'Referensi Harga'!$A:$A&amp;'Referensi Harga'!$B:$B,0)),
        $G227="Pipa Stainless",
            INDEX('Referensi Harga'!$E:$E,
                  MATCH($F227&amp;$C227,'Referensi Harga'!$A:$A&amp;'Referensi Harga'!$B:$B,0))
     ),0)
  + IFERROR(VLOOKUP($H227,'Profile Size'!$A:$B,2,FALSE),0)
  + IFERROR(VLOOKUP($I227,'Ketebalan Material'!$A:$B,2,FALSE),0),
0)</f>
        <v>900000</v>
      </c>
      <c r="O227">
        <f>IF($M227="PER-M",
  IFERROR(
    IF($G227="Hollow",
       INDEX('Referensi Harga'!$C:$C, MATCH($F227 &amp; "|" &amp; $C227, 'Referensi Harga'!$F:$F, 0)),
    IF($G227="Hollow Stainless",
       INDEX('Referensi Harga'!$D:$D, MATCH($F227 &amp; "|" &amp; $C227, 'Referensi Harga'!$F:$F, 0)),
       INDEX('Referensi Harga'!$E:$E, MATCH($F227 &amp; "|" &amp; $C227, 'Referensi Harga'!$F:$F, 0))
    ))
    + IFERROR(VLOOKUP($H227, 'Profile Size'!$A:$B, 2, FALSE), 0)
    + IFERROR(VLOOKUP($I227, 'Ketebalan Material'!$A:$B, 2, FALSE), 0), 0),
0)</f>
        <v>0</v>
      </c>
      <c r="P227" cm="1">
        <f t="array" ref="P227">IF($M227="PER-LUBANG",
  IFERROR(
     _xlfn.IFS(
        $G227="Hollow",
            INDEX('Referensi Harga'!$C:$C,
                  MATCH($F227&amp;$C227,'Referensi Harga'!$A:$A&amp;'Referensi Harga'!$B:$B,0)),
        $G227="Hollow Stainless",
            INDEX('Referensi Harga'!$D:$D,
                  MATCH($F227&amp;$C227,'Referensi Harga'!$A:$A&amp;'Referensi Harga'!$B:$B,0)),
        $G227="Pipa Stainless",
            INDEX('Referensi Harga'!$E:$E,
                  MATCH($F227&amp;$C227,'Referensi Harga'!$A:$A&amp;'Referensi Harga'!$B:$B,0))
     ),0)
  + IFERROR(VLOOKUP($H227,'Profile Size'!$A:$B,2,FALSE),0)
  + IFERROR(VLOOKUP($I227,'Ketebalan Material'!$A:$B,2,FALSE),0),
0)</f>
        <v>0</v>
      </c>
      <c r="Q227">
        <f>IF($M227="PER-M2",
    IFERROR(
        SUMIFS('Upah Tenaga Ahli'!$C:$C,
               'Upah Tenaga Ahli'!$A:$A,"PER-M2",
               'Upah Tenaga Ahli'!$B:$B,$G227
        ) * $J227 * $K227,
    0),
IF($M227="PER-LUBANG",
    IFERROR(
        SUMIFS('Upah Tenaga Ahli'!$D:$D,
               'Upah Tenaga Ahli'!$A:$A,"PER-LUBANG",
               'Upah Tenaga Ahli'!$B:$B,$G227
        ) * $L227 * $K227,
    0),
IF($M227="PER-M",
    IFERROR(
        SUMIFS('Upah Tenaga Ahli'!$E:$E,
               'Upah Tenaga Ahli'!$A:$A,"PER-M",
               'Upah Tenaga Ahli'!$B:$B,$G227
        ) * $J227 * $K227,
    0),
0)))</f>
        <v>612000</v>
      </c>
      <c r="R227" t="s">
        <v>20</v>
      </c>
      <c r="S227" t="s">
        <v>24</v>
      </c>
      <c r="T227">
        <f>IF($M227="PER-M2",
   ($N227 * $J227 * $K227)
   + IFERROR(VLOOKUP($R227,Finishing!A:B,2,FALSE),0)
   + IFERROR(VLOOKUP($S227,Kerumitan!A:B,2,FALSE),0),
IF($M227="PER-LUBANG",
   ($P227 * $L227 * $K227)
   + IFERROR(VLOOKUP($R227,Finishing!A:B,2,FALSE),0)
   + IFERROR(VLOOKUP($S227,Kerumitan!A:B,2,FALSE),0),
IF($M227="PER-M",
   ($O227 * $J227 * $K227)
   + IFERROR(VLOOKUP($R227,Finishing!A:B,2,FALSE),0)
   + IFERROR(VLOOKUP($S227,Kerumitan!A:B,2,FALSE),0),
0)))</f>
        <v>5758000</v>
      </c>
    </row>
    <row r="228" spans="1:20" x14ac:dyDescent="0.45">
      <c r="A228" t="s">
        <v>324</v>
      </c>
      <c r="B228" s="5">
        <v>44163</v>
      </c>
      <c r="C228">
        <f t="shared" si="3"/>
        <v>2020</v>
      </c>
      <c r="D228" t="s">
        <v>63</v>
      </c>
      <c r="E228" t="s">
        <v>87</v>
      </c>
      <c r="F228" t="s">
        <v>7</v>
      </c>
      <c r="G228" t="s">
        <v>13</v>
      </c>
      <c r="H228" t="s">
        <v>33</v>
      </c>
      <c r="I228">
        <v>0.8</v>
      </c>
      <c r="J228">
        <v>7.45</v>
      </c>
      <c r="K228">
        <v>1</v>
      </c>
      <c r="L228">
        <v>0</v>
      </c>
      <c r="M228" t="str" cm="1">
        <f t="array" ref="M228">_xlfn.IFS(
   OR($F228="Pagar", $F228="Pintu Gerbang", $F228="Pintu Handerson", $F228="Kanopi"), "PER-M2",
   $F228="Teralis", "PER-LUBANG",
   OR($F228="Railing", $F228="Railing/Balkon"), "PER-M",
   TRUE, ""
)</f>
        <v>PER-M2</v>
      </c>
      <c r="N228" cm="1">
        <f t="array" ref="N228">IF($M228="PER-M2",
  IFERROR(
     _xlfn.IFS(
        $G228="Hollow",
            INDEX('Referensi Harga'!$C:$C,
                  MATCH($F228&amp;$C228,'Referensi Harga'!$A:$A&amp;'Referensi Harga'!$B:$B,0)),
        $G228="Hollow Stainless",
            INDEX('Referensi Harga'!$D:$D,
                  MATCH($F228&amp;$C228,'Referensi Harga'!$A:$A&amp;'Referensi Harga'!$B:$B,0)),
        $G228="Pipa Stainless",
            INDEX('Referensi Harga'!$E:$E,
                  MATCH($F228&amp;$C228,'Referensi Harga'!$A:$A&amp;'Referensi Harga'!$B:$B,0))
     ),0)
  + IFERROR(VLOOKUP($H228,'Profile Size'!$A:$B,2,FALSE),0)
  + IFERROR(VLOOKUP($I228,'Ketebalan Material'!$A:$B,2,FALSE),0),
0)</f>
        <v>600000</v>
      </c>
      <c r="O228">
        <f>IF($M228="PER-M",
  IFERROR(
    IF($G228="Hollow",
       INDEX('Referensi Harga'!$C:$C, MATCH($F228 &amp; "|" &amp; $C228, 'Referensi Harga'!$F:$F, 0)),
    IF($G228="Hollow Stainless",
       INDEX('Referensi Harga'!$D:$D, MATCH($F228 &amp; "|" &amp; $C228, 'Referensi Harga'!$F:$F, 0)),
       INDEX('Referensi Harga'!$E:$E, MATCH($F228 &amp; "|" &amp; $C228, 'Referensi Harga'!$F:$F, 0))
    ))
    + IFERROR(VLOOKUP($H228, 'Profile Size'!$A:$B, 2, FALSE), 0)
    + IFERROR(VLOOKUP($I228, 'Ketebalan Material'!$A:$B, 2, FALSE), 0), 0),
0)</f>
        <v>0</v>
      </c>
      <c r="P228" cm="1">
        <f t="array" ref="P228">IF($M228="PER-LUBANG",
  IFERROR(
     _xlfn.IFS(
        $G228="Hollow",
            INDEX('Referensi Harga'!$C:$C,
                  MATCH($F228&amp;$C228,'Referensi Harga'!$A:$A&amp;'Referensi Harga'!$B:$B,0)),
        $G228="Hollow Stainless",
            INDEX('Referensi Harga'!$D:$D,
                  MATCH($F228&amp;$C228,'Referensi Harga'!$A:$A&amp;'Referensi Harga'!$B:$B,0)),
        $G228="Pipa Stainless",
            INDEX('Referensi Harga'!$E:$E,
                  MATCH($F228&amp;$C228,'Referensi Harga'!$A:$A&amp;'Referensi Harga'!$B:$B,0))
     ),0)
  + IFERROR(VLOOKUP($H228,'Profile Size'!$A:$B,2,FALSE),0)
  + IFERROR(VLOOKUP($I228,'Ketebalan Material'!$A:$B,2,FALSE),0),
0)</f>
        <v>0</v>
      </c>
      <c r="Q228">
        <f>IF($M228="PER-M2",
    IFERROR(
        SUMIFS('Upah Tenaga Ahli'!$C:$C,
               'Upah Tenaga Ahli'!$A:$A,"PER-M2",
               'Upah Tenaga Ahli'!$B:$B,$G228
        ) * $J228 * $K228,
    0),
IF($M228="PER-LUBANG",
    IFERROR(
        SUMIFS('Upah Tenaga Ahli'!$D:$D,
               'Upah Tenaga Ahli'!$A:$A,"PER-LUBANG",
               'Upah Tenaga Ahli'!$B:$B,$G228
        ) * $L228 * $K228,
    0),
IF($M228="PER-M",
    IFERROR(
        SUMIFS('Upah Tenaga Ahli'!$E:$E,
               'Upah Tenaga Ahli'!$A:$A,"PER-M",
               'Upah Tenaga Ahli'!$B:$B,$G228
        ) * $J228 * $K228,
    0),
0)))</f>
        <v>745000</v>
      </c>
      <c r="R228" t="s">
        <v>19</v>
      </c>
      <c r="S228" t="s">
        <v>23</v>
      </c>
      <c r="T228">
        <f>IF($M228="PER-M2",
   ($N228 * $J228 * $K228)
   + IFERROR(VLOOKUP($R228,Finishing!A:B,2,FALSE),0)
   + IFERROR(VLOOKUP($S228,Kerumitan!A:B,2,FALSE),0),
IF($M228="PER-LUBANG",
   ($P228 * $L228 * $K228)
   + IFERROR(VLOOKUP($R228,Finishing!A:B,2,FALSE),0)
   + IFERROR(VLOOKUP($S228,Kerumitan!A:B,2,FALSE),0),
IF($M228="PER-M",
   ($O228 * $J228 * $K228)
   + IFERROR(VLOOKUP($R228,Finishing!A:B,2,FALSE),0)
   + IFERROR(VLOOKUP($S228,Kerumitan!A:B,2,FALSE),0),
0)))</f>
        <v>4520000</v>
      </c>
    </row>
    <row r="229" spans="1:20" x14ac:dyDescent="0.45">
      <c r="A229" t="s">
        <v>325</v>
      </c>
      <c r="B229" s="5">
        <v>43801</v>
      </c>
      <c r="C229">
        <f t="shared" si="3"/>
        <v>2019</v>
      </c>
      <c r="D229" t="s">
        <v>49</v>
      </c>
      <c r="E229" t="s">
        <v>44</v>
      </c>
      <c r="F229" t="s">
        <v>4</v>
      </c>
      <c r="G229" t="s">
        <v>14</v>
      </c>
      <c r="H229" t="s">
        <v>615</v>
      </c>
      <c r="I229">
        <v>1.2</v>
      </c>
      <c r="J229">
        <v>29.74</v>
      </c>
      <c r="K229">
        <v>1</v>
      </c>
      <c r="L229">
        <v>0</v>
      </c>
      <c r="M229" t="str" cm="1">
        <f t="array" ref="M229">_xlfn.IFS(
   OR($F229="Pagar", $F229="Pintu Gerbang", $F229="Pintu Handerson", $F229="Kanopi"), "PER-M2",
   $F229="Teralis", "PER-LUBANG",
   OR($F229="Railing", $F229="Railing/Balkon"), "PER-M",
   TRUE, ""
)</f>
        <v>PER-M2</v>
      </c>
      <c r="N229" cm="1">
        <f t="array" ref="N229">IF($M229="PER-M2",
  IFERROR(
     _xlfn.IFS(
        $G229="Hollow",
            INDEX('Referensi Harga'!$C:$C,
                  MATCH($F229&amp;$C229,'Referensi Harga'!$A:$A&amp;'Referensi Harga'!$B:$B,0)),
        $G229="Hollow Stainless",
            INDEX('Referensi Harga'!$D:$D,
                  MATCH($F229&amp;$C229,'Referensi Harga'!$A:$A&amp;'Referensi Harga'!$B:$B,0)),
        $G229="Pipa Stainless",
            INDEX('Referensi Harga'!$E:$E,
                  MATCH($F229&amp;$C229,'Referensi Harga'!$A:$A&amp;'Referensi Harga'!$B:$B,0))
     ),0)
  + IFERROR(VLOOKUP($H229,'Profile Size'!$A:$B,2,FALSE),0)
  + IFERROR(VLOOKUP($I229,'Ketebalan Material'!$A:$B,2,FALSE),0),
0)</f>
        <v>1050000</v>
      </c>
      <c r="O229">
        <f>IF($M229="PER-M",
  IFERROR(
    IF($G229="Hollow",
       INDEX('Referensi Harga'!$C:$C, MATCH($F229 &amp; "|" &amp; $C229, 'Referensi Harga'!$F:$F, 0)),
    IF($G229="Hollow Stainless",
       INDEX('Referensi Harga'!$D:$D, MATCH($F229 &amp; "|" &amp; $C229, 'Referensi Harga'!$F:$F, 0)),
       INDEX('Referensi Harga'!$E:$E, MATCH($F229 &amp; "|" &amp; $C229, 'Referensi Harga'!$F:$F, 0))
    ))
    + IFERROR(VLOOKUP($H229, 'Profile Size'!$A:$B, 2, FALSE), 0)
    + IFERROR(VLOOKUP($I229, 'Ketebalan Material'!$A:$B, 2, FALSE), 0), 0),
0)</f>
        <v>0</v>
      </c>
      <c r="P229" cm="1">
        <f t="array" ref="P229">IF($M229="PER-LUBANG",
  IFERROR(
     _xlfn.IFS(
        $G229="Hollow",
            INDEX('Referensi Harga'!$C:$C,
                  MATCH($F229&amp;$C229,'Referensi Harga'!$A:$A&amp;'Referensi Harga'!$B:$B,0)),
        $G229="Hollow Stainless",
            INDEX('Referensi Harga'!$D:$D,
                  MATCH($F229&amp;$C229,'Referensi Harga'!$A:$A&amp;'Referensi Harga'!$B:$B,0)),
        $G229="Pipa Stainless",
            INDEX('Referensi Harga'!$E:$E,
                  MATCH($F229&amp;$C229,'Referensi Harga'!$A:$A&amp;'Referensi Harga'!$B:$B,0))
     ),0)
  + IFERROR(VLOOKUP($H229,'Profile Size'!$A:$B,2,FALSE),0)
  + IFERROR(VLOOKUP($I229,'Ketebalan Material'!$A:$B,2,FALSE),0),
0)</f>
        <v>0</v>
      </c>
      <c r="Q229">
        <f>IF($M229="PER-M2",
    IFERROR(
        SUMIFS('Upah Tenaga Ahli'!$C:$C,
               'Upah Tenaga Ahli'!$A:$A,"PER-M2",
               'Upah Tenaga Ahli'!$B:$B,$G229
        ) * $J229 * $K229,
    0),
IF($M229="PER-LUBANG",
    IFERROR(
        SUMIFS('Upah Tenaga Ahli'!$D:$D,
               'Upah Tenaga Ahli'!$A:$A,"PER-LUBANG",
               'Upah Tenaga Ahli'!$B:$B,$G229
        ) * $L229 * $K229,
    0),
IF($M229="PER-M",
    IFERROR(
        SUMIFS('Upah Tenaga Ahli'!$E:$E,
               'Upah Tenaga Ahli'!$A:$A,"PER-M",
               'Upah Tenaga Ahli'!$B:$B,$G229
        ) * $J229 * $K229,
    0),
0)))</f>
        <v>5948000</v>
      </c>
      <c r="R229" t="s">
        <v>617</v>
      </c>
      <c r="S229" t="s">
        <v>24</v>
      </c>
      <c r="T229">
        <f>IF($M229="PER-M2",
   ($N229 * $J229 * $K229)
   + IFERROR(VLOOKUP($R229,Finishing!A:B,2,FALSE),0)
   + IFERROR(VLOOKUP($S229,Kerumitan!A:B,2,FALSE),0),
IF($M229="PER-LUBANG",
   ($P229 * $L229 * $K229)
   + IFERROR(VLOOKUP($R229,Finishing!A:B,2,FALSE),0)
   + IFERROR(VLOOKUP($S229,Kerumitan!A:B,2,FALSE),0),
IF($M229="PER-M",
   ($O229 * $J229 * $K229)
   + IFERROR(VLOOKUP($R229,Finishing!A:B,2,FALSE),0)
   + IFERROR(VLOOKUP($S229,Kerumitan!A:B,2,FALSE),0),
0)))</f>
        <v>31327000</v>
      </c>
    </row>
    <row r="230" spans="1:20" x14ac:dyDescent="0.45">
      <c r="A230" t="s">
        <v>326</v>
      </c>
      <c r="B230" s="5">
        <v>45608</v>
      </c>
      <c r="C230">
        <f t="shared" si="3"/>
        <v>2024</v>
      </c>
      <c r="D230" t="s">
        <v>65</v>
      </c>
      <c r="E230" t="s">
        <v>91</v>
      </c>
      <c r="F230" t="s">
        <v>10</v>
      </c>
      <c r="G230" t="s">
        <v>13</v>
      </c>
      <c r="H230" t="s">
        <v>46</v>
      </c>
      <c r="I230">
        <v>1</v>
      </c>
      <c r="J230">
        <v>3.6</v>
      </c>
      <c r="K230">
        <v>1</v>
      </c>
      <c r="L230">
        <v>0</v>
      </c>
      <c r="M230" t="str" cm="1">
        <f t="array" ref="M230">_xlfn.IFS(
   OR($F230="Pagar", $F230="Pintu Gerbang", $F230="Pintu Handerson", $F230="Kanopi"), "PER-M2",
   $F230="Teralis", "PER-LUBANG",
   OR($F230="Railing", $F230="Railing/Balkon"), "PER-M",
   TRUE, ""
)</f>
        <v>PER-M2</v>
      </c>
      <c r="N230" cm="1">
        <f t="array" ref="N230">IF($M230="PER-M2",
  IFERROR(
     _xlfn.IFS(
        $G230="Hollow",
            INDEX('Referensi Harga'!$C:$C,
                  MATCH($F230&amp;$C230,'Referensi Harga'!$A:$A&amp;'Referensi Harga'!$B:$B,0)),
        $G230="Hollow Stainless",
            INDEX('Referensi Harga'!$D:$D,
                  MATCH($F230&amp;$C230,'Referensi Harga'!$A:$A&amp;'Referensi Harga'!$B:$B,0)),
        $G230="Pipa Stainless",
            INDEX('Referensi Harga'!$E:$E,
                  MATCH($F230&amp;$C230,'Referensi Harga'!$A:$A&amp;'Referensi Harga'!$B:$B,0))
     ),0)
  + IFERROR(VLOOKUP($H230,'Profile Size'!$A:$B,2,FALSE),0)
  + IFERROR(VLOOKUP($I230,'Ketebalan Material'!$A:$B,2,FALSE),0),
0)</f>
        <v>1000000</v>
      </c>
      <c r="O230">
        <f>IF($M230="PER-M",
  IFERROR(
    IF($G230="Hollow",
       INDEX('Referensi Harga'!$C:$C, MATCH($F230 &amp; "|" &amp; $C230, 'Referensi Harga'!$F:$F, 0)),
    IF($G230="Hollow Stainless",
       INDEX('Referensi Harga'!$D:$D, MATCH($F230 &amp; "|" &amp; $C230, 'Referensi Harga'!$F:$F, 0)),
       INDEX('Referensi Harga'!$E:$E, MATCH($F230 &amp; "|" &amp; $C230, 'Referensi Harga'!$F:$F, 0))
    ))
    + IFERROR(VLOOKUP($H230, 'Profile Size'!$A:$B, 2, FALSE), 0)
    + IFERROR(VLOOKUP($I230, 'Ketebalan Material'!$A:$B, 2, FALSE), 0), 0),
0)</f>
        <v>0</v>
      </c>
      <c r="P230" cm="1">
        <f t="array" ref="P230">IF($M230="PER-LUBANG",
  IFERROR(
     _xlfn.IFS(
        $G230="Hollow",
            INDEX('Referensi Harga'!$C:$C,
                  MATCH($F230&amp;$C230,'Referensi Harga'!$A:$A&amp;'Referensi Harga'!$B:$B,0)),
        $G230="Hollow Stainless",
            INDEX('Referensi Harga'!$D:$D,
                  MATCH($F230&amp;$C230,'Referensi Harga'!$A:$A&amp;'Referensi Harga'!$B:$B,0)),
        $G230="Pipa Stainless",
            INDEX('Referensi Harga'!$E:$E,
                  MATCH($F230&amp;$C230,'Referensi Harga'!$A:$A&amp;'Referensi Harga'!$B:$B,0))
     ),0)
  + IFERROR(VLOOKUP($H230,'Profile Size'!$A:$B,2,FALSE),0)
  + IFERROR(VLOOKUP($I230,'Ketebalan Material'!$A:$B,2,FALSE),0),
0)</f>
        <v>0</v>
      </c>
      <c r="Q230">
        <f>IF($M230="PER-M2",
    IFERROR(
        SUMIFS('Upah Tenaga Ahli'!$C:$C,
               'Upah Tenaga Ahli'!$A:$A,"PER-M2",
               'Upah Tenaga Ahli'!$B:$B,$G230
        ) * $J230 * $K230,
    0),
IF($M230="PER-LUBANG",
    IFERROR(
        SUMIFS('Upah Tenaga Ahli'!$D:$D,
               'Upah Tenaga Ahli'!$A:$A,"PER-LUBANG",
               'Upah Tenaga Ahli'!$B:$B,$G230
        ) * $L230 * $K230,
    0),
IF($M230="PER-M",
    IFERROR(
        SUMIFS('Upah Tenaga Ahli'!$E:$E,
               'Upah Tenaga Ahli'!$A:$A,"PER-M",
               'Upah Tenaga Ahli'!$B:$B,$G230
        ) * $J230 * $K230,
    0),
0)))</f>
        <v>360000</v>
      </c>
      <c r="R230" t="s">
        <v>19</v>
      </c>
      <c r="S230" t="s">
        <v>23</v>
      </c>
      <c r="T230">
        <f>IF($M230="PER-M2",
   ($N230 * $J230 * $K230)
   + IFERROR(VLOOKUP($R230,Finishing!A:B,2,FALSE),0)
   + IFERROR(VLOOKUP($S230,Kerumitan!A:B,2,FALSE),0),
IF($M230="PER-LUBANG",
   ($P230 * $L230 * $K230)
   + IFERROR(VLOOKUP($R230,Finishing!A:B,2,FALSE),0)
   + IFERROR(VLOOKUP($S230,Kerumitan!A:B,2,FALSE),0),
IF($M230="PER-M",
   ($O230 * $J230 * $K230)
   + IFERROR(VLOOKUP($R230,Finishing!A:B,2,FALSE),0)
   + IFERROR(VLOOKUP($S230,Kerumitan!A:B,2,FALSE),0),
0)))</f>
        <v>3650000</v>
      </c>
    </row>
    <row r="231" spans="1:20" x14ac:dyDescent="0.45">
      <c r="A231" t="s">
        <v>327</v>
      </c>
      <c r="B231" s="5">
        <v>44370</v>
      </c>
      <c r="C231">
        <f t="shared" si="3"/>
        <v>2021</v>
      </c>
      <c r="D231" t="s">
        <v>110</v>
      </c>
      <c r="E231" t="s">
        <v>91</v>
      </c>
      <c r="F231" t="s">
        <v>7</v>
      </c>
      <c r="G231" t="s">
        <v>15</v>
      </c>
      <c r="H231" t="s">
        <v>33</v>
      </c>
      <c r="I231">
        <v>1.2</v>
      </c>
      <c r="J231">
        <v>8.85</v>
      </c>
      <c r="K231">
        <v>1</v>
      </c>
      <c r="L231">
        <v>0</v>
      </c>
      <c r="M231" t="str" cm="1">
        <f t="array" ref="M231">_xlfn.IFS(
   OR($F231="Pagar", $F231="Pintu Gerbang", $F231="Pintu Handerson", $F231="Kanopi"), "PER-M2",
   $F231="Teralis", "PER-LUBANG",
   OR($F231="Railing", $F231="Railing/Balkon"), "PER-M",
   TRUE, ""
)</f>
        <v>PER-M2</v>
      </c>
      <c r="N231" cm="1">
        <f t="array" ref="N231">IF($M231="PER-M2",
  IFERROR(
     _xlfn.IFS(
        $G231="Hollow",
            INDEX('Referensi Harga'!$C:$C,
                  MATCH($F231&amp;$C231,'Referensi Harga'!$A:$A&amp;'Referensi Harga'!$B:$B,0)),
        $G231="Hollow Stainless",
            INDEX('Referensi Harga'!$D:$D,
                  MATCH($F231&amp;$C231,'Referensi Harga'!$A:$A&amp;'Referensi Harga'!$B:$B,0)),
        $G231="Pipa Stainless",
            INDEX('Referensi Harga'!$E:$E,
                  MATCH($F231&amp;$C231,'Referensi Harga'!$A:$A&amp;'Referensi Harga'!$B:$B,0))
     ),0)
  + IFERROR(VLOOKUP($H231,'Profile Size'!$A:$B,2,FALSE),0)
  + IFERROR(VLOOKUP($I231,'Ketebalan Material'!$A:$B,2,FALSE),0),
0)</f>
        <v>1300000</v>
      </c>
      <c r="O231">
        <f>IF($M231="PER-M",
  IFERROR(
    IF($G231="Hollow",
       INDEX('Referensi Harga'!$C:$C, MATCH($F231 &amp; "|" &amp; $C231, 'Referensi Harga'!$F:$F, 0)),
    IF($G231="Hollow Stainless",
       INDEX('Referensi Harga'!$D:$D, MATCH($F231 &amp; "|" &amp; $C231, 'Referensi Harga'!$F:$F, 0)),
       INDEX('Referensi Harga'!$E:$E, MATCH($F231 &amp; "|" &amp; $C231, 'Referensi Harga'!$F:$F, 0))
    ))
    + IFERROR(VLOOKUP($H231, 'Profile Size'!$A:$B, 2, FALSE), 0)
    + IFERROR(VLOOKUP($I231, 'Ketebalan Material'!$A:$B, 2, FALSE), 0), 0),
0)</f>
        <v>0</v>
      </c>
      <c r="P231" cm="1">
        <f t="array" ref="P231">IF($M231="PER-LUBANG",
  IFERROR(
     _xlfn.IFS(
        $G231="Hollow",
            INDEX('Referensi Harga'!$C:$C,
                  MATCH($F231&amp;$C231,'Referensi Harga'!$A:$A&amp;'Referensi Harga'!$B:$B,0)),
        $G231="Hollow Stainless",
            INDEX('Referensi Harga'!$D:$D,
                  MATCH($F231&amp;$C231,'Referensi Harga'!$A:$A&amp;'Referensi Harga'!$B:$B,0)),
        $G231="Pipa Stainless",
            INDEX('Referensi Harga'!$E:$E,
                  MATCH($F231&amp;$C231,'Referensi Harga'!$A:$A&amp;'Referensi Harga'!$B:$B,0))
     ),0)
  + IFERROR(VLOOKUP($H231,'Profile Size'!$A:$B,2,FALSE),0)
  + IFERROR(VLOOKUP($I231,'Ketebalan Material'!$A:$B,2,FALSE),0),
0)</f>
        <v>0</v>
      </c>
      <c r="Q231">
        <f>IF($M231="PER-M2",
    IFERROR(
        SUMIFS('Upah Tenaga Ahli'!$C:$C,
               'Upah Tenaga Ahli'!$A:$A,"PER-M2",
               'Upah Tenaga Ahli'!$B:$B,$G231
        ) * $J231 * $K231,
    0),
IF($M231="PER-LUBANG",
    IFERROR(
        SUMIFS('Upah Tenaga Ahli'!$D:$D,
               'Upah Tenaga Ahli'!$A:$A,"PER-LUBANG",
               'Upah Tenaga Ahli'!$B:$B,$G231
        ) * $L231 * $K231,
    0),
IF($M231="PER-M",
    IFERROR(
        SUMIFS('Upah Tenaga Ahli'!$E:$E,
               'Upah Tenaga Ahli'!$A:$A,"PER-M",
               'Upah Tenaga Ahli'!$B:$B,$G231
        ) * $J231 * $K231,
    0),
0)))</f>
        <v>1327500</v>
      </c>
      <c r="R231" t="s">
        <v>617</v>
      </c>
      <c r="S231" t="s">
        <v>24</v>
      </c>
      <c r="T231">
        <f>IF($M231="PER-M2",
   ($N231 * $J231 * $K231)
   + IFERROR(VLOOKUP($R231,Finishing!A:B,2,FALSE),0)
   + IFERROR(VLOOKUP($S231,Kerumitan!A:B,2,FALSE),0),
IF($M231="PER-LUBANG",
   ($P231 * $L231 * $K231)
   + IFERROR(VLOOKUP($R231,Finishing!A:B,2,FALSE),0)
   + IFERROR(VLOOKUP($S231,Kerumitan!A:B,2,FALSE),0),
IF($M231="PER-M",
   ($O231 * $J231 * $K231)
   + IFERROR(VLOOKUP($R231,Finishing!A:B,2,FALSE),0)
   + IFERROR(VLOOKUP($S231,Kerumitan!A:B,2,FALSE),0),
0)))</f>
        <v>11605000</v>
      </c>
    </row>
    <row r="232" spans="1:20" x14ac:dyDescent="0.45">
      <c r="A232" t="s">
        <v>328</v>
      </c>
      <c r="B232" s="5">
        <v>44440</v>
      </c>
      <c r="C232">
        <f t="shared" si="3"/>
        <v>2021</v>
      </c>
      <c r="D232" t="s">
        <v>68</v>
      </c>
      <c r="E232" t="s">
        <v>41</v>
      </c>
      <c r="F232" t="s">
        <v>6</v>
      </c>
      <c r="G232" t="s">
        <v>13</v>
      </c>
      <c r="H232" t="s">
        <v>46</v>
      </c>
      <c r="I232">
        <v>1.2</v>
      </c>
      <c r="J232">
        <v>23.49</v>
      </c>
      <c r="K232">
        <v>2</v>
      </c>
      <c r="L232">
        <v>0</v>
      </c>
      <c r="M232" t="str" cm="1">
        <f t="array" ref="M232">_xlfn.IFS(
   OR($F232="Pagar", $F232="Pintu Gerbang", $F232="Pintu Handerson", $F232="Kanopi"), "PER-M2",
   $F232="Teralis", "PER-LUBANG",
   OR($F232="Railing", $F232="Railing/Balkon"), "PER-M",
   TRUE, ""
)</f>
        <v>PER-M2</v>
      </c>
      <c r="N232" cm="1">
        <f t="array" ref="N232">IF($M232="PER-M2",
  IFERROR(
     _xlfn.IFS(
        $G232="Hollow",
            INDEX('Referensi Harga'!$C:$C,
                  MATCH($F232&amp;$C232,'Referensi Harga'!$A:$A&amp;'Referensi Harga'!$B:$B,0)),
        $G232="Hollow Stainless",
            INDEX('Referensi Harga'!$D:$D,
                  MATCH($F232&amp;$C232,'Referensi Harga'!$A:$A&amp;'Referensi Harga'!$B:$B,0)),
        $G232="Pipa Stainless",
            INDEX('Referensi Harga'!$E:$E,
                  MATCH($F232&amp;$C232,'Referensi Harga'!$A:$A&amp;'Referensi Harga'!$B:$B,0))
     ),0)
  + IFERROR(VLOOKUP($H232,'Profile Size'!$A:$B,2,FALSE),0)
  + IFERROR(VLOOKUP($I232,'Ketebalan Material'!$A:$B,2,FALSE),0),
0)</f>
        <v>500000</v>
      </c>
      <c r="O232">
        <f>IF($M232="PER-M",
  IFERROR(
    IF($G232="Hollow",
       INDEX('Referensi Harga'!$C:$C, MATCH($F232 &amp; "|" &amp; $C232, 'Referensi Harga'!$F:$F, 0)),
    IF($G232="Hollow Stainless",
       INDEX('Referensi Harga'!$D:$D, MATCH($F232 &amp; "|" &amp; $C232, 'Referensi Harga'!$F:$F, 0)),
       INDEX('Referensi Harga'!$E:$E, MATCH($F232 &amp; "|" &amp; $C232, 'Referensi Harga'!$F:$F, 0))
    ))
    + IFERROR(VLOOKUP($H232, 'Profile Size'!$A:$B, 2, FALSE), 0)
    + IFERROR(VLOOKUP($I232, 'Ketebalan Material'!$A:$B, 2, FALSE), 0), 0),
0)</f>
        <v>0</v>
      </c>
      <c r="P232" cm="1">
        <f t="array" ref="P232">IF($M232="PER-LUBANG",
  IFERROR(
     _xlfn.IFS(
        $G232="Hollow",
            INDEX('Referensi Harga'!$C:$C,
                  MATCH($F232&amp;$C232,'Referensi Harga'!$A:$A&amp;'Referensi Harga'!$B:$B,0)),
        $G232="Hollow Stainless",
            INDEX('Referensi Harga'!$D:$D,
                  MATCH($F232&amp;$C232,'Referensi Harga'!$A:$A&amp;'Referensi Harga'!$B:$B,0)),
        $G232="Pipa Stainless",
            INDEX('Referensi Harga'!$E:$E,
                  MATCH($F232&amp;$C232,'Referensi Harga'!$A:$A&amp;'Referensi Harga'!$B:$B,0))
     ),0)
  + IFERROR(VLOOKUP($H232,'Profile Size'!$A:$B,2,FALSE),0)
  + IFERROR(VLOOKUP($I232,'Ketebalan Material'!$A:$B,2,FALSE),0),
0)</f>
        <v>0</v>
      </c>
      <c r="Q232">
        <f>IF($M232="PER-M2",
    IFERROR(
        SUMIFS('Upah Tenaga Ahli'!$C:$C,
               'Upah Tenaga Ahli'!$A:$A,"PER-M2",
               'Upah Tenaga Ahli'!$B:$B,$G232
        ) * $J232 * $K232,
    0),
IF($M232="PER-LUBANG",
    IFERROR(
        SUMIFS('Upah Tenaga Ahli'!$D:$D,
               'Upah Tenaga Ahli'!$A:$A,"PER-LUBANG",
               'Upah Tenaga Ahli'!$B:$B,$G232
        ) * $L232 * $K232,
    0),
IF($M232="PER-M",
    IFERROR(
        SUMIFS('Upah Tenaga Ahli'!$E:$E,
               'Upah Tenaga Ahli'!$A:$A,"PER-M",
               'Upah Tenaga Ahli'!$B:$B,$G232
        ) * $J232 * $K232,
    0),
0)))</f>
        <v>4698000</v>
      </c>
      <c r="R232" t="s">
        <v>19</v>
      </c>
      <c r="S232" t="s">
        <v>23</v>
      </c>
      <c r="T232">
        <f>IF($M232="PER-M2",
   ($N232 * $J232 * $K232)
   + IFERROR(VLOOKUP($R232,Finishing!A:B,2,FALSE),0)
   + IFERROR(VLOOKUP($S232,Kerumitan!A:B,2,FALSE),0),
IF($M232="PER-LUBANG",
   ($P232 * $L232 * $K232)
   + IFERROR(VLOOKUP($R232,Finishing!A:B,2,FALSE),0)
   + IFERROR(VLOOKUP($S232,Kerumitan!A:B,2,FALSE),0),
IF($M232="PER-M",
   ($O232 * $J232 * $K232)
   + IFERROR(VLOOKUP($R232,Finishing!A:B,2,FALSE),0)
   + IFERROR(VLOOKUP($S232,Kerumitan!A:B,2,FALSE),0),
0)))</f>
        <v>23540000</v>
      </c>
    </row>
    <row r="233" spans="1:20" x14ac:dyDescent="0.45">
      <c r="A233" t="s">
        <v>329</v>
      </c>
      <c r="B233" s="5">
        <v>45384</v>
      </c>
      <c r="C233">
        <f t="shared" si="3"/>
        <v>2024</v>
      </c>
      <c r="D233" t="s">
        <v>83</v>
      </c>
      <c r="E233" t="s">
        <v>61</v>
      </c>
      <c r="F233" t="s">
        <v>4</v>
      </c>
      <c r="G233" t="s">
        <v>13</v>
      </c>
      <c r="H233" t="s">
        <v>33</v>
      </c>
      <c r="I233">
        <v>0.8</v>
      </c>
      <c r="J233">
        <v>25.38</v>
      </c>
      <c r="K233">
        <v>1</v>
      </c>
      <c r="L233">
        <v>0</v>
      </c>
      <c r="M233" t="str" cm="1">
        <f t="array" ref="M233">_xlfn.IFS(
   OR($F233="Pagar", $F233="Pintu Gerbang", $F233="Pintu Handerson", $F233="Kanopi"), "PER-M2",
   $F233="Teralis", "PER-LUBANG",
   OR($F233="Railing", $F233="Railing/Balkon"), "PER-M",
   TRUE, ""
)</f>
        <v>PER-M2</v>
      </c>
      <c r="N233" cm="1">
        <f t="array" ref="N233">IF($M233="PER-M2",
  IFERROR(
     _xlfn.IFS(
        $G233="Hollow",
            INDEX('Referensi Harga'!$C:$C,
                  MATCH($F233&amp;$C233,'Referensi Harga'!$A:$A&amp;'Referensi Harga'!$B:$B,0)),
        $G233="Hollow Stainless",
            INDEX('Referensi Harga'!$D:$D,
                  MATCH($F233&amp;$C233,'Referensi Harga'!$A:$A&amp;'Referensi Harga'!$B:$B,0)),
        $G233="Pipa Stainless",
            INDEX('Referensi Harga'!$E:$E,
                  MATCH($F233&amp;$C233,'Referensi Harga'!$A:$A&amp;'Referensi Harga'!$B:$B,0))
     ),0)
  + IFERROR(VLOOKUP($H233,'Profile Size'!$A:$B,2,FALSE),0)
  + IFERROR(VLOOKUP($I233,'Ketebalan Material'!$A:$B,2,FALSE),0),
0)</f>
        <v>550000</v>
      </c>
      <c r="O233">
        <f>IF($M233="PER-M",
  IFERROR(
    IF($G233="Hollow",
       INDEX('Referensi Harga'!$C:$C, MATCH($F233 &amp; "|" &amp; $C233, 'Referensi Harga'!$F:$F, 0)),
    IF($G233="Hollow Stainless",
       INDEX('Referensi Harga'!$D:$D, MATCH($F233 &amp; "|" &amp; $C233, 'Referensi Harga'!$F:$F, 0)),
       INDEX('Referensi Harga'!$E:$E, MATCH($F233 &amp; "|" &amp; $C233, 'Referensi Harga'!$F:$F, 0))
    ))
    + IFERROR(VLOOKUP($H233, 'Profile Size'!$A:$B, 2, FALSE), 0)
    + IFERROR(VLOOKUP($I233, 'Ketebalan Material'!$A:$B, 2, FALSE), 0), 0),
0)</f>
        <v>0</v>
      </c>
      <c r="P233" cm="1">
        <f t="array" ref="P233">IF($M233="PER-LUBANG",
  IFERROR(
     _xlfn.IFS(
        $G233="Hollow",
            INDEX('Referensi Harga'!$C:$C,
                  MATCH($F233&amp;$C233,'Referensi Harga'!$A:$A&amp;'Referensi Harga'!$B:$B,0)),
        $G233="Hollow Stainless",
            INDEX('Referensi Harga'!$D:$D,
                  MATCH($F233&amp;$C233,'Referensi Harga'!$A:$A&amp;'Referensi Harga'!$B:$B,0)),
        $G233="Pipa Stainless",
            INDEX('Referensi Harga'!$E:$E,
                  MATCH($F233&amp;$C233,'Referensi Harga'!$A:$A&amp;'Referensi Harga'!$B:$B,0))
     ),0)
  + IFERROR(VLOOKUP($H233,'Profile Size'!$A:$B,2,FALSE),0)
  + IFERROR(VLOOKUP($I233,'Ketebalan Material'!$A:$B,2,FALSE),0),
0)</f>
        <v>0</v>
      </c>
      <c r="Q233">
        <f>IF($M233="PER-M2",
    IFERROR(
        SUMIFS('Upah Tenaga Ahli'!$C:$C,
               'Upah Tenaga Ahli'!$A:$A,"PER-M2",
               'Upah Tenaga Ahli'!$B:$B,$G233
        ) * $J233 * $K233,
    0),
IF($M233="PER-LUBANG",
    IFERROR(
        SUMIFS('Upah Tenaga Ahli'!$D:$D,
               'Upah Tenaga Ahli'!$A:$A,"PER-LUBANG",
               'Upah Tenaga Ahli'!$B:$B,$G233
        ) * $L233 * $K233,
    0),
IF($M233="PER-M",
    IFERROR(
        SUMIFS('Upah Tenaga Ahli'!$E:$E,
               'Upah Tenaga Ahli'!$A:$A,"PER-M",
               'Upah Tenaga Ahli'!$B:$B,$G233
        ) * $J233 * $K233,
    0),
0)))</f>
        <v>2538000</v>
      </c>
      <c r="R233" t="s">
        <v>20</v>
      </c>
      <c r="S233" t="s">
        <v>23</v>
      </c>
      <c r="T233">
        <f>IF($M233="PER-M2",
   ($N233 * $J233 * $K233)
   + IFERROR(VLOOKUP($R233,Finishing!A:B,2,FALSE),0)
   + IFERROR(VLOOKUP($S233,Kerumitan!A:B,2,FALSE),0),
IF($M233="PER-LUBANG",
   ($P233 * $L233 * $K233)
   + IFERROR(VLOOKUP($R233,Finishing!A:B,2,FALSE),0)
   + IFERROR(VLOOKUP($S233,Kerumitan!A:B,2,FALSE),0),
IF($M233="PER-M",
   ($O233 * $J233 * $K233)
   + IFERROR(VLOOKUP($R233,Finishing!A:B,2,FALSE),0)
   + IFERROR(VLOOKUP($S233,Kerumitan!A:B,2,FALSE),0),
0)))</f>
        <v>14109000</v>
      </c>
    </row>
    <row r="234" spans="1:20" x14ac:dyDescent="0.45">
      <c r="A234" t="s">
        <v>330</v>
      </c>
      <c r="B234" s="5">
        <v>43689</v>
      </c>
      <c r="C234">
        <f t="shared" si="3"/>
        <v>2019</v>
      </c>
      <c r="D234" t="s">
        <v>65</v>
      </c>
      <c r="E234" t="s">
        <v>87</v>
      </c>
      <c r="F234" t="s">
        <v>4</v>
      </c>
      <c r="G234" t="s">
        <v>15</v>
      </c>
      <c r="H234" t="s">
        <v>35</v>
      </c>
      <c r="I234">
        <v>1</v>
      </c>
      <c r="J234">
        <v>26.91</v>
      </c>
      <c r="K234">
        <v>1</v>
      </c>
      <c r="L234">
        <v>0</v>
      </c>
      <c r="M234" t="str" cm="1">
        <f t="array" ref="M234">_xlfn.IFS(
   OR($F234="Pagar", $F234="Pintu Gerbang", $F234="Pintu Handerson", $F234="Kanopi"), "PER-M2",
   $F234="Teralis", "PER-LUBANG",
   OR($F234="Railing", $F234="Railing/Balkon"), "PER-M",
   TRUE, ""
)</f>
        <v>PER-M2</v>
      </c>
      <c r="N234" cm="1">
        <f t="array" ref="N234">IF($M234="PER-M2",
  IFERROR(
     _xlfn.IFS(
        $G234="Hollow",
            INDEX('Referensi Harga'!$C:$C,
                  MATCH($F234&amp;$C234,'Referensi Harga'!$A:$A&amp;'Referensi Harga'!$B:$B,0)),
        $G234="Hollow Stainless",
            INDEX('Referensi Harga'!$D:$D,
                  MATCH($F234&amp;$C234,'Referensi Harga'!$A:$A&amp;'Referensi Harga'!$B:$B,0)),
        $G234="Pipa Stainless",
            INDEX('Referensi Harga'!$E:$E,
                  MATCH($F234&amp;$C234,'Referensi Harga'!$A:$A&amp;'Referensi Harga'!$B:$B,0))
     ),0)
  + IFERROR(VLOOKUP($H234,'Profile Size'!$A:$B,2,FALSE),0)
  + IFERROR(VLOOKUP($I234,'Ketebalan Material'!$A:$B,2,FALSE),0),
0)</f>
        <v>1150000</v>
      </c>
      <c r="O234">
        <f>IF($M234="PER-M",
  IFERROR(
    IF($G234="Hollow",
       INDEX('Referensi Harga'!$C:$C, MATCH($F234 &amp; "|" &amp; $C234, 'Referensi Harga'!$F:$F, 0)),
    IF($G234="Hollow Stainless",
       INDEX('Referensi Harga'!$D:$D, MATCH($F234 &amp; "|" &amp; $C234, 'Referensi Harga'!$F:$F, 0)),
       INDEX('Referensi Harga'!$E:$E, MATCH($F234 &amp; "|" &amp; $C234, 'Referensi Harga'!$F:$F, 0))
    ))
    + IFERROR(VLOOKUP($H234, 'Profile Size'!$A:$B, 2, FALSE), 0)
    + IFERROR(VLOOKUP($I234, 'Ketebalan Material'!$A:$B, 2, FALSE), 0), 0),
0)</f>
        <v>0</v>
      </c>
      <c r="P234" cm="1">
        <f t="array" ref="P234">IF($M234="PER-LUBANG",
  IFERROR(
     _xlfn.IFS(
        $G234="Hollow",
            INDEX('Referensi Harga'!$C:$C,
                  MATCH($F234&amp;$C234,'Referensi Harga'!$A:$A&amp;'Referensi Harga'!$B:$B,0)),
        $G234="Hollow Stainless",
            INDEX('Referensi Harga'!$D:$D,
                  MATCH($F234&amp;$C234,'Referensi Harga'!$A:$A&amp;'Referensi Harga'!$B:$B,0)),
        $G234="Pipa Stainless",
            INDEX('Referensi Harga'!$E:$E,
                  MATCH($F234&amp;$C234,'Referensi Harga'!$A:$A&amp;'Referensi Harga'!$B:$B,0))
     ),0)
  + IFERROR(VLOOKUP($H234,'Profile Size'!$A:$B,2,FALSE),0)
  + IFERROR(VLOOKUP($I234,'Ketebalan Material'!$A:$B,2,FALSE),0),
0)</f>
        <v>0</v>
      </c>
      <c r="Q234">
        <f>IF($M234="PER-M2",
    IFERROR(
        SUMIFS('Upah Tenaga Ahli'!$C:$C,
               'Upah Tenaga Ahli'!$A:$A,"PER-M2",
               'Upah Tenaga Ahli'!$B:$B,$G234
        ) * $J234 * $K234,
    0),
IF($M234="PER-LUBANG",
    IFERROR(
        SUMIFS('Upah Tenaga Ahli'!$D:$D,
               'Upah Tenaga Ahli'!$A:$A,"PER-LUBANG",
               'Upah Tenaga Ahli'!$B:$B,$G234
        ) * $L234 * $K234,
    0),
IF($M234="PER-M",
    IFERROR(
        SUMIFS('Upah Tenaga Ahli'!$E:$E,
               'Upah Tenaga Ahli'!$A:$A,"PER-M",
               'Upah Tenaga Ahli'!$B:$B,$G234
        ) * $J234 * $K234,
    0),
0)))</f>
        <v>4036500</v>
      </c>
      <c r="R234" t="s">
        <v>617</v>
      </c>
      <c r="S234" t="s">
        <v>24</v>
      </c>
      <c r="T234">
        <f>IF($M234="PER-M2",
   ($N234 * $J234 * $K234)
   + IFERROR(VLOOKUP($R234,Finishing!A:B,2,FALSE),0)
   + IFERROR(VLOOKUP($S234,Kerumitan!A:B,2,FALSE),0),
IF($M234="PER-LUBANG",
   ($P234 * $L234 * $K234)
   + IFERROR(VLOOKUP($R234,Finishing!A:B,2,FALSE),0)
   + IFERROR(VLOOKUP($S234,Kerumitan!A:B,2,FALSE),0),
IF($M234="PER-M",
   ($O234 * $J234 * $K234)
   + IFERROR(VLOOKUP($R234,Finishing!A:B,2,FALSE),0)
   + IFERROR(VLOOKUP($S234,Kerumitan!A:B,2,FALSE),0),
0)))</f>
        <v>31046500</v>
      </c>
    </row>
    <row r="235" spans="1:20" x14ac:dyDescent="0.45">
      <c r="A235" t="s">
        <v>331</v>
      </c>
      <c r="B235" s="5">
        <v>44179</v>
      </c>
      <c r="C235">
        <f t="shared" si="3"/>
        <v>2020</v>
      </c>
      <c r="D235" t="s">
        <v>169</v>
      </c>
      <c r="E235" t="s">
        <v>28</v>
      </c>
      <c r="F235" t="s">
        <v>8</v>
      </c>
      <c r="G235" t="s">
        <v>13</v>
      </c>
      <c r="H235" t="s">
        <v>612</v>
      </c>
      <c r="I235">
        <v>1.2</v>
      </c>
      <c r="J235">
        <v>0</v>
      </c>
      <c r="K235">
        <v>1</v>
      </c>
      <c r="L235">
        <v>15</v>
      </c>
      <c r="M235" t="str" cm="1">
        <f t="array" ref="M235">_xlfn.IFS(
   OR($F235="Pagar", $F235="Pintu Gerbang", $F235="Pintu Handerson", $F235="Kanopi"), "PER-M2",
   $F235="Teralis", "PER-LUBANG",
   OR($F235="Railing", $F235="Railing/Balkon"), "PER-M",
   TRUE, ""
)</f>
        <v>PER-LUBANG</v>
      </c>
      <c r="N235" cm="1">
        <f t="array" ref="N235">IF($M235="PER-M2",
  IFERROR(
     _xlfn.IFS(
        $G235="Hollow",
            INDEX('Referensi Harga'!$C:$C,
                  MATCH($F235&amp;$C235,'Referensi Harga'!$A:$A&amp;'Referensi Harga'!$B:$B,0)),
        $G235="Hollow Stainless",
            INDEX('Referensi Harga'!$D:$D,
                  MATCH($F235&amp;$C235,'Referensi Harga'!$A:$A&amp;'Referensi Harga'!$B:$B,0)),
        $G235="Pipa Stainless",
            INDEX('Referensi Harga'!$E:$E,
                  MATCH($F235&amp;$C235,'Referensi Harga'!$A:$A&amp;'Referensi Harga'!$B:$B,0))
     ),0)
  + IFERROR(VLOOKUP($H235,'Profile Size'!$A:$B,2,FALSE),0)
  + IFERROR(VLOOKUP($I235,'Ketebalan Material'!$A:$B,2,FALSE),0),
0)</f>
        <v>0</v>
      </c>
      <c r="O235">
        <f>IF($M235="PER-M",
  IFERROR(
    IF($G235="Hollow",
       INDEX('Referensi Harga'!$C:$C, MATCH($F235 &amp; "|" &amp; $C235, 'Referensi Harga'!$F:$F, 0)),
    IF($G235="Hollow Stainless",
       INDEX('Referensi Harga'!$D:$D, MATCH($F235 &amp; "|" &amp; $C235, 'Referensi Harga'!$F:$F, 0)),
       INDEX('Referensi Harga'!$E:$E, MATCH($F235 &amp; "|" &amp; $C235, 'Referensi Harga'!$F:$F, 0))
    ))
    + IFERROR(VLOOKUP($H235, 'Profile Size'!$A:$B, 2, FALSE), 0)
    + IFERROR(VLOOKUP($I235, 'Ketebalan Material'!$A:$B, 2, FALSE), 0), 0),
0)</f>
        <v>0</v>
      </c>
      <c r="P235" cm="1">
        <f t="array" ref="P235">IF($M235="PER-LUBANG",
  IFERROR(
     _xlfn.IFS(
        $G235="Hollow",
            INDEX('Referensi Harga'!$C:$C,
                  MATCH($F235&amp;$C235,'Referensi Harga'!$A:$A&amp;'Referensi Harga'!$B:$B,0)),
        $G235="Hollow Stainless",
            INDEX('Referensi Harga'!$D:$D,
                  MATCH($F235&amp;$C235,'Referensi Harga'!$A:$A&amp;'Referensi Harga'!$B:$B,0)),
        $G235="Pipa Stainless",
            INDEX('Referensi Harga'!$E:$E,
                  MATCH($F235&amp;$C235,'Referensi Harga'!$A:$A&amp;'Referensi Harga'!$B:$B,0))
     ),0)
  + IFERROR(VLOOKUP($H235,'Profile Size'!$A:$B,2,FALSE),0)
  + IFERROR(VLOOKUP($I235,'Ketebalan Material'!$A:$B,2,FALSE),0),
0)</f>
        <v>400000</v>
      </c>
      <c r="Q235">
        <f>IF($M235="PER-M2",
    IFERROR(
        SUMIFS('Upah Tenaga Ahli'!$C:$C,
               'Upah Tenaga Ahli'!$A:$A,"PER-M2",
               'Upah Tenaga Ahli'!$B:$B,$G235
        ) * $J235 * $K235,
    0),
IF($M235="PER-LUBANG",
    IFERROR(
        SUMIFS('Upah Tenaga Ahli'!$D:$D,
               'Upah Tenaga Ahli'!$A:$A,"PER-LUBANG",
               'Upah Tenaga Ahli'!$B:$B,$G235
        ) * $L235 * $K235,
    0),
IF($M235="PER-M",
    IFERROR(
        SUMIFS('Upah Tenaga Ahli'!$E:$E,
               'Upah Tenaga Ahli'!$A:$A,"PER-M",
               'Upah Tenaga Ahli'!$B:$B,$G235
        ) * $J235 * $K235,
    0),
0)))</f>
        <v>1125000</v>
      </c>
      <c r="R235" t="s">
        <v>19</v>
      </c>
      <c r="S235" t="s">
        <v>24</v>
      </c>
      <c r="T235">
        <f>IF($M235="PER-M2",
   ($N235 * $J235 * $K235)
   + IFERROR(VLOOKUP($R235,Finishing!A:B,2,FALSE),0)
   + IFERROR(VLOOKUP($S235,Kerumitan!A:B,2,FALSE),0),
IF($M235="PER-LUBANG",
   ($P235 * $L235 * $K235)
   + IFERROR(VLOOKUP($R235,Finishing!A:B,2,FALSE),0)
   + IFERROR(VLOOKUP($S235,Kerumitan!A:B,2,FALSE),0),
IF($M235="PER-M",
   ($O235 * $J235 * $K235)
   + IFERROR(VLOOKUP($R235,Finishing!A:B,2,FALSE),0)
   + IFERROR(VLOOKUP($S235,Kerumitan!A:B,2,FALSE),0),
0)))</f>
        <v>6150000</v>
      </c>
    </row>
    <row r="236" spans="1:20" x14ac:dyDescent="0.45">
      <c r="A236" t="s">
        <v>332</v>
      </c>
      <c r="B236" s="5">
        <v>45886</v>
      </c>
      <c r="C236">
        <f t="shared" si="3"/>
        <v>2025</v>
      </c>
      <c r="D236" t="s">
        <v>179</v>
      </c>
      <c r="E236" t="s">
        <v>28</v>
      </c>
      <c r="F236" t="s">
        <v>10</v>
      </c>
      <c r="G236" t="s">
        <v>15</v>
      </c>
      <c r="H236" t="s">
        <v>33</v>
      </c>
      <c r="I236">
        <v>1</v>
      </c>
      <c r="J236">
        <v>3.87</v>
      </c>
      <c r="K236">
        <v>2</v>
      </c>
      <c r="L236">
        <v>0</v>
      </c>
      <c r="M236" t="str" cm="1">
        <f t="array" ref="M236">_xlfn.IFS(
   OR($F236="Pagar", $F236="Pintu Gerbang", $F236="Pintu Handerson", $F236="Kanopi"), "PER-M2",
   $F236="Teralis", "PER-LUBANG",
   OR($F236="Railing", $F236="Railing/Balkon"), "PER-M",
   TRUE, ""
)</f>
        <v>PER-M2</v>
      </c>
      <c r="N236" cm="1">
        <f t="array" ref="N236">IF($M236="PER-M2",
  IFERROR(
     _xlfn.IFS(
        $G236="Hollow",
            INDEX('Referensi Harga'!$C:$C,
                  MATCH($F236&amp;$C236,'Referensi Harga'!$A:$A&amp;'Referensi Harga'!$B:$B,0)),
        $G236="Hollow Stainless",
            INDEX('Referensi Harga'!$D:$D,
                  MATCH($F236&amp;$C236,'Referensi Harga'!$A:$A&amp;'Referensi Harga'!$B:$B,0)),
        $G236="Pipa Stainless",
            INDEX('Referensi Harga'!$E:$E,
                  MATCH($F236&amp;$C236,'Referensi Harga'!$A:$A&amp;'Referensi Harga'!$B:$B,0))
     ),0)
  + IFERROR(VLOOKUP($H236,'Profile Size'!$A:$B,2,FALSE),0)
  + IFERROR(VLOOKUP($I236,'Ketebalan Material'!$A:$B,2,FALSE),0),
0)</f>
        <v>1750000</v>
      </c>
      <c r="O236">
        <f>IF($M236="PER-M",
  IFERROR(
    IF($G236="Hollow",
       INDEX('Referensi Harga'!$C:$C, MATCH($F236 &amp; "|" &amp; $C236, 'Referensi Harga'!$F:$F, 0)),
    IF($G236="Hollow Stainless",
       INDEX('Referensi Harga'!$D:$D, MATCH($F236 &amp; "|" &amp; $C236, 'Referensi Harga'!$F:$F, 0)),
       INDEX('Referensi Harga'!$E:$E, MATCH($F236 &amp; "|" &amp; $C236, 'Referensi Harga'!$F:$F, 0))
    ))
    + IFERROR(VLOOKUP($H236, 'Profile Size'!$A:$B, 2, FALSE), 0)
    + IFERROR(VLOOKUP($I236, 'Ketebalan Material'!$A:$B, 2, FALSE), 0), 0),
0)</f>
        <v>0</v>
      </c>
      <c r="P236" cm="1">
        <f t="array" ref="P236">IF($M236="PER-LUBANG",
  IFERROR(
     _xlfn.IFS(
        $G236="Hollow",
            INDEX('Referensi Harga'!$C:$C,
                  MATCH($F236&amp;$C236,'Referensi Harga'!$A:$A&amp;'Referensi Harga'!$B:$B,0)),
        $G236="Hollow Stainless",
            INDEX('Referensi Harga'!$D:$D,
                  MATCH($F236&amp;$C236,'Referensi Harga'!$A:$A&amp;'Referensi Harga'!$B:$B,0)),
        $G236="Pipa Stainless",
            INDEX('Referensi Harga'!$E:$E,
                  MATCH($F236&amp;$C236,'Referensi Harga'!$A:$A&amp;'Referensi Harga'!$B:$B,0))
     ),0)
  + IFERROR(VLOOKUP($H236,'Profile Size'!$A:$B,2,FALSE),0)
  + IFERROR(VLOOKUP($I236,'Ketebalan Material'!$A:$B,2,FALSE),0),
0)</f>
        <v>0</v>
      </c>
      <c r="Q236">
        <f>IF($M236="PER-M2",
    IFERROR(
        SUMIFS('Upah Tenaga Ahli'!$C:$C,
               'Upah Tenaga Ahli'!$A:$A,"PER-M2",
               'Upah Tenaga Ahli'!$B:$B,$G236
        ) * $J236 * $K236,
    0),
IF($M236="PER-LUBANG",
    IFERROR(
        SUMIFS('Upah Tenaga Ahli'!$D:$D,
               'Upah Tenaga Ahli'!$A:$A,"PER-LUBANG",
               'Upah Tenaga Ahli'!$B:$B,$G236
        ) * $L236 * $K236,
    0),
IF($M236="PER-M",
    IFERROR(
        SUMIFS('Upah Tenaga Ahli'!$E:$E,
               'Upah Tenaga Ahli'!$A:$A,"PER-M",
               'Upah Tenaga Ahli'!$B:$B,$G236
        ) * $J236 * $K236,
    0),
0)))</f>
        <v>1161000</v>
      </c>
      <c r="R236" t="s">
        <v>617</v>
      </c>
      <c r="S236" t="s">
        <v>24</v>
      </c>
      <c r="T236">
        <f>IF($M236="PER-M2",
   ($N236 * $J236 * $K236)
   + IFERROR(VLOOKUP($R236,Finishing!A:B,2,FALSE),0)
   + IFERROR(VLOOKUP($S236,Kerumitan!A:B,2,FALSE),0),
IF($M236="PER-LUBANG",
   ($P236 * $L236 * $K236)
   + IFERROR(VLOOKUP($R236,Finishing!A:B,2,FALSE),0)
   + IFERROR(VLOOKUP($S236,Kerumitan!A:B,2,FALSE),0),
IF($M236="PER-M",
   ($O236 * $J236 * $K236)
   + IFERROR(VLOOKUP($R236,Finishing!A:B,2,FALSE),0)
   + IFERROR(VLOOKUP($S236,Kerumitan!A:B,2,FALSE),0),
0)))</f>
        <v>13645000</v>
      </c>
    </row>
    <row r="237" spans="1:20" x14ac:dyDescent="0.45">
      <c r="A237" t="s">
        <v>333</v>
      </c>
      <c r="B237" s="5">
        <v>45709</v>
      </c>
      <c r="C237">
        <f t="shared" si="3"/>
        <v>2025</v>
      </c>
      <c r="D237" t="s">
        <v>77</v>
      </c>
      <c r="E237" t="s">
        <v>54</v>
      </c>
      <c r="F237" t="s">
        <v>625</v>
      </c>
      <c r="G237" t="s">
        <v>15</v>
      </c>
      <c r="H237" t="s">
        <v>33</v>
      </c>
      <c r="I237">
        <v>0.8</v>
      </c>
      <c r="J237">
        <v>4.76</v>
      </c>
      <c r="K237">
        <v>2</v>
      </c>
      <c r="L237">
        <v>0</v>
      </c>
      <c r="M237" t="str" cm="1">
        <f t="array" ref="M237">_xlfn.IFS(
   OR($F237="Pagar", $F237="Pintu Gerbang", $F237="Pintu Handerson", $F237="Kanopi"), "PER-M2",
   $F237="Teralis", "PER-LUBANG",
   OR($F237="Railing", $F237="Railing/Balkon"), "PER-M",
   TRUE, ""
)</f>
        <v>PER-M</v>
      </c>
      <c r="N237" cm="1">
        <f t="array" ref="N237">IF($M237="PER-M2",
  IFERROR(
     _xlfn.IFS(
        $G237="Hollow",
            INDEX('Referensi Harga'!$C:$C,
                  MATCH($F237&amp;$C237,'Referensi Harga'!$A:$A&amp;'Referensi Harga'!$B:$B,0)),
        $G237="Hollow Stainless",
            INDEX('Referensi Harga'!$D:$D,
                  MATCH($F237&amp;$C237,'Referensi Harga'!$A:$A&amp;'Referensi Harga'!$B:$B,0)),
        $G237="Pipa Stainless",
            INDEX('Referensi Harga'!$E:$E,
                  MATCH($F237&amp;$C237,'Referensi Harga'!$A:$A&amp;'Referensi Harga'!$B:$B,0))
     ),0)
  + IFERROR(VLOOKUP($H237,'Profile Size'!$A:$B,2,FALSE),0)
  + IFERROR(VLOOKUP($I237,'Ketebalan Material'!$A:$B,2,FALSE),0),
0)</f>
        <v>0</v>
      </c>
      <c r="O237">
        <f>IF($M237="PER-M",
  IFERROR(
    IF($G237="Hollow",
       INDEX('Referensi Harga'!$C:$C, MATCH($F237 &amp; "|" &amp; $C237, 'Referensi Harga'!$F:$F, 0)),
    IF($G237="Hollow Stainless",
       INDEX('Referensi Harga'!$D:$D, MATCH($F237 &amp; "|" &amp; $C237, 'Referensi Harga'!$F:$F, 0)),
       INDEX('Referensi Harga'!$E:$E, MATCH($F237 &amp; "|" &amp; $C237, 'Referensi Harga'!$F:$F, 0))
    ))
    + IFERROR(VLOOKUP($H237, 'Profile Size'!$A:$B, 2, FALSE), 0)
    + IFERROR(VLOOKUP($I237, 'Ketebalan Material'!$A:$B, 2, FALSE), 0), 0),
0)</f>
        <v>1200000</v>
      </c>
      <c r="P237" cm="1">
        <f t="array" ref="P237">IF($M237="PER-LUBANG",
  IFERROR(
     _xlfn.IFS(
        $G237="Hollow",
            INDEX('Referensi Harga'!$C:$C,
                  MATCH($F237&amp;$C237,'Referensi Harga'!$A:$A&amp;'Referensi Harga'!$B:$B,0)),
        $G237="Hollow Stainless",
            INDEX('Referensi Harga'!$D:$D,
                  MATCH($F237&amp;$C237,'Referensi Harga'!$A:$A&amp;'Referensi Harga'!$B:$B,0)),
        $G237="Pipa Stainless",
            INDEX('Referensi Harga'!$E:$E,
                  MATCH($F237&amp;$C237,'Referensi Harga'!$A:$A&amp;'Referensi Harga'!$B:$B,0))
     ),0)
  + IFERROR(VLOOKUP($H237,'Profile Size'!$A:$B,2,FALSE),0)
  + IFERROR(VLOOKUP($I237,'Ketebalan Material'!$A:$B,2,FALSE),0),
0)</f>
        <v>0</v>
      </c>
      <c r="Q237">
        <f>IF($M237="PER-M2",
    IFERROR(
        SUMIFS('Upah Tenaga Ahli'!$C:$C,
               'Upah Tenaga Ahli'!$A:$A,"PER-M2",
               'Upah Tenaga Ahli'!$B:$B,$G237
        ) * $J237 * $K237,
    0),
IF($M237="PER-LUBANG",
    IFERROR(
        SUMIFS('Upah Tenaga Ahli'!$D:$D,
               'Upah Tenaga Ahli'!$A:$A,"PER-LUBANG",
               'Upah Tenaga Ahli'!$B:$B,$G237
        ) * $L237 * $K237,
    0),
IF($M237="PER-M",
    IFERROR(
        SUMIFS('Upah Tenaga Ahli'!$E:$E,
               'Upah Tenaga Ahli'!$A:$A,"PER-M",
               'Upah Tenaga Ahli'!$B:$B,$G237
        ) * $J237 * $K237,
    0),
0)))</f>
        <v>1428000</v>
      </c>
      <c r="R237" t="s">
        <v>617</v>
      </c>
      <c r="S237" t="s">
        <v>24</v>
      </c>
      <c r="T237">
        <f>IF($M237="PER-M2",
   ($N237 * $J237 * $K237)
   + IFERROR(VLOOKUP($R237,Finishing!A:B,2,FALSE),0)
   + IFERROR(VLOOKUP($S237,Kerumitan!A:B,2,FALSE),0),
IF($M237="PER-LUBANG",
   ($P237 * $L237 * $K237)
   + IFERROR(VLOOKUP($R237,Finishing!A:B,2,FALSE),0)
   + IFERROR(VLOOKUP($S237,Kerumitan!A:B,2,FALSE),0),
IF($M237="PER-M",
   ($O237 * $J237 * $K237)
   + IFERROR(VLOOKUP($R237,Finishing!A:B,2,FALSE),0)
   + IFERROR(VLOOKUP($S237,Kerumitan!A:B,2,FALSE),0),
0)))</f>
        <v>11524000</v>
      </c>
    </row>
    <row r="238" spans="1:20" x14ac:dyDescent="0.45">
      <c r="A238" t="s">
        <v>334</v>
      </c>
      <c r="B238" s="5">
        <v>44765</v>
      </c>
      <c r="C238">
        <f t="shared" si="3"/>
        <v>2022</v>
      </c>
      <c r="D238" t="s">
        <v>103</v>
      </c>
      <c r="E238" t="s">
        <v>91</v>
      </c>
      <c r="F238" t="s">
        <v>6</v>
      </c>
      <c r="G238" t="s">
        <v>13</v>
      </c>
      <c r="H238" t="s">
        <v>35</v>
      </c>
      <c r="I238">
        <v>0.8</v>
      </c>
      <c r="J238">
        <v>7.25</v>
      </c>
      <c r="K238">
        <v>2</v>
      </c>
      <c r="L238">
        <v>0</v>
      </c>
      <c r="M238" t="str" cm="1">
        <f t="array" ref="M238">_xlfn.IFS(
   OR($F238="Pagar", $F238="Pintu Gerbang", $F238="Pintu Handerson", $F238="Kanopi"), "PER-M2",
   $F238="Teralis", "PER-LUBANG",
   OR($F238="Railing", $F238="Railing/Balkon"), "PER-M",
   TRUE, ""
)</f>
        <v>PER-M2</v>
      </c>
      <c r="N238" cm="1">
        <f t="array" ref="N238">IF($M238="PER-M2",
  IFERROR(
     _xlfn.IFS(
        $G238="Hollow",
            INDEX('Referensi Harga'!$C:$C,
                  MATCH($F238&amp;$C238,'Referensi Harga'!$A:$A&amp;'Referensi Harga'!$B:$B,0)),
        $G238="Hollow Stainless",
            INDEX('Referensi Harga'!$D:$D,
                  MATCH($F238&amp;$C238,'Referensi Harga'!$A:$A&amp;'Referensi Harga'!$B:$B,0)),
        $G238="Pipa Stainless",
            INDEX('Referensi Harga'!$E:$E,
                  MATCH($F238&amp;$C238,'Referensi Harga'!$A:$A&amp;'Referensi Harga'!$B:$B,0))
     ),0)
  + IFERROR(VLOOKUP($H238,'Profile Size'!$A:$B,2,FALSE),0)
  + IFERROR(VLOOKUP($I238,'Ketebalan Material'!$A:$B,2,FALSE),0),
0)</f>
        <v>450000</v>
      </c>
      <c r="O238">
        <f>IF($M238="PER-M",
  IFERROR(
    IF($G238="Hollow",
       INDEX('Referensi Harga'!$C:$C, MATCH($F238 &amp; "|" &amp; $C238, 'Referensi Harga'!$F:$F, 0)),
    IF($G238="Hollow Stainless",
       INDEX('Referensi Harga'!$D:$D, MATCH($F238 &amp; "|" &amp; $C238, 'Referensi Harga'!$F:$F, 0)),
       INDEX('Referensi Harga'!$E:$E, MATCH($F238 &amp; "|" &amp; $C238, 'Referensi Harga'!$F:$F, 0))
    ))
    + IFERROR(VLOOKUP($H238, 'Profile Size'!$A:$B, 2, FALSE), 0)
    + IFERROR(VLOOKUP($I238, 'Ketebalan Material'!$A:$B, 2, FALSE), 0), 0),
0)</f>
        <v>0</v>
      </c>
      <c r="P238" cm="1">
        <f t="array" ref="P238">IF($M238="PER-LUBANG",
  IFERROR(
     _xlfn.IFS(
        $G238="Hollow",
            INDEX('Referensi Harga'!$C:$C,
                  MATCH($F238&amp;$C238,'Referensi Harga'!$A:$A&amp;'Referensi Harga'!$B:$B,0)),
        $G238="Hollow Stainless",
            INDEX('Referensi Harga'!$D:$D,
                  MATCH($F238&amp;$C238,'Referensi Harga'!$A:$A&amp;'Referensi Harga'!$B:$B,0)),
        $G238="Pipa Stainless",
            INDEX('Referensi Harga'!$E:$E,
                  MATCH($F238&amp;$C238,'Referensi Harga'!$A:$A&amp;'Referensi Harga'!$B:$B,0))
     ),0)
  + IFERROR(VLOOKUP($H238,'Profile Size'!$A:$B,2,FALSE),0)
  + IFERROR(VLOOKUP($I238,'Ketebalan Material'!$A:$B,2,FALSE),0),
0)</f>
        <v>0</v>
      </c>
      <c r="Q238">
        <f>IF($M238="PER-M2",
    IFERROR(
        SUMIFS('Upah Tenaga Ahli'!$C:$C,
               'Upah Tenaga Ahli'!$A:$A,"PER-M2",
               'Upah Tenaga Ahli'!$B:$B,$G238
        ) * $J238 * $K238,
    0),
IF($M238="PER-LUBANG",
    IFERROR(
        SUMIFS('Upah Tenaga Ahli'!$D:$D,
               'Upah Tenaga Ahli'!$A:$A,"PER-LUBANG",
               'Upah Tenaga Ahli'!$B:$B,$G238
        ) * $L238 * $K238,
    0),
IF($M238="PER-M",
    IFERROR(
        SUMIFS('Upah Tenaga Ahli'!$E:$E,
               'Upah Tenaga Ahli'!$A:$A,"PER-M",
               'Upah Tenaga Ahli'!$B:$B,$G238
        ) * $J238 * $K238,
    0),
0)))</f>
        <v>1450000</v>
      </c>
      <c r="R238" t="s">
        <v>18</v>
      </c>
      <c r="S238" t="s">
        <v>25</v>
      </c>
      <c r="T238">
        <f>IF($M238="PER-M2",
   ($N238 * $J238 * $K238)
   + IFERROR(VLOOKUP($R238,Finishing!A:B,2,FALSE),0)
   + IFERROR(VLOOKUP($S238,Kerumitan!A:B,2,FALSE),0),
IF($M238="PER-LUBANG",
   ($P238 * $L238 * $K238)
   + IFERROR(VLOOKUP($R238,Finishing!A:B,2,FALSE),0)
   + IFERROR(VLOOKUP($S238,Kerumitan!A:B,2,FALSE),0),
IF($M238="PER-M",
   ($O238 * $J238 * $K238)
   + IFERROR(VLOOKUP($R238,Finishing!A:B,2,FALSE),0)
   + IFERROR(VLOOKUP($S238,Kerumitan!A:B,2,FALSE),0),
0)))</f>
        <v>6675000</v>
      </c>
    </row>
    <row r="239" spans="1:20" x14ac:dyDescent="0.45">
      <c r="A239" t="s">
        <v>335</v>
      </c>
      <c r="B239" s="5">
        <v>44728</v>
      </c>
      <c r="C239">
        <f t="shared" si="3"/>
        <v>2022</v>
      </c>
      <c r="D239" t="s">
        <v>27</v>
      </c>
      <c r="E239" t="s">
        <v>32</v>
      </c>
      <c r="F239" t="s">
        <v>7</v>
      </c>
      <c r="G239" t="s">
        <v>15</v>
      </c>
      <c r="H239" t="s">
        <v>46</v>
      </c>
      <c r="I239">
        <v>0.8</v>
      </c>
      <c r="J239">
        <v>4.88</v>
      </c>
      <c r="K239">
        <v>1</v>
      </c>
      <c r="L239">
        <v>0</v>
      </c>
      <c r="M239" t="str" cm="1">
        <f t="array" ref="M239">_xlfn.IFS(
   OR($F239="Pagar", $F239="Pintu Gerbang", $F239="Pintu Handerson", $F239="Kanopi"), "PER-M2",
   $F239="Teralis", "PER-LUBANG",
   OR($F239="Railing", $F239="Railing/Balkon"), "PER-M",
   TRUE, ""
)</f>
        <v>PER-M2</v>
      </c>
      <c r="N239" cm="1">
        <f t="array" ref="N239">IF($M239="PER-M2",
  IFERROR(
     _xlfn.IFS(
        $G239="Hollow",
            INDEX('Referensi Harga'!$C:$C,
                  MATCH($F239&amp;$C239,'Referensi Harga'!$A:$A&amp;'Referensi Harga'!$B:$B,0)),
        $G239="Hollow Stainless",
            INDEX('Referensi Harga'!$D:$D,
                  MATCH($F239&amp;$C239,'Referensi Harga'!$A:$A&amp;'Referensi Harga'!$B:$B,0)),
        $G239="Pipa Stainless",
            INDEX('Referensi Harga'!$E:$E,
                  MATCH($F239&amp;$C239,'Referensi Harga'!$A:$A&amp;'Referensi Harga'!$B:$B,0))
     ),0)
  + IFERROR(VLOOKUP($H239,'Profile Size'!$A:$B,2,FALSE),0)
  + IFERROR(VLOOKUP($I239,'Ketebalan Material'!$A:$B,2,FALSE),0),
0)</f>
        <v>1300000</v>
      </c>
      <c r="O239">
        <f>IF($M239="PER-M",
  IFERROR(
    IF($G239="Hollow",
       INDEX('Referensi Harga'!$C:$C, MATCH($F239 &amp; "|" &amp; $C239, 'Referensi Harga'!$F:$F, 0)),
    IF($G239="Hollow Stainless",
       INDEX('Referensi Harga'!$D:$D, MATCH($F239 &amp; "|" &amp; $C239, 'Referensi Harga'!$F:$F, 0)),
       INDEX('Referensi Harga'!$E:$E, MATCH($F239 &amp; "|" &amp; $C239, 'Referensi Harga'!$F:$F, 0))
    ))
    + IFERROR(VLOOKUP($H239, 'Profile Size'!$A:$B, 2, FALSE), 0)
    + IFERROR(VLOOKUP($I239, 'Ketebalan Material'!$A:$B, 2, FALSE), 0), 0),
0)</f>
        <v>0</v>
      </c>
      <c r="P239" cm="1">
        <f t="array" ref="P239">IF($M239="PER-LUBANG",
  IFERROR(
     _xlfn.IFS(
        $G239="Hollow",
            INDEX('Referensi Harga'!$C:$C,
                  MATCH($F239&amp;$C239,'Referensi Harga'!$A:$A&amp;'Referensi Harga'!$B:$B,0)),
        $G239="Hollow Stainless",
            INDEX('Referensi Harga'!$D:$D,
                  MATCH($F239&amp;$C239,'Referensi Harga'!$A:$A&amp;'Referensi Harga'!$B:$B,0)),
        $G239="Pipa Stainless",
            INDEX('Referensi Harga'!$E:$E,
                  MATCH($F239&amp;$C239,'Referensi Harga'!$A:$A&amp;'Referensi Harga'!$B:$B,0))
     ),0)
  + IFERROR(VLOOKUP($H239,'Profile Size'!$A:$B,2,FALSE),0)
  + IFERROR(VLOOKUP($I239,'Ketebalan Material'!$A:$B,2,FALSE),0),
0)</f>
        <v>0</v>
      </c>
      <c r="Q239">
        <f>IF($M239="PER-M2",
    IFERROR(
        SUMIFS('Upah Tenaga Ahli'!$C:$C,
               'Upah Tenaga Ahli'!$A:$A,"PER-M2",
               'Upah Tenaga Ahli'!$B:$B,$G239
        ) * $J239 * $K239,
    0),
IF($M239="PER-LUBANG",
    IFERROR(
        SUMIFS('Upah Tenaga Ahli'!$D:$D,
               'Upah Tenaga Ahli'!$A:$A,"PER-LUBANG",
               'Upah Tenaga Ahli'!$B:$B,$G239
        ) * $L239 * $K239,
    0),
IF($M239="PER-M",
    IFERROR(
        SUMIFS('Upah Tenaga Ahli'!$E:$E,
               'Upah Tenaga Ahli'!$A:$A,"PER-M",
               'Upah Tenaga Ahli'!$B:$B,$G239
        ) * $J239 * $K239,
    0),
0)))</f>
        <v>732000</v>
      </c>
      <c r="R239" t="s">
        <v>617</v>
      </c>
      <c r="S239" t="s">
        <v>24</v>
      </c>
      <c r="T239">
        <f>IF($M239="PER-M2",
   ($N239 * $J239 * $K239)
   + IFERROR(VLOOKUP($R239,Finishing!A:B,2,FALSE),0)
   + IFERROR(VLOOKUP($S239,Kerumitan!A:B,2,FALSE),0),
IF($M239="PER-LUBANG",
   ($P239 * $L239 * $K239)
   + IFERROR(VLOOKUP($R239,Finishing!A:B,2,FALSE),0)
   + IFERROR(VLOOKUP($S239,Kerumitan!A:B,2,FALSE),0),
IF($M239="PER-M",
   ($O239 * $J239 * $K239)
   + IFERROR(VLOOKUP($R239,Finishing!A:B,2,FALSE),0)
   + IFERROR(VLOOKUP($S239,Kerumitan!A:B,2,FALSE),0),
0)))</f>
        <v>6444000</v>
      </c>
    </row>
    <row r="240" spans="1:20" x14ac:dyDescent="0.45">
      <c r="A240" t="s">
        <v>336</v>
      </c>
      <c r="B240" s="5">
        <v>44160</v>
      </c>
      <c r="C240">
        <f t="shared" si="3"/>
        <v>2020</v>
      </c>
      <c r="D240" t="s">
        <v>68</v>
      </c>
      <c r="E240" t="s">
        <v>32</v>
      </c>
      <c r="F240" t="s">
        <v>625</v>
      </c>
      <c r="G240" t="s">
        <v>14</v>
      </c>
      <c r="H240" t="s">
        <v>615</v>
      </c>
      <c r="I240">
        <v>1.2</v>
      </c>
      <c r="J240">
        <v>3.78</v>
      </c>
      <c r="K240">
        <v>3</v>
      </c>
      <c r="L240">
        <v>0</v>
      </c>
      <c r="M240" t="str" cm="1">
        <f t="array" ref="M240">_xlfn.IFS(
   OR($F240="Pagar", $F240="Pintu Gerbang", $F240="Pintu Handerson", $F240="Kanopi"), "PER-M2",
   $F240="Teralis", "PER-LUBANG",
   OR($F240="Railing", $F240="Railing/Balkon"), "PER-M",
   TRUE, ""
)</f>
        <v>PER-M</v>
      </c>
      <c r="N240" cm="1">
        <f t="array" ref="N240">IF($M240="PER-M2",
  IFERROR(
     _xlfn.IFS(
        $G240="Hollow",
            INDEX('Referensi Harga'!$C:$C,
                  MATCH($F240&amp;$C240,'Referensi Harga'!$A:$A&amp;'Referensi Harga'!$B:$B,0)),
        $G240="Hollow Stainless",
            INDEX('Referensi Harga'!$D:$D,
                  MATCH($F240&amp;$C240,'Referensi Harga'!$A:$A&amp;'Referensi Harga'!$B:$B,0)),
        $G240="Pipa Stainless",
            INDEX('Referensi Harga'!$E:$E,
                  MATCH($F240&amp;$C240,'Referensi Harga'!$A:$A&amp;'Referensi Harga'!$B:$B,0))
     ),0)
  + IFERROR(VLOOKUP($H240,'Profile Size'!$A:$B,2,FALSE),0)
  + IFERROR(VLOOKUP($I240,'Ketebalan Material'!$A:$B,2,FALSE),0),
0)</f>
        <v>0</v>
      </c>
      <c r="O240">
        <f>IF($M240="PER-M",
  IFERROR(
    IF($G240="Hollow",
       INDEX('Referensi Harga'!$C:$C, MATCH($F240 &amp; "|" &amp; $C240, 'Referensi Harga'!$F:$F, 0)),
    IF($G240="Hollow Stainless",
       INDEX('Referensi Harga'!$D:$D, MATCH($F240 &amp; "|" &amp; $C240, 'Referensi Harga'!$F:$F, 0)),
       INDEX('Referensi Harga'!$E:$E, MATCH($F240 &amp; "|" &amp; $C240, 'Referensi Harga'!$F:$F, 0))
    ))
    + IFERROR(VLOOKUP($H240, 'Profile Size'!$A:$B, 2, FALSE), 0)
    + IFERROR(VLOOKUP($I240, 'Ketebalan Material'!$A:$B, 2, FALSE), 0), 0),
0)</f>
        <v>1080000</v>
      </c>
      <c r="P240" cm="1">
        <f t="array" ref="P240">IF($M240="PER-LUBANG",
  IFERROR(
     _xlfn.IFS(
        $G240="Hollow",
            INDEX('Referensi Harga'!$C:$C,
                  MATCH($F240&amp;$C240,'Referensi Harga'!$A:$A&amp;'Referensi Harga'!$B:$B,0)),
        $G240="Hollow Stainless",
            INDEX('Referensi Harga'!$D:$D,
                  MATCH($F240&amp;$C240,'Referensi Harga'!$A:$A&amp;'Referensi Harga'!$B:$B,0)),
        $G240="Pipa Stainless",
            INDEX('Referensi Harga'!$E:$E,
                  MATCH($F240&amp;$C240,'Referensi Harga'!$A:$A&amp;'Referensi Harga'!$B:$B,0))
     ),0)
  + IFERROR(VLOOKUP($H240,'Profile Size'!$A:$B,2,FALSE),0)
  + IFERROR(VLOOKUP($I240,'Ketebalan Material'!$A:$B,2,FALSE),0),
0)</f>
        <v>0</v>
      </c>
      <c r="Q240">
        <f>IF($M240="PER-M2",
    IFERROR(
        SUMIFS('Upah Tenaga Ahli'!$C:$C,
               'Upah Tenaga Ahli'!$A:$A,"PER-M2",
               'Upah Tenaga Ahli'!$B:$B,$G240
        ) * $J240 * $K240,
    0),
IF($M240="PER-LUBANG",
    IFERROR(
        SUMIFS('Upah Tenaga Ahli'!$D:$D,
               'Upah Tenaga Ahli'!$A:$A,"PER-LUBANG",
               'Upah Tenaga Ahli'!$B:$B,$G240
        ) * $L240 * $K240,
    0),
IF($M240="PER-M",
    IFERROR(
        SUMIFS('Upah Tenaga Ahli'!$E:$E,
               'Upah Tenaga Ahli'!$A:$A,"PER-M",
               'Upah Tenaga Ahli'!$B:$B,$G240
        ) * $J240 * $K240,
    0),
0)))</f>
        <v>2268000</v>
      </c>
      <c r="R240" t="s">
        <v>617</v>
      </c>
      <c r="S240" t="s">
        <v>24</v>
      </c>
      <c r="T240">
        <f>IF($M240="PER-M2",
   ($N240 * $J240 * $K240)
   + IFERROR(VLOOKUP($R240,Finishing!A:B,2,FALSE),0)
   + IFERROR(VLOOKUP($S240,Kerumitan!A:B,2,FALSE),0),
IF($M240="PER-LUBANG",
   ($P240 * $L240 * $K240)
   + IFERROR(VLOOKUP($R240,Finishing!A:B,2,FALSE),0)
   + IFERROR(VLOOKUP($S240,Kerumitan!A:B,2,FALSE),0),
IF($M240="PER-M",
   ($O240 * $J240 * $K240)
   + IFERROR(VLOOKUP($R240,Finishing!A:B,2,FALSE),0)
   + IFERROR(VLOOKUP($S240,Kerumitan!A:B,2,FALSE),0),
0)))</f>
        <v>12347200</v>
      </c>
    </row>
    <row r="241" spans="1:20" x14ac:dyDescent="0.45">
      <c r="A241" t="s">
        <v>337</v>
      </c>
      <c r="B241" s="5">
        <v>45753</v>
      </c>
      <c r="C241">
        <f t="shared" si="3"/>
        <v>2025</v>
      </c>
      <c r="D241" t="s">
        <v>93</v>
      </c>
      <c r="E241" t="s">
        <v>75</v>
      </c>
      <c r="F241" t="s">
        <v>8</v>
      </c>
      <c r="G241" t="s">
        <v>13</v>
      </c>
      <c r="H241" t="s">
        <v>612</v>
      </c>
      <c r="I241">
        <v>0.8</v>
      </c>
      <c r="J241">
        <v>0</v>
      </c>
      <c r="K241">
        <v>1</v>
      </c>
      <c r="L241">
        <v>13</v>
      </c>
      <c r="M241" t="str" cm="1">
        <f t="array" ref="M241">_xlfn.IFS(
   OR($F241="Pagar", $F241="Pintu Gerbang", $F241="Pintu Handerson", $F241="Kanopi"), "PER-M2",
   $F241="Teralis", "PER-LUBANG",
   OR($F241="Railing", $F241="Railing/Balkon"), "PER-M",
   TRUE, ""
)</f>
        <v>PER-LUBANG</v>
      </c>
      <c r="N241" cm="1">
        <f t="array" ref="N241">IF($M241="PER-M2",
  IFERROR(
     _xlfn.IFS(
        $G241="Hollow",
            INDEX('Referensi Harga'!$C:$C,
                  MATCH($F241&amp;$C241,'Referensi Harga'!$A:$A&amp;'Referensi Harga'!$B:$B,0)),
        $G241="Hollow Stainless",
            INDEX('Referensi Harga'!$D:$D,
                  MATCH($F241&amp;$C241,'Referensi Harga'!$A:$A&amp;'Referensi Harga'!$B:$B,0)),
        $G241="Pipa Stainless",
            INDEX('Referensi Harga'!$E:$E,
                  MATCH($F241&amp;$C241,'Referensi Harga'!$A:$A&amp;'Referensi Harga'!$B:$B,0))
     ),0)
  + IFERROR(VLOOKUP($H241,'Profile Size'!$A:$B,2,FALSE),0)
  + IFERROR(VLOOKUP($I241,'Ketebalan Material'!$A:$B,2,FALSE),0),
0)</f>
        <v>0</v>
      </c>
      <c r="O241">
        <f>IF($M241="PER-M",
  IFERROR(
    IF($G241="Hollow",
       INDEX('Referensi Harga'!$C:$C, MATCH($F241 &amp; "|" &amp; $C241, 'Referensi Harga'!$F:$F, 0)),
    IF($G241="Hollow Stainless",
       INDEX('Referensi Harga'!$D:$D, MATCH($F241 &amp; "|" &amp; $C241, 'Referensi Harga'!$F:$F, 0)),
       INDEX('Referensi Harga'!$E:$E, MATCH($F241 &amp; "|" &amp; $C241, 'Referensi Harga'!$F:$F, 0))
    ))
    + IFERROR(VLOOKUP($H241, 'Profile Size'!$A:$B, 2, FALSE), 0)
    + IFERROR(VLOOKUP($I241, 'Ketebalan Material'!$A:$B, 2, FALSE), 0), 0),
0)</f>
        <v>0</v>
      </c>
      <c r="P241" cm="1">
        <f t="array" ref="P241">IF($M241="PER-LUBANG",
  IFERROR(
     _xlfn.IFS(
        $G241="Hollow",
            INDEX('Referensi Harga'!$C:$C,
                  MATCH($F241&amp;$C241,'Referensi Harga'!$A:$A&amp;'Referensi Harga'!$B:$B,0)),
        $G241="Hollow Stainless",
            INDEX('Referensi Harga'!$D:$D,
                  MATCH($F241&amp;$C241,'Referensi Harga'!$A:$A&amp;'Referensi Harga'!$B:$B,0)),
        $G241="Pipa Stainless",
            INDEX('Referensi Harga'!$E:$E,
                  MATCH($F241&amp;$C241,'Referensi Harga'!$A:$A&amp;'Referensi Harga'!$B:$B,0))
     ),0)
  + IFERROR(VLOOKUP($H241,'Profile Size'!$A:$B,2,FALSE),0)
  + IFERROR(VLOOKUP($I241,'Ketebalan Material'!$A:$B,2,FALSE),0),
0)</f>
        <v>350000</v>
      </c>
      <c r="Q241">
        <f>IF($M241="PER-M2",
    IFERROR(
        SUMIFS('Upah Tenaga Ahli'!$C:$C,
               'Upah Tenaga Ahli'!$A:$A,"PER-M2",
               'Upah Tenaga Ahli'!$B:$B,$G241
        ) * $J241 * $K241,
    0),
IF($M241="PER-LUBANG",
    IFERROR(
        SUMIFS('Upah Tenaga Ahli'!$D:$D,
               'Upah Tenaga Ahli'!$A:$A,"PER-LUBANG",
               'Upah Tenaga Ahli'!$B:$B,$G241
        ) * $L241 * $K241,
    0),
IF($M241="PER-M",
    IFERROR(
        SUMIFS('Upah Tenaga Ahli'!$E:$E,
               'Upah Tenaga Ahli'!$A:$A,"PER-M",
               'Upah Tenaga Ahli'!$B:$B,$G241
        ) * $J241 * $K241,
    0),
0)))</f>
        <v>975000</v>
      </c>
      <c r="R241" t="s">
        <v>20</v>
      </c>
      <c r="S241" t="s">
        <v>24</v>
      </c>
      <c r="T241">
        <f>IF($M241="PER-M2",
   ($N241 * $J241 * $K241)
   + IFERROR(VLOOKUP($R241,Finishing!A:B,2,FALSE),0)
   + IFERROR(VLOOKUP($S241,Kerumitan!A:B,2,FALSE),0),
IF($M241="PER-LUBANG",
   ($P241 * $L241 * $K241)
   + IFERROR(VLOOKUP($R241,Finishing!A:B,2,FALSE),0)
   + IFERROR(VLOOKUP($S241,Kerumitan!A:B,2,FALSE),0),
IF($M241="PER-M",
   ($O241 * $J241 * $K241)
   + IFERROR(VLOOKUP($R241,Finishing!A:B,2,FALSE),0)
   + IFERROR(VLOOKUP($S241,Kerumitan!A:B,2,FALSE),0),
0)))</f>
        <v>4800000</v>
      </c>
    </row>
    <row r="242" spans="1:20" x14ac:dyDescent="0.45">
      <c r="A242" t="s">
        <v>338</v>
      </c>
      <c r="B242" s="5">
        <v>44619</v>
      </c>
      <c r="C242">
        <f t="shared" si="3"/>
        <v>2022</v>
      </c>
      <c r="D242" t="s">
        <v>103</v>
      </c>
      <c r="E242" t="s">
        <v>38</v>
      </c>
      <c r="F242" t="s">
        <v>4</v>
      </c>
      <c r="G242" t="s">
        <v>13</v>
      </c>
      <c r="H242" t="s">
        <v>46</v>
      </c>
      <c r="I242">
        <v>1</v>
      </c>
      <c r="J242">
        <v>13.93</v>
      </c>
      <c r="K242">
        <v>1</v>
      </c>
      <c r="L242">
        <v>0</v>
      </c>
      <c r="M242" t="str" cm="1">
        <f t="array" ref="M242">_xlfn.IFS(
   OR($F242="Pagar", $F242="Pintu Gerbang", $F242="Pintu Handerson", $F242="Kanopi"), "PER-M2",
   $F242="Teralis", "PER-LUBANG",
   OR($F242="Railing", $F242="Railing/Balkon"), "PER-M",
   TRUE, ""
)</f>
        <v>PER-M2</v>
      </c>
      <c r="N242" cm="1">
        <f t="array" ref="N242">IF($M242="PER-M2",
  IFERROR(
     _xlfn.IFS(
        $G242="Hollow",
            INDEX('Referensi Harga'!$C:$C,
                  MATCH($F242&amp;$C242,'Referensi Harga'!$A:$A&amp;'Referensi Harga'!$B:$B,0)),
        $G242="Hollow Stainless",
            INDEX('Referensi Harga'!$D:$D,
                  MATCH($F242&amp;$C242,'Referensi Harga'!$A:$A&amp;'Referensi Harga'!$B:$B,0)),
        $G242="Pipa Stainless",
            INDEX('Referensi Harga'!$E:$E,
                  MATCH($F242&amp;$C242,'Referensi Harga'!$A:$A&amp;'Referensi Harga'!$B:$B,0))
     ),0)
  + IFERROR(VLOOKUP($H242,'Profile Size'!$A:$B,2,FALSE),0)
  + IFERROR(VLOOKUP($I242,'Ketebalan Material'!$A:$B,2,FALSE),0),
0)</f>
        <v>630000</v>
      </c>
      <c r="O242">
        <f>IF($M242="PER-M",
  IFERROR(
    IF($G242="Hollow",
       INDEX('Referensi Harga'!$C:$C, MATCH($F242 &amp; "|" &amp; $C242, 'Referensi Harga'!$F:$F, 0)),
    IF($G242="Hollow Stainless",
       INDEX('Referensi Harga'!$D:$D, MATCH($F242 &amp; "|" &amp; $C242, 'Referensi Harga'!$F:$F, 0)),
       INDEX('Referensi Harga'!$E:$E, MATCH($F242 &amp; "|" &amp; $C242, 'Referensi Harga'!$F:$F, 0))
    ))
    + IFERROR(VLOOKUP($H242, 'Profile Size'!$A:$B, 2, FALSE), 0)
    + IFERROR(VLOOKUP($I242, 'Ketebalan Material'!$A:$B, 2, FALSE), 0), 0),
0)</f>
        <v>0</v>
      </c>
      <c r="P242" cm="1">
        <f t="array" ref="P242">IF($M242="PER-LUBANG",
  IFERROR(
     _xlfn.IFS(
        $G242="Hollow",
            INDEX('Referensi Harga'!$C:$C,
                  MATCH($F242&amp;$C242,'Referensi Harga'!$A:$A&amp;'Referensi Harga'!$B:$B,0)),
        $G242="Hollow Stainless",
            INDEX('Referensi Harga'!$D:$D,
                  MATCH($F242&amp;$C242,'Referensi Harga'!$A:$A&amp;'Referensi Harga'!$B:$B,0)),
        $G242="Pipa Stainless",
            INDEX('Referensi Harga'!$E:$E,
                  MATCH($F242&amp;$C242,'Referensi Harga'!$A:$A&amp;'Referensi Harga'!$B:$B,0))
     ),0)
  + IFERROR(VLOOKUP($H242,'Profile Size'!$A:$B,2,FALSE),0)
  + IFERROR(VLOOKUP($I242,'Ketebalan Material'!$A:$B,2,FALSE),0),
0)</f>
        <v>0</v>
      </c>
      <c r="Q242">
        <f>IF($M242="PER-M2",
    IFERROR(
        SUMIFS('Upah Tenaga Ahli'!$C:$C,
               'Upah Tenaga Ahli'!$A:$A,"PER-M2",
               'Upah Tenaga Ahli'!$B:$B,$G242
        ) * $J242 * $K242,
    0),
IF($M242="PER-LUBANG",
    IFERROR(
        SUMIFS('Upah Tenaga Ahli'!$D:$D,
               'Upah Tenaga Ahli'!$A:$A,"PER-LUBANG",
               'Upah Tenaga Ahli'!$B:$B,$G242
        ) * $L242 * $K242,
    0),
IF($M242="PER-M",
    IFERROR(
        SUMIFS('Upah Tenaga Ahli'!$E:$E,
               'Upah Tenaga Ahli'!$A:$A,"PER-M",
               'Upah Tenaga Ahli'!$B:$B,$G242
        ) * $J242 * $K242,
    0),
0)))</f>
        <v>1393000</v>
      </c>
      <c r="R242" t="s">
        <v>20</v>
      </c>
      <c r="S242" t="s">
        <v>24</v>
      </c>
      <c r="T242">
        <f>IF($M242="PER-M2",
   ($N242 * $J242 * $K242)
   + IFERROR(VLOOKUP($R242,Finishing!A:B,2,FALSE),0)
   + IFERROR(VLOOKUP($S242,Kerumitan!A:B,2,FALSE),0),
IF($M242="PER-LUBANG",
   ($P242 * $L242 * $K242)
   + IFERROR(VLOOKUP($R242,Finishing!A:B,2,FALSE),0)
   + IFERROR(VLOOKUP($S242,Kerumitan!A:B,2,FALSE),0),
IF($M242="PER-M",
   ($O242 * $J242 * $K242)
   + IFERROR(VLOOKUP($R242,Finishing!A:B,2,FALSE),0)
   + IFERROR(VLOOKUP($S242,Kerumitan!A:B,2,FALSE),0),
0)))</f>
        <v>9025900</v>
      </c>
    </row>
    <row r="243" spans="1:20" x14ac:dyDescent="0.45">
      <c r="A243" t="s">
        <v>339</v>
      </c>
      <c r="B243" s="5">
        <v>44972</v>
      </c>
      <c r="C243">
        <f t="shared" si="3"/>
        <v>2023</v>
      </c>
      <c r="D243" t="s">
        <v>59</v>
      </c>
      <c r="E243" t="s">
        <v>61</v>
      </c>
      <c r="F243" t="s">
        <v>8</v>
      </c>
      <c r="G243" t="s">
        <v>13</v>
      </c>
      <c r="H243" t="s">
        <v>611</v>
      </c>
      <c r="I243">
        <v>1</v>
      </c>
      <c r="J243">
        <v>0</v>
      </c>
      <c r="K243">
        <v>1</v>
      </c>
      <c r="L243">
        <v>6</v>
      </c>
      <c r="M243" t="str" cm="1">
        <f t="array" ref="M243">_xlfn.IFS(
   OR($F243="Pagar", $F243="Pintu Gerbang", $F243="Pintu Handerson", $F243="Kanopi"), "PER-M2",
   $F243="Teralis", "PER-LUBANG",
   OR($F243="Railing", $F243="Railing/Balkon"), "PER-M",
   TRUE, ""
)</f>
        <v>PER-LUBANG</v>
      </c>
      <c r="N243" cm="1">
        <f t="array" ref="N243">IF($M243="PER-M2",
  IFERROR(
     _xlfn.IFS(
        $G243="Hollow",
            INDEX('Referensi Harga'!$C:$C,
                  MATCH($F243&amp;$C243,'Referensi Harga'!$A:$A&amp;'Referensi Harga'!$B:$B,0)),
        $G243="Hollow Stainless",
            INDEX('Referensi Harga'!$D:$D,
                  MATCH($F243&amp;$C243,'Referensi Harga'!$A:$A&amp;'Referensi Harga'!$B:$B,0)),
        $G243="Pipa Stainless",
            INDEX('Referensi Harga'!$E:$E,
                  MATCH($F243&amp;$C243,'Referensi Harga'!$A:$A&amp;'Referensi Harga'!$B:$B,0))
     ),0)
  + IFERROR(VLOOKUP($H243,'Profile Size'!$A:$B,2,FALSE),0)
  + IFERROR(VLOOKUP($I243,'Ketebalan Material'!$A:$B,2,FALSE),0),
0)</f>
        <v>0</v>
      </c>
      <c r="O243">
        <f>IF($M243="PER-M",
  IFERROR(
    IF($G243="Hollow",
       INDEX('Referensi Harga'!$C:$C, MATCH($F243 &amp; "|" &amp; $C243, 'Referensi Harga'!$F:$F, 0)),
    IF($G243="Hollow Stainless",
       INDEX('Referensi Harga'!$D:$D, MATCH($F243 &amp; "|" &amp; $C243, 'Referensi Harga'!$F:$F, 0)),
       INDEX('Referensi Harga'!$E:$E, MATCH($F243 &amp; "|" &amp; $C243, 'Referensi Harga'!$F:$F, 0))
    ))
    + IFERROR(VLOOKUP($H243, 'Profile Size'!$A:$B, 2, FALSE), 0)
    + IFERROR(VLOOKUP($I243, 'Ketebalan Material'!$A:$B, 2, FALSE), 0), 0),
0)</f>
        <v>0</v>
      </c>
      <c r="P243" cm="1">
        <f t="array" ref="P243">IF($M243="PER-LUBANG",
  IFERROR(
     _xlfn.IFS(
        $G243="Hollow",
            INDEX('Referensi Harga'!$C:$C,
                  MATCH($F243&amp;$C243,'Referensi Harga'!$A:$A&amp;'Referensi Harga'!$B:$B,0)),
        $G243="Hollow Stainless",
            INDEX('Referensi Harga'!$D:$D,
                  MATCH($F243&amp;$C243,'Referensi Harga'!$A:$A&amp;'Referensi Harga'!$B:$B,0)),
        $G243="Pipa Stainless",
            INDEX('Referensi Harga'!$E:$E,
                  MATCH($F243&amp;$C243,'Referensi Harga'!$A:$A&amp;'Referensi Harga'!$B:$B,0))
     ),0)
  + IFERROR(VLOOKUP($H243,'Profile Size'!$A:$B,2,FALSE),0)
  + IFERROR(VLOOKUP($I243,'Ketebalan Material'!$A:$B,2,FALSE),0),
0)</f>
        <v>400000</v>
      </c>
      <c r="Q243">
        <f>IF($M243="PER-M2",
    IFERROR(
        SUMIFS('Upah Tenaga Ahli'!$C:$C,
               'Upah Tenaga Ahli'!$A:$A,"PER-M2",
               'Upah Tenaga Ahli'!$B:$B,$G243
        ) * $J243 * $K243,
    0),
IF($M243="PER-LUBANG",
    IFERROR(
        SUMIFS('Upah Tenaga Ahli'!$D:$D,
               'Upah Tenaga Ahli'!$A:$A,"PER-LUBANG",
               'Upah Tenaga Ahli'!$B:$B,$G243
        ) * $L243 * $K243,
    0),
IF($M243="PER-M",
    IFERROR(
        SUMIFS('Upah Tenaga Ahli'!$E:$E,
               'Upah Tenaga Ahli'!$A:$A,"PER-M",
               'Upah Tenaga Ahli'!$B:$B,$G243
        ) * $J243 * $K243,
    0),
0)))</f>
        <v>450000</v>
      </c>
      <c r="R243" t="s">
        <v>18</v>
      </c>
      <c r="S243" t="s">
        <v>23</v>
      </c>
      <c r="T243">
        <f>IF($M243="PER-M2",
   ($N243 * $J243 * $K243)
   + IFERROR(VLOOKUP($R243,Finishing!A:B,2,FALSE),0)
   + IFERROR(VLOOKUP($S243,Kerumitan!A:B,2,FALSE),0),
IF($M243="PER-LUBANG",
   ($P243 * $L243 * $K243)
   + IFERROR(VLOOKUP($R243,Finishing!A:B,2,FALSE),0)
   + IFERROR(VLOOKUP($S243,Kerumitan!A:B,2,FALSE),0),
IF($M243="PER-M",
   ($O243 * $J243 * $K243)
   + IFERROR(VLOOKUP($R243,Finishing!A:B,2,FALSE),0)
   + IFERROR(VLOOKUP($S243,Kerumitan!A:B,2,FALSE),0),
0)))</f>
        <v>2400000</v>
      </c>
    </row>
    <row r="244" spans="1:20" x14ac:dyDescent="0.45">
      <c r="A244" t="s">
        <v>340</v>
      </c>
      <c r="B244" s="5">
        <v>44386</v>
      </c>
      <c r="C244">
        <f t="shared" si="3"/>
        <v>2021</v>
      </c>
      <c r="D244" t="s">
        <v>81</v>
      </c>
      <c r="E244" t="s">
        <v>121</v>
      </c>
      <c r="F244" t="s">
        <v>8</v>
      </c>
      <c r="G244" t="s">
        <v>14</v>
      </c>
      <c r="H244" t="s">
        <v>612</v>
      </c>
      <c r="I244">
        <v>1.2</v>
      </c>
      <c r="J244">
        <v>0</v>
      </c>
      <c r="K244">
        <v>1</v>
      </c>
      <c r="L244">
        <v>10</v>
      </c>
      <c r="M244" t="str" cm="1">
        <f t="array" ref="M244">_xlfn.IFS(
   OR($F244="Pagar", $F244="Pintu Gerbang", $F244="Pintu Handerson", $F244="Kanopi"), "PER-M2",
   $F244="Teralis", "PER-LUBANG",
   OR($F244="Railing", $F244="Railing/Balkon"), "PER-M",
   TRUE, ""
)</f>
        <v>PER-LUBANG</v>
      </c>
      <c r="N244" cm="1">
        <f t="array" ref="N244">IF($M244="PER-M2",
  IFERROR(
     _xlfn.IFS(
        $G244="Hollow",
            INDEX('Referensi Harga'!$C:$C,
                  MATCH($F244&amp;$C244,'Referensi Harga'!$A:$A&amp;'Referensi Harga'!$B:$B,0)),
        $G244="Hollow Stainless",
            INDEX('Referensi Harga'!$D:$D,
                  MATCH($F244&amp;$C244,'Referensi Harga'!$A:$A&amp;'Referensi Harga'!$B:$B,0)),
        $G244="Pipa Stainless",
            INDEX('Referensi Harga'!$E:$E,
                  MATCH($F244&amp;$C244,'Referensi Harga'!$A:$A&amp;'Referensi Harga'!$B:$B,0))
     ),0)
  + IFERROR(VLOOKUP($H244,'Profile Size'!$A:$B,2,FALSE),0)
  + IFERROR(VLOOKUP($I244,'Ketebalan Material'!$A:$B,2,FALSE),0),
0)</f>
        <v>0</v>
      </c>
      <c r="O244">
        <f>IF($M244="PER-M",
  IFERROR(
    IF($G244="Hollow",
       INDEX('Referensi Harga'!$C:$C, MATCH($F244 &amp; "|" &amp; $C244, 'Referensi Harga'!$F:$F, 0)),
    IF($G244="Hollow Stainless",
       INDEX('Referensi Harga'!$D:$D, MATCH($F244 &amp; "|" &amp; $C244, 'Referensi Harga'!$F:$F, 0)),
       INDEX('Referensi Harga'!$E:$E, MATCH($F244 &amp; "|" &amp; $C244, 'Referensi Harga'!$F:$F, 0))
    ))
    + IFERROR(VLOOKUP($H244, 'Profile Size'!$A:$B, 2, FALSE), 0)
    + IFERROR(VLOOKUP($I244, 'Ketebalan Material'!$A:$B, 2, FALSE), 0), 0),
0)</f>
        <v>0</v>
      </c>
      <c r="P244" cm="1">
        <f t="array" ref="P244">IF($M244="PER-LUBANG",
  IFERROR(
     _xlfn.IFS(
        $G244="Hollow",
            INDEX('Referensi Harga'!$C:$C,
                  MATCH($F244&amp;$C244,'Referensi Harga'!$A:$A&amp;'Referensi Harga'!$B:$B,0)),
        $G244="Hollow Stainless",
            INDEX('Referensi Harga'!$D:$D,
                  MATCH($F244&amp;$C244,'Referensi Harga'!$A:$A&amp;'Referensi Harga'!$B:$B,0)),
        $G244="Pipa Stainless",
            INDEX('Referensi Harga'!$E:$E,
                  MATCH($F244&amp;$C244,'Referensi Harga'!$A:$A&amp;'Referensi Harga'!$B:$B,0))
     ),0)
  + IFERROR(VLOOKUP($H244,'Profile Size'!$A:$B,2,FALSE),0)
  + IFERROR(VLOOKUP($I244,'Ketebalan Material'!$A:$B,2,FALSE),0),
0)</f>
        <v>740000</v>
      </c>
      <c r="Q244">
        <f>IF($M244="PER-M2",
    IFERROR(
        SUMIFS('Upah Tenaga Ahli'!$C:$C,
               'Upah Tenaga Ahli'!$A:$A,"PER-M2",
               'Upah Tenaga Ahli'!$B:$B,$G244
        ) * $J244 * $K244,
    0),
IF($M244="PER-LUBANG",
    IFERROR(
        SUMIFS('Upah Tenaga Ahli'!$D:$D,
               'Upah Tenaga Ahli'!$A:$A,"PER-LUBANG",
               'Upah Tenaga Ahli'!$B:$B,$G244
        ) * $L244 * $K244,
    0),
IF($M244="PER-M",
    IFERROR(
        SUMIFS('Upah Tenaga Ahli'!$E:$E,
               'Upah Tenaga Ahli'!$A:$A,"PER-M",
               'Upah Tenaga Ahli'!$B:$B,$G244
        ) * $J244 * $K244,
    0),
0)))</f>
        <v>1500000</v>
      </c>
      <c r="R244" t="s">
        <v>617</v>
      </c>
      <c r="S244" t="s">
        <v>24</v>
      </c>
      <c r="T244">
        <f>IF($M244="PER-M2",
   ($N244 * $J244 * $K244)
   + IFERROR(VLOOKUP($R244,Finishing!A:B,2,FALSE),0)
   + IFERROR(VLOOKUP($S244,Kerumitan!A:B,2,FALSE),0),
IF($M244="PER-LUBANG",
   ($P244 * $L244 * $K244)
   + IFERROR(VLOOKUP($R244,Finishing!A:B,2,FALSE),0)
   + IFERROR(VLOOKUP($S244,Kerumitan!A:B,2,FALSE),0),
IF($M244="PER-M",
   ($O244 * $J244 * $K244)
   + IFERROR(VLOOKUP($R244,Finishing!A:B,2,FALSE),0)
   + IFERROR(VLOOKUP($S244,Kerumitan!A:B,2,FALSE),0),
0)))</f>
        <v>7500000</v>
      </c>
    </row>
    <row r="245" spans="1:20" x14ac:dyDescent="0.45">
      <c r="A245" t="s">
        <v>341</v>
      </c>
      <c r="B245" s="5">
        <v>43671</v>
      </c>
      <c r="C245">
        <f t="shared" si="3"/>
        <v>2019</v>
      </c>
      <c r="D245" t="s">
        <v>65</v>
      </c>
      <c r="E245" t="s">
        <v>28</v>
      </c>
      <c r="F245" t="s">
        <v>6</v>
      </c>
      <c r="G245" t="s">
        <v>15</v>
      </c>
      <c r="H245" t="s">
        <v>35</v>
      </c>
      <c r="I245">
        <v>0.8</v>
      </c>
      <c r="J245">
        <v>20.77</v>
      </c>
      <c r="K245">
        <v>1</v>
      </c>
      <c r="L245">
        <v>0</v>
      </c>
      <c r="M245" t="str" cm="1">
        <f t="array" ref="M245">_xlfn.IFS(
   OR($F245="Pagar", $F245="Pintu Gerbang", $F245="Pintu Handerson", $F245="Kanopi"), "PER-M2",
   $F245="Teralis", "PER-LUBANG",
   OR($F245="Railing", $F245="Railing/Balkon"), "PER-M",
   TRUE, ""
)</f>
        <v>PER-M2</v>
      </c>
      <c r="N245" cm="1">
        <f t="array" ref="N245">IF($M245="PER-M2",
  IFERROR(
     _xlfn.IFS(
        $G245="Hollow",
            INDEX('Referensi Harga'!$C:$C,
                  MATCH($F245&amp;$C245,'Referensi Harga'!$A:$A&amp;'Referensi Harga'!$B:$B,0)),
        $G245="Hollow Stainless",
            INDEX('Referensi Harga'!$D:$D,
                  MATCH($F245&amp;$C245,'Referensi Harga'!$A:$A&amp;'Referensi Harga'!$B:$B,0)),
        $G245="Pipa Stainless",
            INDEX('Referensi Harga'!$E:$E,
                  MATCH($F245&amp;$C245,'Referensi Harga'!$A:$A&amp;'Referensi Harga'!$B:$B,0))
     ),0)
  + IFERROR(VLOOKUP($H245,'Profile Size'!$A:$B,2,FALSE),0)
  + IFERROR(VLOOKUP($I245,'Ketebalan Material'!$A:$B,2,FALSE),0),
0)</f>
        <v>750000</v>
      </c>
      <c r="O245">
        <f>IF($M245="PER-M",
  IFERROR(
    IF($G245="Hollow",
       INDEX('Referensi Harga'!$C:$C, MATCH($F245 &amp; "|" &amp; $C245, 'Referensi Harga'!$F:$F, 0)),
    IF($G245="Hollow Stainless",
       INDEX('Referensi Harga'!$D:$D, MATCH($F245 &amp; "|" &amp; $C245, 'Referensi Harga'!$F:$F, 0)),
       INDEX('Referensi Harga'!$E:$E, MATCH($F245 &amp; "|" &amp; $C245, 'Referensi Harga'!$F:$F, 0))
    ))
    + IFERROR(VLOOKUP($H245, 'Profile Size'!$A:$B, 2, FALSE), 0)
    + IFERROR(VLOOKUP($I245, 'Ketebalan Material'!$A:$B, 2, FALSE), 0), 0),
0)</f>
        <v>0</v>
      </c>
      <c r="P245" cm="1">
        <f t="array" ref="P245">IF($M245="PER-LUBANG",
  IFERROR(
     _xlfn.IFS(
        $G245="Hollow",
            INDEX('Referensi Harga'!$C:$C,
                  MATCH($F245&amp;$C245,'Referensi Harga'!$A:$A&amp;'Referensi Harga'!$B:$B,0)),
        $G245="Hollow Stainless",
            INDEX('Referensi Harga'!$D:$D,
                  MATCH($F245&amp;$C245,'Referensi Harga'!$A:$A&amp;'Referensi Harga'!$B:$B,0)),
        $G245="Pipa Stainless",
            INDEX('Referensi Harga'!$E:$E,
                  MATCH($F245&amp;$C245,'Referensi Harga'!$A:$A&amp;'Referensi Harga'!$B:$B,0))
     ),0)
  + IFERROR(VLOOKUP($H245,'Profile Size'!$A:$B,2,FALSE),0)
  + IFERROR(VLOOKUP($I245,'Ketebalan Material'!$A:$B,2,FALSE),0),
0)</f>
        <v>0</v>
      </c>
      <c r="Q245">
        <f>IF($M245="PER-M2",
    IFERROR(
        SUMIFS('Upah Tenaga Ahli'!$C:$C,
               'Upah Tenaga Ahli'!$A:$A,"PER-M2",
               'Upah Tenaga Ahli'!$B:$B,$G245
        ) * $J245 * $K245,
    0),
IF($M245="PER-LUBANG",
    IFERROR(
        SUMIFS('Upah Tenaga Ahli'!$D:$D,
               'Upah Tenaga Ahli'!$A:$A,"PER-LUBANG",
               'Upah Tenaga Ahli'!$B:$B,$G245
        ) * $L245 * $K245,
    0),
IF($M245="PER-M",
    IFERROR(
        SUMIFS('Upah Tenaga Ahli'!$E:$E,
               'Upah Tenaga Ahli'!$A:$A,"PER-M",
               'Upah Tenaga Ahli'!$B:$B,$G245
        ) * $J245 * $K245,
    0),
0)))</f>
        <v>3115500</v>
      </c>
      <c r="R245" t="s">
        <v>617</v>
      </c>
      <c r="S245" t="s">
        <v>24</v>
      </c>
      <c r="T245">
        <f>IF($M245="PER-M2",
   ($N245 * $J245 * $K245)
   + IFERROR(VLOOKUP($R245,Finishing!A:B,2,FALSE),0)
   + IFERROR(VLOOKUP($S245,Kerumitan!A:B,2,FALSE),0),
IF($M245="PER-LUBANG",
   ($P245 * $L245 * $K245)
   + IFERROR(VLOOKUP($R245,Finishing!A:B,2,FALSE),0)
   + IFERROR(VLOOKUP($S245,Kerumitan!A:B,2,FALSE),0),
IF($M245="PER-M",
   ($O245 * $J245 * $K245)
   + IFERROR(VLOOKUP($R245,Finishing!A:B,2,FALSE),0)
   + IFERROR(VLOOKUP($S245,Kerumitan!A:B,2,FALSE),0),
0)))</f>
        <v>15677500</v>
      </c>
    </row>
    <row r="246" spans="1:20" x14ac:dyDescent="0.45">
      <c r="A246" t="s">
        <v>342</v>
      </c>
      <c r="B246" s="5">
        <v>44375</v>
      </c>
      <c r="C246">
        <f t="shared" si="3"/>
        <v>2021</v>
      </c>
      <c r="D246" t="s">
        <v>43</v>
      </c>
      <c r="E246" t="s">
        <v>38</v>
      </c>
      <c r="F246" t="s">
        <v>625</v>
      </c>
      <c r="G246" t="s">
        <v>13</v>
      </c>
      <c r="H246" t="s">
        <v>46</v>
      </c>
      <c r="I246">
        <v>1.2</v>
      </c>
      <c r="J246">
        <v>4.9800000000000004</v>
      </c>
      <c r="K246">
        <v>3</v>
      </c>
      <c r="L246">
        <v>0</v>
      </c>
      <c r="M246" t="str" cm="1">
        <f t="array" ref="M246">_xlfn.IFS(
   OR($F246="Pagar", $F246="Pintu Gerbang", $F246="Pintu Handerson", $F246="Kanopi"), "PER-M2",
   $F246="Teralis", "PER-LUBANG",
   OR($F246="Railing", $F246="Railing/Balkon"), "PER-M",
   TRUE, ""
)</f>
        <v>PER-M</v>
      </c>
      <c r="N246" cm="1">
        <f t="array" ref="N246">IF($M246="PER-M2",
  IFERROR(
     _xlfn.IFS(
        $G246="Hollow",
            INDEX('Referensi Harga'!$C:$C,
                  MATCH($F246&amp;$C246,'Referensi Harga'!$A:$A&amp;'Referensi Harga'!$B:$B,0)),
        $G246="Hollow Stainless",
            INDEX('Referensi Harga'!$D:$D,
                  MATCH($F246&amp;$C246,'Referensi Harga'!$A:$A&amp;'Referensi Harga'!$B:$B,0)),
        $G246="Pipa Stainless",
            INDEX('Referensi Harga'!$E:$E,
                  MATCH($F246&amp;$C246,'Referensi Harga'!$A:$A&amp;'Referensi Harga'!$B:$B,0))
     ),0)
  + IFERROR(VLOOKUP($H246,'Profile Size'!$A:$B,2,FALSE),0)
  + IFERROR(VLOOKUP($I246,'Ketebalan Material'!$A:$B,2,FALSE),0),
0)</f>
        <v>0</v>
      </c>
      <c r="O246">
        <f>IF($M246="PER-M",
  IFERROR(
    IF($G246="Hollow",
       INDEX('Referensi Harga'!$C:$C, MATCH($F246 &amp; "|" &amp; $C246, 'Referensi Harga'!$F:$F, 0)),
    IF($G246="Hollow Stainless",
       INDEX('Referensi Harga'!$D:$D, MATCH($F246 &amp; "|" &amp; $C246, 'Referensi Harga'!$F:$F, 0)),
       INDEX('Referensi Harga'!$E:$E, MATCH($F246 &amp; "|" &amp; $C246, 'Referensi Harga'!$F:$F, 0))
    ))
    + IFERROR(VLOOKUP($H246, 'Profile Size'!$A:$B, 2, FALSE), 0)
    + IFERROR(VLOOKUP($I246, 'Ketebalan Material'!$A:$B, 2, FALSE), 0), 0),
0)</f>
        <v>600000</v>
      </c>
      <c r="P246" cm="1">
        <f t="array" ref="P246">IF($M246="PER-LUBANG",
  IFERROR(
     _xlfn.IFS(
        $G246="Hollow",
            INDEX('Referensi Harga'!$C:$C,
                  MATCH($F246&amp;$C246,'Referensi Harga'!$A:$A&amp;'Referensi Harga'!$B:$B,0)),
        $G246="Hollow Stainless",
            INDEX('Referensi Harga'!$D:$D,
                  MATCH($F246&amp;$C246,'Referensi Harga'!$A:$A&amp;'Referensi Harga'!$B:$B,0)),
        $G246="Pipa Stainless",
            INDEX('Referensi Harga'!$E:$E,
                  MATCH($F246&amp;$C246,'Referensi Harga'!$A:$A&amp;'Referensi Harga'!$B:$B,0))
     ),0)
  + IFERROR(VLOOKUP($H246,'Profile Size'!$A:$B,2,FALSE),0)
  + IFERROR(VLOOKUP($I246,'Ketebalan Material'!$A:$B,2,FALSE),0),
0)</f>
        <v>0</v>
      </c>
      <c r="Q246">
        <f>IF($M246="PER-M2",
    IFERROR(
        SUMIFS('Upah Tenaga Ahli'!$C:$C,
               'Upah Tenaga Ahli'!$A:$A,"PER-M2",
               'Upah Tenaga Ahli'!$B:$B,$G246
        ) * $J246 * $K246,
    0),
IF($M246="PER-LUBANG",
    IFERROR(
        SUMIFS('Upah Tenaga Ahli'!$D:$D,
               'Upah Tenaga Ahli'!$A:$A,"PER-LUBANG",
               'Upah Tenaga Ahli'!$B:$B,$G246
        ) * $L246 * $K246,
    0),
IF($M246="PER-M",
    IFERROR(
        SUMIFS('Upah Tenaga Ahli'!$E:$E,
               'Upah Tenaga Ahli'!$A:$A,"PER-M",
               'Upah Tenaga Ahli'!$B:$B,$G246
        ) * $J246 * $K246,
    0),
0)))</f>
        <v>1494000.0000000002</v>
      </c>
      <c r="R246" t="s">
        <v>19</v>
      </c>
      <c r="S246" t="s">
        <v>23</v>
      </c>
      <c r="T246">
        <f>IF($M246="PER-M2",
   ($N246 * $J246 * $K246)
   + IFERROR(VLOOKUP($R246,Finishing!A:B,2,FALSE),0)
   + IFERROR(VLOOKUP($S246,Kerumitan!A:B,2,FALSE),0),
IF($M246="PER-LUBANG",
   ($P246 * $L246 * $K246)
   + IFERROR(VLOOKUP($R246,Finishing!A:B,2,FALSE),0)
   + IFERROR(VLOOKUP($S246,Kerumitan!A:B,2,FALSE),0),
IF($M246="PER-M",
   ($O246 * $J246 * $K246)
   + IFERROR(VLOOKUP($R246,Finishing!A:B,2,FALSE),0)
   + IFERROR(VLOOKUP($S246,Kerumitan!A:B,2,FALSE),0),
0)))</f>
        <v>9014000.0000000019</v>
      </c>
    </row>
    <row r="247" spans="1:20" x14ac:dyDescent="0.45">
      <c r="A247" t="s">
        <v>343</v>
      </c>
      <c r="B247" s="5">
        <v>43473</v>
      </c>
      <c r="C247">
        <f t="shared" si="3"/>
        <v>2019</v>
      </c>
      <c r="D247" t="s">
        <v>344</v>
      </c>
      <c r="E247" t="s">
        <v>87</v>
      </c>
      <c r="F247" t="s">
        <v>7</v>
      </c>
      <c r="G247" t="s">
        <v>14</v>
      </c>
      <c r="H247" t="s">
        <v>615</v>
      </c>
      <c r="I247">
        <v>0.8</v>
      </c>
      <c r="J247">
        <v>8.64</v>
      </c>
      <c r="K247">
        <v>1</v>
      </c>
      <c r="L247">
        <v>0</v>
      </c>
      <c r="M247" t="str" cm="1">
        <f t="array" ref="M247">_xlfn.IFS(
   OR($F247="Pagar", $F247="Pintu Gerbang", $F247="Pintu Handerson", $F247="Kanopi"), "PER-M2",
   $F247="Teralis", "PER-LUBANG",
   OR($F247="Railing", $F247="Railing/Balkon"), "PER-M",
   TRUE, ""
)</f>
        <v>PER-M2</v>
      </c>
      <c r="N247" cm="1">
        <f t="array" ref="N247">IF($M247="PER-M2",
  IFERROR(
     _xlfn.IFS(
        $G247="Hollow",
            INDEX('Referensi Harga'!$C:$C,
                  MATCH($F247&amp;$C247,'Referensi Harga'!$A:$A&amp;'Referensi Harga'!$B:$B,0)),
        $G247="Hollow Stainless",
            INDEX('Referensi Harga'!$D:$D,
                  MATCH($F247&amp;$C247,'Referensi Harga'!$A:$A&amp;'Referensi Harga'!$B:$B,0)),
        $G247="Pipa Stainless",
            INDEX('Referensi Harga'!$E:$E,
                  MATCH($F247&amp;$C247,'Referensi Harga'!$A:$A&amp;'Referensi Harga'!$B:$B,0))
     ),0)
  + IFERROR(VLOOKUP($H247,'Profile Size'!$A:$B,2,FALSE),0)
  + IFERROR(VLOOKUP($I247,'Ketebalan Material'!$A:$B,2,FALSE),0),
0)</f>
        <v>1050000</v>
      </c>
      <c r="O247">
        <f>IF($M247="PER-M",
  IFERROR(
    IF($G247="Hollow",
       INDEX('Referensi Harga'!$C:$C, MATCH($F247 &amp; "|" &amp; $C247, 'Referensi Harga'!$F:$F, 0)),
    IF($G247="Hollow Stainless",
       INDEX('Referensi Harga'!$D:$D, MATCH($F247 &amp; "|" &amp; $C247, 'Referensi Harga'!$F:$F, 0)),
       INDEX('Referensi Harga'!$E:$E, MATCH($F247 &amp; "|" &amp; $C247, 'Referensi Harga'!$F:$F, 0))
    ))
    + IFERROR(VLOOKUP($H247, 'Profile Size'!$A:$B, 2, FALSE), 0)
    + IFERROR(VLOOKUP($I247, 'Ketebalan Material'!$A:$B, 2, FALSE), 0), 0),
0)</f>
        <v>0</v>
      </c>
      <c r="P247" cm="1">
        <f t="array" ref="P247">IF($M247="PER-LUBANG",
  IFERROR(
     _xlfn.IFS(
        $G247="Hollow",
            INDEX('Referensi Harga'!$C:$C,
                  MATCH($F247&amp;$C247,'Referensi Harga'!$A:$A&amp;'Referensi Harga'!$B:$B,0)),
        $G247="Hollow Stainless",
            INDEX('Referensi Harga'!$D:$D,
                  MATCH($F247&amp;$C247,'Referensi Harga'!$A:$A&amp;'Referensi Harga'!$B:$B,0)),
        $G247="Pipa Stainless",
            INDEX('Referensi Harga'!$E:$E,
                  MATCH($F247&amp;$C247,'Referensi Harga'!$A:$A&amp;'Referensi Harga'!$B:$B,0))
     ),0)
  + IFERROR(VLOOKUP($H247,'Profile Size'!$A:$B,2,FALSE),0)
  + IFERROR(VLOOKUP($I247,'Ketebalan Material'!$A:$B,2,FALSE),0),
0)</f>
        <v>0</v>
      </c>
      <c r="Q247">
        <f>IF($M247="PER-M2",
    IFERROR(
        SUMIFS('Upah Tenaga Ahli'!$C:$C,
               'Upah Tenaga Ahli'!$A:$A,"PER-M2",
               'Upah Tenaga Ahli'!$B:$B,$G247
        ) * $J247 * $K247,
    0),
IF($M247="PER-LUBANG",
    IFERROR(
        SUMIFS('Upah Tenaga Ahli'!$D:$D,
               'Upah Tenaga Ahli'!$A:$A,"PER-LUBANG",
               'Upah Tenaga Ahli'!$B:$B,$G247
        ) * $L247 * $K247,
    0),
IF($M247="PER-M",
    IFERROR(
        SUMIFS('Upah Tenaga Ahli'!$E:$E,
               'Upah Tenaga Ahli'!$A:$A,"PER-M",
               'Upah Tenaga Ahli'!$B:$B,$G247
        ) * $J247 * $K247,
    0),
0)))</f>
        <v>1728000</v>
      </c>
      <c r="R247" t="s">
        <v>617</v>
      </c>
      <c r="S247" t="s">
        <v>24</v>
      </c>
      <c r="T247">
        <f>IF($M247="PER-M2",
   ($N247 * $J247 * $K247)
   + IFERROR(VLOOKUP($R247,Finishing!A:B,2,FALSE),0)
   + IFERROR(VLOOKUP($S247,Kerumitan!A:B,2,FALSE),0),
IF($M247="PER-LUBANG",
   ($P247 * $L247 * $K247)
   + IFERROR(VLOOKUP($R247,Finishing!A:B,2,FALSE),0)
   + IFERROR(VLOOKUP($S247,Kerumitan!A:B,2,FALSE),0),
IF($M247="PER-M",
   ($O247 * $J247 * $K247)
   + IFERROR(VLOOKUP($R247,Finishing!A:B,2,FALSE),0)
   + IFERROR(VLOOKUP($S247,Kerumitan!A:B,2,FALSE),0),
0)))</f>
        <v>9172000</v>
      </c>
    </row>
    <row r="248" spans="1:20" x14ac:dyDescent="0.45">
      <c r="A248" t="s">
        <v>345</v>
      </c>
      <c r="B248" s="5">
        <v>45116</v>
      </c>
      <c r="C248">
        <f t="shared" si="3"/>
        <v>2023</v>
      </c>
      <c r="D248" t="s">
        <v>31</v>
      </c>
      <c r="E248" t="s">
        <v>69</v>
      </c>
      <c r="F248" t="s">
        <v>625</v>
      </c>
      <c r="G248" t="s">
        <v>13</v>
      </c>
      <c r="H248" t="s">
        <v>46</v>
      </c>
      <c r="I248">
        <v>0.8</v>
      </c>
      <c r="J248">
        <v>7.96</v>
      </c>
      <c r="K248">
        <v>2</v>
      </c>
      <c r="L248">
        <v>0</v>
      </c>
      <c r="M248" t="str" cm="1">
        <f t="array" ref="M248">_xlfn.IFS(
   OR($F248="Pagar", $F248="Pintu Gerbang", $F248="Pintu Handerson", $F248="Kanopi"), "PER-M2",
   $F248="Teralis", "PER-LUBANG",
   OR($F248="Railing", $F248="Railing/Balkon"), "PER-M",
   TRUE, ""
)</f>
        <v>PER-M</v>
      </c>
      <c r="N248" cm="1">
        <f t="array" ref="N248">IF($M248="PER-M2",
  IFERROR(
     _xlfn.IFS(
        $G248="Hollow",
            INDEX('Referensi Harga'!$C:$C,
                  MATCH($F248&amp;$C248,'Referensi Harga'!$A:$A&amp;'Referensi Harga'!$B:$B,0)),
        $G248="Hollow Stainless",
            INDEX('Referensi Harga'!$D:$D,
                  MATCH($F248&amp;$C248,'Referensi Harga'!$A:$A&amp;'Referensi Harga'!$B:$B,0)),
        $G248="Pipa Stainless",
            INDEX('Referensi Harga'!$E:$E,
                  MATCH($F248&amp;$C248,'Referensi Harga'!$A:$A&amp;'Referensi Harga'!$B:$B,0))
     ),0)
  + IFERROR(VLOOKUP($H248,'Profile Size'!$A:$B,2,FALSE),0)
  + IFERROR(VLOOKUP($I248,'Ketebalan Material'!$A:$B,2,FALSE),0),
0)</f>
        <v>0</v>
      </c>
      <c r="O248">
        <f>IF($M248="PER-M",
  IFERROR(
    IF($G248="Hollow",
       INDEX('Referensi Harga'!$C:$C, MATCH($F248 &amp; "|" &amp; $C248, 'Referensi Harga'!$F:$F, 0)),
    IF($G248="Hollow Stainless",
       INDEX('Referensi Harga'!$D:$D, MATCH($F248 &amp; "|" &amp; $C248, 'Referensi Harga'!$F:$F, 0)),
       INDEX('Referensi Harga'!$E:$E, MATCH($F248 &amp; "|" &amp; $C248, 'Referensi Harga'!$F:$F, 0))
    ))
    + IFERROR(VLOOKUP($H248, 'Profile Size'!$A:$B, 2, FALSE), 0)
    + IFERROR(VLOOKUP($I248, 'Ketebalan Material'!$A:$B, 2, FALSE), 0), 0),
0)</f>
        <v>550000</v>
      </c>
      <c r="P248" cm="1">
        <f t="array" ref="P248">IF($M248="PER-LUBANG",
  IFERROR(
     _xlfn.IFS(
        $G248="Hollow",
            INDEX('Referensi Harga'!$C:$C,
                  MATCH($F248&amp;$C248,'Referensi Harga'!$A:$A&amp;'Referensi Harga'!$B:$B,0)),
        $G248="Hollow Stainless",
            INDEX('Referensi Harga'!$D:$D,
                  MATCH($F248&amp;$C248,'Referensi Harga'!$A:$A&amp;'Referensi Harga'!$B:$B,0)),
        $G248="Pipa Stainless",
            INDEX('Referensi Harga'!$E:$E,
                  MATCH($F248&amp;$C248,'Referensi Harga'!$A:$A&amp;'Referensi Harga'!$B:$B,0))
     ),0)
  + IFERROR(VLOOKUP($H248,'Profile Size'!$A:$B,2,FALSE),0)
  + IFERROR(VLOOKUP($I248,'Ketebalan Material'!$A:$B,2,FALSE),0),
0)</f>
        <v>0</v>
      </c>
      <c r="Q248">
        <f>IF($M248="PER-M2",
    IFERROR(
        SUMIFS('Upah Tenaga Ahli'!$C:$C,
               'Upah Tenaga Ahli'!$A:$A,"PER-M2",
               'Upah Tenaga Ahli'!$B:$B,$G248
        ) * $J248 * $K248,
    0),
IF($M248="PER-LUBANG",
    IFERROR(
        SUMIFS('Upah Tenaga Ahli'!$D:$D,
               'Upah Tenaga Ahli'!$A:$A,"PER-LUBANG",
               'Upah Tenaga Ahli'!$B:$B,$G248
        ) * $L248 * $K248,
    0),
IF($M248="PER-M",
    IFERROR(
        SUMIFS('Upah Tenaga Ahli'!$E:$E,
               'Upah Tenaga Ahli'!$A:$A,"PER-M",
               'Upah Tenaga Ahli'!$B:$B,$G248
        ) * $J248 * $K248,
    0),
0)))</f>
        <v>1592000</v>
      </c>
      <c r="R248" t="s">
        <v>20</v>
      </c>
      <c r="S248" t="s">
        <v>23</v>
      </c>
      <c r="T248">
        <f>IF($M248="PER-M2",
   ($N248 * $J248 * $K248)
   + IFERROR(VLOOKUP($R248,Finishing!A:B,2,FALSE),0)
   + IFERROR(VLOOKUP($S248,Kerumitan!A:B,2,FALSE),0),
IF($M248="PER-LUBANG",
   ($P248 * $L248 * $K248)
   + IFERROR(VLOOKUP($R248,Finishing!A:B,2,FALSE),0)
   + IFERROR(VLOOKUP($S248,Kerumitan!A:B,2,FALSE),0),
IF($M248="PER-M",
   ($O248 * $J248 * $K248)
   + IFERROR(VLOOKUP($R248,Finishing!A:B,2,FALSE),0)
   + IFERROR(VLOOKUP($S248,Kerumitan!A:B,2,FALSE),0),
0)))</f>
        <v>8906000</v>
      </c>
    </row>
    <row r="249" spans="1:20" x14ac:dyDescent="0.45">
      <c r="A249" t="s">
        <v>346</v>
      </c>
      <c r="B249" s="5">
        <v>45367</v>
      </c>
      <c r="C249">
        <f t="shared" si="3"/>
        <v>2024</v>
      </c>
      <c r="D249" t="s">
        <v>83</v>
      </c>
      <c r="E249" t="s">
        <v>61</v>
      </c>
      <c r="F249" t="s">
        <v>4</v>
      </c>
      <c r="G249" t="s">
        <v>13</v>
      </c>
      <c r="H249" t="s">
        <v>33</v>
      </c>
      <c r="I249">
        <v>1.2</v>
      </c>
      <c r="J249">
        <v>14.81</v>
      </c>
      <c r="K249">
        <v>1</v>
      </c>
      <c r="L249">
        <v>0</v>
      </c>
      <c r="M249" t="str" cm="1">
        <f t="array" ref="M249">_xlfn.IFS(
   OR($F249="Pagar", $F249="Pintu Gerbang", $F249="Pintu Handerson", $F249="Kanopi"), "PER-M2",
   $F249="Teralis", "PER-LUBANG",
   OR($F249="Railing", $F249="Railing/Balkon"), "PER-M",
   TRUE, ""
)</f>
        <v>PER-M2</v>
      </c>
      <c r="N249" cm="1">
        <f t="array" ref="N249">IF($M249="PER-M2",
  IFERROR(
     _xlfn.IFS(
        $G249="Hollow",
            INDEX('Referensi Harga'!$C:$C,
                  MATCH($F249&amp;$C249,'Referensi Harga'!$A:$A&amp;'Referensi Harga'!$B:$B,0)),
        $G249="Hollow Stainless",
            INDEX('Referensi Harga'!$D:$D,
                  MATCH($F249&amp;$C249,'Referensi Harga'!$A:$A&amp;'Referensi Harga'!$B:$B,0)),
        $G249="Pipa Stainless",
            INDEX('Referensi Harga'!$E:$E,
                  MATCH($F249&amp;$C249,'Referensi Harga'!$A:$A&amp;'Referensi Harga'!$B:$B,0))
     ),0)
  + IFERROR(VLOOKUP($H249,'Profile Size'!$A:$B,2,FALSE),0)
  + IFERROR(VLOOKUP($I249,'Ketebalan Material'!$A:$B,2,FALSE),0),
0)</f>
        <v>650000</v>
      </c>
      <c r="O249">
        <f>IF($M249="PER-M",
  IFERROR(
    IF($G249="Hollow",
       INDEX('Referensi Harga'!$C:$C, MATCH($F249 &amp; "|" &amp; $C249, 'Referensi Harga'!$F:$F, 0)),
    IF($G249="Hollow Stainless",
       INDEX('Referensi Harga'!$D:$D, MATCH($F249 &amp; "|" &amp; $C249, 'Referensi Harga'!$F:$F, 0)),
       INDEX('Referensi Harga'!$E:$E, MATCH($F249 &amp; "|" &amp; $C249, 'Referensi Harga'!$F:$F, 0))
    ))
    + IFERROR(VLOOKUP($H249, 'Profile Size'!$A:$B, 2, FALSE), 0)
    + IFERROR(VLOOKUP($I249, 'Ketebalan Material'!$A:$B, 2, FALSE), 0), 0),
0)</f>
        <v>0</v>
      </c>
      <c r="P249" cm="1">
        <f t="array" ref="P249">IF($M249="PER-LUBANG",
  IFERROR(
     _xlfn.IFS(
        $G249="Hollow",
            INDEX('Referensi Harga'!$C:$C,
                  MATCH($F249&amp;$C249,'Referensi Harga'!$A:$A&amp;'Referensi Harga'!$B:$B,0)),
        $G249="Hollow Stainless",
            INDEX('Referensi Harga'!$D:$D,
                  MATCH($F249&amp;$C249,'Referensi Harga'!$A:$A&amp;'Referensi Harga'!$B:$B,0)),
        $G249="Pipa Stainless",
            INDEX('Referensi Harga'!$E:$E,
                  MATCH($F249&amp;$C249,'Referensi Harga'!$A:$A&amp;'Referensi Harga'!$B:$B,0))
     ),0)
  + IFERROR(VLOOKUP($H249,'Profile Size'!$A:$B,2,FALSE),0)
  + IFERROR(VLOOKUP($I249,'Ketebalan Material'!$A:$B,2,FALSE),0),
0)</f>
        <v>0</v>
      </c>
      <c r="Q249">
        <f>IF($M249="PER-M2",
    IFERROR(
        SUMIFS('Upah Tenaga Ahli'!$C:$C,
               'Upah Tenaga Ahli'!$A:$A,"PER-M2",
               'Upah Tenaga Ahli'!$B:$B,$G249
        ) * $J249 * $K249,
    0),
IF($M249="PER-LUBANG",
    IFERROR(
        SUMIFS('Upah Tenaga Ahli'!$D:$D,
               'Upah Tenaga Ahli'!$A:$A,"PER-LUBANG",
               'Upah Tenaga Ahli'!$B:$B,$G249
        ) * $L249 * $K249,
    0),
IF($M249="PER-M",
    IFERROR(
        SUMIFS('Upah Tenaga Ahli'!$E:$E,
               'Upah Tenaga Ahli'!$A:$A,"PER-M",
               'Upah Tenaga Ahli'!$B:$B,$G249
        ) * $J249 * $K249,
    0),
0)))</f>
        <v>1481000</v>
      </c>
      <c r="R249" t="s">
        <v>20</v>
      </c>
      <c r="S249" t="s">
        <v>23</v>
      </c>
      <c r="T249">
        <f>IF($M249="PER-M2",
   ($N249 * $J249 * $K249)
   + IFERROR(VLOOKUP($R249,Finishing!A:B,2,FALSE),0)
   + IFERROR(VLOOKUP($S249,Kerumitan!A:B,2,FALSE),0),
IF($M249="PER-LUBANG",
   ($P249 * $L249 * $K249)
   + IFERROR(VLOOKUP($R249,Finishing!A:B,2,FALSE),0)
   + IFERROR(VLOOKUP($S249,Kerumitan!A:B,2,FALSE),0),
IF($M249="PER-M",
   ($O249 * $J249 * $K249)
   + IFERROR(VLOOKUP($R249,Finishing!A:B,2,FALSE),0)
   + IFERROR(VLOOKUP($S249,Kerumitan!A:B,2,FALSE),0),
0)))</f>
        <v>9776500</v>
      </c>
    </row>
    <row r="250" spans="1:20" x14ac:dyDescent="0.45">
      <c r="A250" t="s">
        <v>347</v>
      </c>
      <c r="B250" s="5">
        <v>43682</v>
      </c>
      <c r="C250">
        <f t="shared" si="3"/>
        <v>2019</v>
      </c>
      <c r="D250" t="s">
        <v>71</v>
      </c>
      <c r="E250" t="s">
        <v>61</v>
      </c>
      <c r="F250" t="s">
        <v>8</v>
      </c>
      <c r="G250" t="s">
        <v>15</v>
      </c>
      <c r="H250" t="s">
        <v>612</v>
      </c>
      <c r="I250">
        <v>1</v>
      </c>
      <c r="J250">
        <v>0</v>
      </c>
      <c r="K250">
        <v>1</v>
      </c>
      <c r="L250">
        <v>12</v>
      </c>
      <c r="M250" t="str" cm="1">
        <f t="array" ref="M250">_xlfn.IFS(
   OR($F250="Pagar", $F250="Pintu Gerbang", $F250="Pintu Handerson", $F250="Kanopi"), "PER-M2",
   $F250="Teralis", "PER-LUBANG",
   OR($F250="Railing", $F250="Railing/Balkon"), "PER-M",
   TRUE, ""
)</f>
        <v>PER-LUBANG</v>
      </c>
      <c r="N250" cm="1">
        <f t="array" ref="N250">IF($M250="PER-M2",
  IFERROR(
     _xlfn.IFS(
        $G250="Hollow",
            INDEX('Referensi Harga'!$C:$C,
                  MATCH($F250&amp;$C250,'Referensi Harga'!$A:$A&amp;'Referensi Harga'!$B:$B,0)),
        $G250="Hollow Stainless",
            INDEX('Referensi Harga'!$D:$D,
                  MATCH($F250&amp;$C250,'Referensi Harga'!$A:$A&amp;'Referensi Harga'!$B:$B,0)),
        $G250="Pipa Stainless",
            INDEX('Referensi Harga'!$E:$E,
                  MATCH($F250&amp;$C250,'Referensi Harga'!$A:$A&amp;'Referensi Harga'!$B:$B,0))
     ),0)
  + IFERROR(VLOOKUP($H250,'Profile Size'!$A:$B,2,FALSE),0)
  + IFERROR(VLOOKUP($I250,'Ketebalan Material'!$A:$B,2,FALSE),0),
0)</f>
        <v>0</v>
      </c>
      <c r="O250">
        <f>IF($M250="PER-M",
  IFERROR(
    IF($G250="Hollow",
       INDEX('Referensi Harga'!$C:$C, MATCH($F250 &amp; "|" &amp; $C250, 'Referensi Harga'!$F:$F, 0)),
    IF($G250="Hollow Stainless",
       INDEX('Referensi Harga'!$D:$D, MATCH($F250 &amp; "|" &amp; $C250, 'Referensi Harga'!$F:$F, 0)),
       INDEX('Referensi Harga'!$E:$E, MATCH($F250 &amp; "|" &amp; $C250, 'Referensi Harga'!$F:$F, 0))
    ))
    + IFERROR(VLOOKUP($H250, 'Profile Size'!$A:$B, 2, FALSE), 0)
    + IFERROR(VLOOKUP($I250, 'Ketebalan Material'!$A:$B, 2, FALSE), 0), 0),
0)</f>
        <v>0</v>
      </c>
      <c r="P250" cm="1">
        <f t="array" ref="P250">IF($M250="PER-LUBANG",
  IFERROR(
     _xlfn.IFS(
        $G250="Hollow",
            INDEX('Referensi Harga'!$C:$C,
                  MATCH($F250&amp;$C250,'Referensi Harga'!$A:$A&amp;'Referensi Harga'!$B:$B,0)),
        $G250="Hollow Stainless",
            INDEX('Referensi Harga'!$D:$D,
                  MATCH($F250&amp;$C250,'Referensi Harga'!$A:$A&amp;'Referensi Harga'!$B:$B,0)),
        $G250="Pipa Stainless",
            INDEX('Referensi Harga'!$E:$E,
                  MATCH($F250&amp;$C250,'Referensi Harga'!$A:$A&amp;'Referensi Harga'!$B:$B,0))
     ),0)
  + IFERROR(VLOOKUP($H250,'Profile Size'!$A:$B,2,FALSE),0)
  + IFERROR(VLOOKUP($I250,'Ketebalan Material'!$A:$B,2,FALSE),0),
0)</f>
        <v>700000</v>
      </c>
      <c r="Q250">
        <f>IF($M250="PER-M2",
    IFERROR(
        SUMIFS('Upah Tenaga Ahli'!$C:$C,
               'Upah Tenaga Ahli'!$A:$A,"PER-M2",
               'Upah Tenaga Ahli'!$B:$B,$G250
        ) * $J250 * $K250,
    0),
IF($M250="PER-LUBANG",
    IFERROR(
        SUMIFS('Upah Tenaga Ahli'!$D:$D,
               'Upah Tenaga Ahli'!$A:$A,"PER-LUBANG",
               'Upah Tenaga Ahli'!$B:$B,$G250
        ) * $L250 * $K250,
    0),
IF($M250="PER-M",
    IFERROR(
        SUMIFS('Upah Tenaga Ahli'!$E:$E,
               'Upah Tenaga Ahli'!$A:$A,"PER-M",
               'Upah Tenaga Ahli'!$B:$B,$G250
        ) * $J250 * $K250,
    0),
0)))</f>
        <v>1800000</v>
      </c>
      <c r="R250" t="s">
        <v>617</v>
      </c>
      <c r="S250" t="s">
        <v>24</v>
      </c>
      <c r="T250">
        <f>IF($M250="PER-M2",
   ($N250 * $J250 * $K250)
   + IFERROR(VLOOKUP($R250,Finishing!A:B,2,FALSE),0)
   + IFERROR(VLOOKUP($S250,Kerumitan!A:B,2,FALSE),0),
IF($M250="PER-LUBANG",
   ($P250 * $L250 * $K250)
   + IFERROR(VLOOKUP($R250,Finishing!A:B,2,FALSE),0)
   + IFERROR(VLOOKUP($S250,Kerumitan!A:B,2,FALSE),0),
IF($M250="PER-M",
   ($O250 * $J250 * $K250)
   + IFERROR(VLOOKUP($R250,Finishing!A:B,2,FALSE),0)
   + IFERROR(VLOOKUP($S250,Kerumitan!A:B,2,FALSE),0),
0)))</f>
        <v>8500000</v>
      </c>
    </row>
    <row r="251" spans="1:20" x14ac:dyDescent="0.45">
      <c r="A251" t="s">
        <v>348</v>
      </c>
      <c r="B251" s="5">
        <v>43555</v>
      </c>
      <c r="C251">
        <f t="shared" si="3"/>
        <v>2019</v>
      </c>
      <c r="D251" t="s">
        <v>86</v>
      </c>
      <c r="E251" t="s">
        <v>75</v>
      </c>
      <c r="F251" t="s">
        <v>10</v>
      </c>
      <c r="G251" t="s">
        <v>13</v>
      </c>
      <c r="H251" t="s">
        <v>46</v>
      </c>
      <c r="I251">
        <v>1.2</v>
      </c>
      <c r="J251">
        <v>2.71</v>
      </c>
      <c r="K251">
        <v>2</v>
      </c>
      <c r="L251">
        <v>0</v>
      </c>
      <c r="M251" t="str" cm="1">
        <f t="array" ref="M251">_xlfn.IFS(
   OR($F251="Pagar", $F251="Pintu Gerbang", $F251="Pintu Handerson", $F251="Kanopi"), "PER-M2",
   $F251="Teralis", "PER-LUBANG",
   OR($F251="Railing", $F251="Railing/Balkon"), "PER-M",
   TRUE, ""
)</f>
        <v>PER-M2</v>
      </c>
      <c r="N251" cm="1">
        <f t="array" ref="N251">IF($M251="PER-M2",
  IFERROR(
     _xlfn.IFS(
        $G251="Hollow",
            INDEX('Referensi Harga'!$C:$C,
                  MATCH($F251&amp;$C251,'Referensi Harga'!$A:$A&amp;'Referensi Harga'!$B:$B,0)),
        $G251="Hollow Stainless",
            INDEX('Referensi Harga'!$D:$D,
                  MATCH($F251&amp;$C251,'Referensi Harga'!$A:$A&amp;'Referensi Harga'!$B:$B,0)),
        $G251="Pipa Stainless",
            INDEX('Referensi Harga'!$E:$E,
                  MATCH($F251&amp;$C251,'Referensi Harga'!$A:$A&amp;'Referensi Harga'!$B:$B,0))
     ),0)
  + IFERROR(VLOOKUP($H251,'Profile Size'!$A:$B,2,FALSE),0)
  + IFERROR(VLOOKUP($I251,'Ketebalan Material'!$A:$B,2,FALSE),0),
0)</f>
        <v>900000</v>
      </c>
      <c r="O251">
        <f>IF($M251="PER-M",
  IFERROR(
    IF($G251="Hollow",
       INDEX('Referensi Harga'!$C:$C, MATCH($F251 &amp; "|" &amp; $C251, 'Referensi Harga'!$F:$F, 0)),
    IF($G251="Hollow Stainless",
       INDEX('Referensi Harga'!$D:$D, MATCH($F251 &amp; "|" &amp; $C251, 'Referensi Harga'!$F:$F, 0)),
       INDEX('Referensi Harga'!$E:$E, MATCH($F251 &amp; "|" &amp; $C251, 'Referensi Harga'!$F:$F, 0))
    ))
    + IFERROR(VLOOKUP($H251, 'Profile Size'!$A:$B, 2, FALSE), 0)
    + IFERROR(VLOOKUP($I251, 'Ketebalan Material'!$A:$B, 2, FALSE), 0), 0),
0)</f>
        <v>0</v>
      </c>
      <c r="P251" cm="1">
        <f t="array" ref="P251">IF($M251="PER-LUBANG",
  IFERROR(
     _xlfn.IFS(
        $G251="Hollow",
            INDEX('Referensi Harga'!$C:$C,
                  MATCH($F251&amp;$C251,'Referensi Harga'!$A:$A&amp;'Referensi Harga'!$B:$B,0)),
        $G251="Hollow Stainless",
            INDEX('Referensi Harga'!$D:$D,
                  MATCH($F251&amp;$C251,'Referensi Harga'!$A:$A&amp;'Referensi Harga'!$B:$B,0)),
        $G251="Pipa Stainless",
            INDEX('Referensi Harga'!$E:$E,
                  MATCH($F251&amp;$C251,'Referensi Harga'!$A:$A&amp;'Referensi Harga'!$B:$B,0))
     ),0)
  + IFERROR(VLOOKUP($H251,'Profile Size'!$A:$B,2,FALSE),0)
  + IFERROR(VLOOKUP($I251,'Ketebalan Material'!$A:$B,2,FALSE),0),
0)</f>
        <v>0</v>
      </c>
      <c r="Q251">
        <f>IF($M251="PER-M2",
    IFERROR(
        SUMIFS('Upah Tenaga Ahli'!$C:$C,
               'Upah Tenaga Ahli'!$A:$A,"PER-M2",
               'Upah Tenaga Ahli'!$B:$B,$G251
        ) * $J251 * $K251,
    0),
IF($M251="PER-LUBANG",
    IFERROR(
        SUMIFS('Upah Tenaga Ahli'!$D:$D,
               'Upah Tenaga Ahli'!$A:$A,"PER-LUBANG",
               'Upah Tenaga Ahli'!$B:$B,$G251
        ) * $L251 * $K251,
    0),
IF($M251="PER-M",
    IFERROR(
        SUMIFS('Upah Tenaga Ahli'!$E:$E,
               'Upah Tenaga Ahli'!$A:$A,"PER-M",
               'Upah Tenaga Ahli'!$B:$B,$G251
        ) * $J251 * $K251,
    0),
0)))</f>
        <v>542000</v>
      </c>
      <c r="R251" t="s">
        <v>19</v>
      </c>
      <c r="S251" t="s">
        <v>23</v>
      </c>
      <c r="T251">
        <f>IF($M251="PER-M2",
   ($N251 * $J251 * $K251)
   + IFERROR(VLOOKUP($R251,Finishing!A:B,2,FALSE),0)
   + IFERROR(VLOOKUP($S251,Kerumitan!A:B,2,FALSE),0),
IF($M251="PER-LUBANG",
   ($P251 * $L251 * $K251)
   + IFERROR(VLOOKUP($R251,Finishing!A:B,2,FALSE),0)
   + IFERROR(VLOOKUP($S251,Kerumitan!A:B,2,FALSE),0),
IF($M251="PER-M",
   ($O251 * $J251 * $K251)
   + IFERROR(VLOOKUP($R251,Finishing!A:B,2,FALSE),0)
   + IFERROR(VLOOKUP($S251,Kerumitan!A:B,2,FALSE),0),
0)))</f>
        <v>4928000</v>
      </c>
    </row>
    <row r="252" spans="1:20" x14ac:dyDescent="0.45">
      <c r="A252" t="s">
        <v>349</v>
      </c>
      <c r="B252" s="5">
        <v>45960</v>
      </c>
      <c r="C252">
        <f t="shared" si="3"/>
        <v>2025</v>
      </c>
      <c r="D252" t="s">
        <v>90</v>
      </c>
      <c r="E252" t="s">
        <v>105</v>
      </c>
      <c r="F252" t="s">
        <v>10</v>
      </c>
      <c r="G252" t="s">
        <v>15</v>
      </c>
      <c r="H252" t="s">
        <v>33</v>
      </c>
      <c r="I252">
        <v>1</v>
      </c>
      <c r="J252">
        <v>3.07</v>
      </c>
      <c r="K252">
        <v>1</v>
      </c>
      <c r="L252">
        <v>0</v>
      </c>
      <c r="M252" t="str" cm="1">
        <f t="array" ref="M252">_xlfn.IFS(
   OR($F252="Pagar", $F252="Pintu Gerbang", $F252="Pintu Handerson", $F252="Kanopi"), "PER-M2",
   $F252="Teralis", "PER-LUBANG",
   OR($F252="Railing", $F252="Railing/Balkon"), "PER-M",
   TRUE, ""
)</f>
        <v>PER-M2</v>
      </c>
      <c r="N252" cm="1">
        <f t="array" ref="N252">IF($M252="PER-M2",
  IFERROR(
     _xlfn.IFS(
        $G252="Hollow",
            INDEX('Referensi Harga'!$C:$C,
                  MATCH($F252&amp;$C252,'Referensi Harga'!$A:$A&amp;'Referensi Harga'!$B:$B,0)),
        $G252="Hollow Stainless",
            INDEX('Referensi Harga'!$D:$D,
                  MATCH($F252&amp;$C252,'Referensi Harga'!$A:$A&amp;'Referensi Harga'!$B:$B,0)),
        $G252="Pipa Stainless",
            INDEX('Referensi Harga'!$E:$E,
                  MATCH($F252&amp;$C252,'Referensi Harga'!$A:$A&amp;'Referensi Harga'!$B:$B,0))
     ),0)
  + IFERROR(VLOOKUP($H252,'Profile Size'!$A:$B,2,FALSE),0)
  + IFERROR(VLOOKUP($I252,'Ketebalan Material'!$A:$B,2,FALSE),0),
0)</f>
        <v>1750000</v>
      </c>
      <c r="O252">
        <f>IF($M252="PER-M",
  IFERROR(
    IF($G252="Hollow",
       INDEX('Referensi Harga'!$C:$C, MATCH($F252 &amp; "|" &amp; $C252, 'Referensi Harga'!$F:$F, 0)),
    IF($G252="Hollow Stainless",
       INDEX('Referensi Harga'!$D:$D, MATCH($F252 &amp; "|" &amp; $C252, 'Referensi Harga'!$F:$F, 0)),
       INDEX('Referensi Harga'!$E:$E, MATCH($F252 &amp; "|" &amp; $C252, 'Referensi Harga'!$F:$F, 0))
    ))
    + IFERROR(VLOOKUP($H252, 'Profile Size'!$A:$B, 2, FALSE), 0)
    + IFERROR(VLOOKUP($I252, 'Ketebalan Material'!$A:$B, 2, FALSE), 0), 0),
0)</f>
        <v>0</v>
      </c>
      <c r="P252" cm="1">
        <f t="array" ref="P252">IF($M252="PER-LUBANG",
  IFERROR(
     _xlfn.IFS(
        $G252="Hollow",
            INDEX('Referensi Harga'!$C:$C,
                  MATCH($F252&amp;$C252,'Referensi Harga'!$A:$A&amp;'Referensi Harga'!$B:$B,0)),
        $G252="Hollow Stainless",
            INDEX('Referensi Harga'!$D:$D,
                  MATCH($F252&amp;$C252,'Referensi Harga'!$A:$A&amp;'Referensi Harga'!$B:$B,0)),
        $G252="Pipa Stainless",
            INDEX('Referensi Harga'!$E:$E,
                  MATCH($F252&amp;$C252,'Referensi Harga'!$A:$A&amp;'Referensi Harga'!$B:$B,0))
     ),0)
  + IFERROR(VLOOKUP($H252,'Profile Size'!$A:$B,2,FALSE),0)
  + IFERROR(VLOOKUP($I252,'Ketebalan Material'!$A:$B,2,FALSE),0),
0)</f>
        <v>0</v>
      </c>
      <c r="Q252">
        <f>IF($M252="PER-M2",
    IFERROR(
        SUMIFS('Upah Tenaga Ahli'!$C:$C,
               'Upah Tenaga Ahli'!$A:$A,"PER-M2",
               'Upah Tenaga Ahli'!$B:$B,$G252
        ) * $J252 * $K252,
    0),
IF($M252="PER-LUBANG",
    IFERROR(
        SUMIFS('Upah Tenaga Ahli'!$D:$D,
               'Upah Tenaga Ahli'!$A:$A,"PER-LUBANG",
               'Upah Tenaga Ahli'!$B:$B,$G252
        ) * $L252 * $K252,
    0),
IF($M252="PER-M",
    IFERROR(
        SUMIFS('Upah Tenaga Ahli'!$E:$E,
               'Upah Tenaga Ahli'!$A:$A,"PER-M",
               'Upah Tenaga Ahli'!$B:$B,$G252
        ) * $J252 * $K252,
    0),
0)))</f>
        <v>460500</v>
      </c>
      <c r="R252" t="s">
        <v>617</v>
      </c>
      <c r="S252" t="s">
        <v>23</v>
      </c>
      <c r="T252">
        <f>IF($M252="PER-M2",
   ($N252 * $J252 * $K252)
   + IFERROR(VLOOKUP($R252,Finishing!A:B,2,FALSE),0)
   + IFERROR(VLOOKUP($S252,Kerumitan!A:B,2,FALSE),0),
IF($M252="PER-LUBANG",
   ($P252 * $L252 * $K252)
   + IFERROR(VLOOKUP($R252,Finishing!A:B,2,FALSE),0)
   + IFERROR(VLOOKUP($S252,Kerumitan!A:B,2,FALSE),0),
IF($M252="PER-M",
   ($O252 * $J252 * $K252)
   + IFERROR(VLOOKUP($R252,Finishing!A:B,2,FALSE),0)
   + IFERROR(VLOOKUP($S252,Kerumitan!A:B,2,FALSE),0),
0)))</f>
        <v>5372500</v>
      </c>
    </row>
    <row r="253" spans="1:20" x14ac:dyDescent="0.45">
      <c r="A253" t="s">
        <v>350</v>
      </c>
      <c r="B253" s="5">
        <v>44385</v>
      </c>
      <c r="C253">
        <f t="shared" si="3"/>
        <v>2021</v>
      </c>
      <c r="D253" t="s">
        <v>81</v>
      </c>
      <c r="E253" t="s">
        <v>69</v>
      </c>
      <c r="F253" t="s">
        <v>6</v>
      </c>
      <c r="G253" t="s">
        <v>14</v>
      </c>
      <c r="H253" t="s">
        <v>615</v>
      </c>
      <c r="I253">
        <v>0.8</v>
      </c>
      <c r="J253">
        <v>22.19</v>
      </c>
      <c r="K253">
        <v>2</v>
      </c>
      <c r="L253">
        <v>0</v>
      </c>
      <c r="M253" t="str" cm="1">
        <f t="array" ref="M253">_xlfn.IFS(
   OR($F253="Pagar", $F253="Pintu Gerbang", $F253="Pintu Handerson", $F253="Kanopi"), "PER-M2",
   $F253="Teralis", "PER-LUBANG",
   OR($F253="Railing", $F253="Railing/Balkon"), "PER-M",
   TRUE, ""
)</f>
        <v>PER-M2</v>
      </c>
      <c r="N253" cm="1">
        <f t="array" ref="N253">IF($M253="PER-M2",
  IFERROR(
     _xlfn.IFS(
        $G253="Hollow",
            INDEX('Referensi Harga'!$C:$C,
                  MATCH($F253&amp;$C253,'Referensi Harga'!$A:$A&amp;'Referensi Harga'!$B:$B,0)),
        $G253="Hollow Stainless",
            INDEX('Referensi Harga'!$D:$D,
                  MATCH($F253&amp;$C253,'Referensi Harga'!$A:$A&amp;'Referensi Harga'!$B:$B,0)),
        $G253="Pipa Stainless",
            INDEX('Referensi Harga'!$E:$E,
                  MATCH($F253&amp;$C253,'Referensi Harga'!$A:$A&amp;'Referensi Harga'!$B:$B,0))
     ),0)
  + IFERROR(VLOOKUP($H253,'Profile Size'!$A:$B,2,FALSE),0)
  + IFERROR(VLOOKUP($I253,'Ketebalan Material'!$A:$B,2,FALSE),0),
0)</f>
        <v>760000</v>
      </c>
      <c r="O253">
        <f>IF($M253="PER-M",
  IFERROR(
    IF($G253="Hollow",
       INDEX('Referensi Harga'!$C:$C, MATCH($F253 &amp; "|" &amp; $C253, 'Referensi Harga'!$F:$F, 0)),
    IF($G253="Hollow Stainless",
       INDEX('Referensi Harga'!$D:$D, MATCH($F253 &amp; "|" &amp; $C253, 'Referensi Harga'!$F:$F, 0)),
       INDEX('Referensi Harga'!$E:$E, MATCH($F253 &amp; "|" &amp; $C253, 'Referensi Harga'!$F:$F, 0))
    ))
    + IFERROR(VLOOKUP($H253, 'Profile Size'!$A:$B, 2, FALSE), 0)
    + IFERROR(VLOOKUP($I253, 'Ketebalan Material'!$A:$B, 2, FALSE), 0), 0),
0)</f>
        <v>0</v>
      </c>
      <c r="P253" cm="1">
        <f t="array" ref="P253">IF($M253="PER-LUBANG",
  IFERROR(
     _xlfn.IFS(
        $G253="Hollow",
            INDEX('Referensi Harga'!$C:$C,
                  MATCH($F253&amp;$C253,'Referensi Harga'!$A:$A&amp;'Referensi Harga'!$B:$B,0)),
        $G253="Hollow Stainless",
            INDEX('Referensi Harga'!$D:$D,
                  MATCH($F253&amp;$C253,'Referensi Harga'!$A:$A&amp;'Referensi Harga'!$B:$B,0)),
        $G253="Pipa Stainless",
            INDEX('Referensi Harga'!$E:$E,
                  MATCH($F253&amp;$C253,'Referensi Harga'!$A:$A&amp;'Referensi Harga'!$B:$B,0))
     ),0)
  + IFERROR(VLOOKUP($H253,'Profile Size'!$A:$B,2,FALSE),0)
  + IFERROR(VLOOKUP($I253,'Ketebalan Material'!$A:$B,2,FALSE),0),
0)</f>
        <v>0</v>
      </c>
      <c r="Q253">
        <f>IF($M253="PER-M2",
    IFERROR(
        SUMIFS('Upah Tenaga Ahli'!$C:$C,
               'Upah Tenaga Ahli'!$A:$A,"PER-M2",
               'Upah Tenaga Ahli'!$B:$B,$G253
        ) * $J253 * $K253,
    0),
IF($M253="PER-LUBANG",
    IFERROR(
        SUMIFS('Upah Tenaga Ahli'!$D:$D,
               'Upah Tenaga Ahli'!$A:$A,"PER-LUBANG",
               'Upah Tenaga Ahli'!$B:$B,$G253
        ) * $L253 * $K253,
    0),
IF($M253="PER-M",
    IFERROR(
        SUMIFS('Upah Tenaga Ahli'!$E:$E,
               'Upah Tenaga Ahli'!$A:$A,"PER-M",
               'Upah Tenaga Ahli'!$B:$B,$G253
        ) * $J253 * $K253,
    0),
0)))</f>
        <v>8876000</v>
      </c>
      <c r="R253" t="s">
        <v>617</v>
      </c>
      <c r="S253" t="s">
        <v>23</v>
      </c>
      <c r="T253">
        <f>IF($M253="PER-M2",
   ($N253 * $J253 * $K253)
   + IFERROR(VLOOKUP($R253,Finishing!A:B,2,FALSE),0)
   + IFERROR(VLOOKUP($S253,Kerumitan!A:B,2,FALSE),0),
IF($M253="PER-LUBANG",
   ($P253 * $L253 * $K253)
   + IFERROR(VLOOKUP($R253,Finishing!A:B,2,FALSE),0)
   + IFERROR(VLOOKUP($S253,Kerumitan!A:B,2,FALSE),0),
IF($M253="PER-M",
   ($O253 * $J253 * $K253)
   + IFERROR(VLOOKUP($R253,Finishing!A:B,2,FALSE),0)
   + IFERROR(VLOOKUP($S253,Kerumitan!A:B,2,FALSE),0),
0)))</f>
        <v>33728800</v>
      </c>
    </row>
    <row r="254" spans="1:20" x14ac:dyDescent="0.45">
      <c r="A254" t="s">
        <v>351</v>
      </c>
      <c r="B254" s="5">
        <v>44243</v>
      </c>
      <c r="C254">
        <f t="shared" si="3"/>
        <v>2021</v>
      </c>
      <c r="D254" t="s">
        <v>232</v>
      </c>
      <c r="E254" t="s">
        <v>75</v>
      </c>
      <c r="F254" t="s">
        <v>10</v>
      </c>
      <c r="G254" t="s">
        <v>13</v>
      </c>
      <c r="H254" t="s">
        <v>33</v>
      </c>
      <c r="I254">
        <v>0.8</v>
      </c>
      <c r="J254">
        <v>5.98</v>
      </c>
      <c r="K254">
        <v>2</v>
      </c>
      <c r="L254">
        <v>0</v>
      </c>
      <c r="M254" t="str" cm="1">
        <f t="array" ref="M254">_xlfn.IFS(
   OR($F254="Pagar", $F254="Pintu Gerbang", $F254="Pintu Handerson", $F254="Kanopi"), "PER-M2",
   $F254="Teralis", "PER-LUBANG",
   OR($F254="Railing", $F254="Railing/Balkon"), "PER-M",
   TRUE, ""
)</f>
        <v>PER-M2</v>
      </c>
      <c r="N254" cm="1">
        <f t="array" ref="N254">IF($M254="PER-M2",
  IFERROR(
     _xlfn.IFS(
        $G254="Hollow",
            INDEX('Referensi Harga'!$C:$C,
                  MATCH($F254&amp;$C254,'Referensi Harga'!$A:$A&amp;'Referensi Harga'!$B:$B,0)),
        $G254="Hollow Stainless",
            INDEX('Referensi Harga'!$D:$D,
                  MATCH($F254&amp;$C254,'Referensi Harga'!$A:$A&amp;'Referensi Harga'!$B:$B,0)),
        $G254="Pipa Stainless",
            INDEX('Referensi Harga'!$E:$E,
                  MATCH($F254&amp;$C254,'Referensi Harga'!$A:$A&amp;'Referensi Harga'!$B:$B,0))
     ),0)
  + IFERROR(VLOOKUP($H254,'Profile Size'!$A:$B,2,FALSE),0)
  + IFERROR(VLOOKUP($I254,'Ketebalan Material'!$A:$B,2,FALSE),0),
0)</f>
        <v>800000</v>
      </c>
      <c r="O254">
        <f>IF($M254="PER-M",
  IFERROR(
    IF($G254="Hollow",
       INDEX('Referensi Harga'!$C:$C, MATCH($F254 &amp; "|" &amp; $C254, 'Referensi Harga'!$F:$F, 0)),
    IF($G254="Hollow Stainless",
       INDEX('Referensi Harga'!$D:$D, MATCH($F254 &amp; "|" &amp; $C254, 'Referensi Harga'!$F:$F, 0)),
       INDEX('Referensi Harga'!$E:$E, MATCH($F254 &amp; "|" &amp; $C254, 'Referensi Harga'!$F:$F, 0))
    ))
    + IFERROR(VLOOKUP($H254, 'Profile Size'!$A:$B, 2, FALSE), 0)
    + IFERROR(VLOOKUP($I254, 'Ketebalan Material'!$A:$B, 2, FALSE), 0), 0),
0)</f>
        <v>0</v>
      </c>
      <c r="P254" cm="1">
        <f t="array" ref="P254">IF($M254="PER-LUBANG",
  IFERROR(
     _xlfn.IFS(
        $G254="Hollow",
            INDEX('Referensi Harga'!$C:$C,
                  MATCH($F254&amp;$C254,'Referensi Harga'!$A:$A&amp;'Referensi Harga'!$B:$B,0)),
        $G254="Hollow Stainless",
            INDEX('Referensi Harga'!$D:$D,
                  MATCH($F254&amp;$C254,'Referensi Harga'!$A:$A&amp;'Referensi Harga'!$B:$B,0)),
        $G254="Pipa Stainless",
            INDEX('Referensi Harga'!$E:$E,
                  MATCH($F254&amp;$C254,'Referensi Harga'!$A:$A&amp;'Referensi Harga'!$B:$B,0))
     ),0)
  + IFERROR(VLOOKUP($H254,'Profile Size'!$A:$B,2,FALSE),0)
  + IFERROR(VLOOKUP($I254,'Ketebalan Material'!$A:$B,2,FALSE),0),
0)</f>
        <v>0</v>
      </c>
      <c r="Q254">
        <f>IF($M254="PER-M2",
    IFERROR(
        SUMIFS('Upah Tenaga Ahli'!$C:$C,
               'Upah Tenaga Ahli'!$A:$A,"PER-M2",
               'Upah Tenaga Ahli'!$B:$B,$G254
        ) * $J254 * $K254,
    0),
IF($M254="PER-LUBANG",
    IFERROR(
        SUMIFS('Upah Tenaga Ahli'!$D:$D,
               'Upah Tenaga Ahli'!$A:$A,"PER-LUBANG",
               'Upah Tenaga Ahli'!$B:$B,$G254
        ) * $L254 * $K254,
    0),
IF($M254="PER-M",
    IFERROR(
        SUMIFS('Upah Tenaga Ahli'!$E:$E,
               'Upah Tenaga Ahli'!$A:$A,"PER-M",
               'Upah Tenaga Ahli'!$B:$B,$G254
        ) * $J254 * $K254,
    0),
0)))</f>
        <v>1196000</v>
      </c>
      <c r="R254" t="s">
        <v>18</v>
      </c>
      <c r="S254" t="s">
        <v>23</v>
      </c>
      <c r="T254">
        <f>IF($M254="PER-M2",
   ($N254 * $J254 * $K254)
   + IFERROR(VLOOKUP($R254,Finishing!A:B,2,FALSE),0)
   + IFERROR(VLOOKUP($S254,Kerumitan!A:B,2,FALSE),0),
IF($M254="PER-LUBANG",
   ($P254 * $L254 * $K254)
   + IFERROR(VLOOKUP($R254,Finishing!A:B,2,FALSE),0)
   + IFERROR(VLOOKUP($S254,Kerumitan!A:B,2,FALSE),0),
IF($M254="PER-M",
   ($O254 * $J254 * $K254)
   + IFERROR(VLOOKUP($R254,Finishing!A:B,2,FALSE),0)
   + IFERROR(VLOOKUP($S254,Kerumitan!A:B,2,FALSE),0),
0)))</f>
        <v>9568000</v>
      </c>
    </row>
    <row r="255" spans="1:20" x14ac:dyDescent="0.45">
      <c r="A255" t="s">
        <v>352</v>
      </c>
      <c r="B255" s="5">
        <v>43942</v>
      </c>
      <c r="C255">
        <f t="shared" si="3"/>
        <v>2020</v>
      </c>
      <c r="D255" t="s">
        <v>93</v>
      </c>
      <c r="E255" t="s">
        <v>61</v>
      </c>
      <c r="F255" t="s">
        <v>4</v>
      </c>
      <c r="G255" t="s">
        <v>13</v>
      </c>
      <c r="H255" t="s">
        <v>35</v>
      </c>
      <c r="I255">
        <v>1</v>
      </c>
      <c r="J255">
        <v>16.149999999999999</v>
      </c>
      <c r="K255">
        <v>1</v>
      </c>
      <c r="L255">
        <v>0</v>
      </c>
      <c r="M255" t="str" cm="1">
        <f t="array" ref="M255">_xlfn.IFS(
   OR($F255="Pagar", $F255="Pintu Gerbang", $F255="Pintu Handerson", $F255="Kanopi"), "PER-M2",
   $F255="Teralis", "PER-LUBANG",
   OR($F255="Railing", $F255="Railing/Balkon"), "PER-M",
   TRUE, ""
)</f>
        <v>PER-M2</v>
      </c>
      <c r="N255" cm="1">
        <f t="array" ref="N255">IF($M255="PER-M2",
  IFERROR(
     _xlfn.IFS(
        $G255="Hollow",
            INDEX('Referensi Harga'!$C:$C,
                  MATCH($F255&amp;$C255,'Referensi Harga'!$A:$A&amp;'Referensi Harga'!$B:$B,0)),
        $G255="Hollow Stainless",
            INDEX('Referensi Harga'!$D:$D,
                  MATCH($F255&amp;$C255,'Referensi Harga'!$A:$A&amp;'Referensi Harga'!$B:$B,0)),
        $G255="Pipa Stainless",
            INDEX('Referensi Harga'!$E:$E,
                  MATCH($F255&amp;$C255,'Referensi Harga'!$A:$A&amp;'Referensi Harga'!$B:$B,0))
     ),0)
  + IFERROR(VLOOKUP($H255,'Profile Size'!$A:$B,2,FALSE),0)
  + IFERROR(VLOOKUP($I255,'Ketebalan Material'!$A:$B,2,FALSE),0),
0)</f>
        <v>650000</v>
      </c>
      <c r="O255">
        <f>IF($M255="PER-M",
  IFERROR(
    IF($G255="Hollow",
       INDEX('Referensi Harga'!$C:$C, MATCH($F255 &amp; "|" &amp; $C255, 'Referensi Harga'!$F:$F, 0)),
    IF($G255="Hollow Stainless",
       INDEX('Referensi Harga'!$D:$D, MATCH($F255 &amp; "|" &amp; $C255, 'Referensi Harga'!$F:$F, 0)),
       INDEX('Referensi Harga'!$E:$E, MATCH($F255 &amp; "|" &amp; $C255, 'Referensi Harga'!$F:$F, 0))
    ))
    + IFERROR(VLOOKUP($H255, 'Profile Size'!$A:$B, 2, FALSE), 0)
    + IFERROR(VLOOKUP($I255, 'Ketebalan Material'!$A:$B, 2, FALSE), 0), 0),
0)</f>
        <v>0</v>
      </c>
      <c r="P255" cm="1">
        <f t="array" ref="P255">IF($M255="PER-LUBANG",
  IFERROR(
     _xlfn.IFS(
        $G255="Hollow",
            INDEX('Referensi Harga'!$C:$C,
                  MATCH($F255&amp;$C255,'Referensi Harga'!$A:$A&amp;'Referensi Harga'!$B:$B,0)),
        $G255="Hollow Stainless",
            INDEX('Referensi Harga'!$D:$D,
                  MATCH($F255&amp;$C255,'Referensi Harga'!$A:$A&amp;'Referensi Harga'!$B:$B,0)),
        $G255="Pipa Stainless",
            INDEX('Referensi Harga'!$E:$E,
                  MATCH($F255&amp;$C255,'Referensi Harga'!$A:$A&amp;'Referensi Harga'!$B:$B,0))
     ),0)
  + IFERROR(VLOOKUP($H255,'Profile Size'!$A:$B,2,FALSE),0)
  + IFERROR(VLOOKUP($I255,'Ketebalan Material'!$A:$B,2,FALSE),0),
0)</f>
        <v>0</v>
      </c>
      <c r="Q255">
        <f>IF($M255="PER-M2",
    IFERROR(
        SUMIFS('Upah Tenaga Ahli'!$C:$C,
               'Upah Tenaga Ahli'!$A:$A,"PER-M2",
               'Upah Tenaga Ahli'!$B:$B,$G255
        ) * $J255 * $K255,
    0),
IF($M255="PER-LUBANG",
    IFERROR(
        SUMIFS('Upah Tenaga Ahli'!$D:$D,
               'Upah Tenaga Ahli'!$A:$A,"PER-LUBANG",
               'Upah Tenaga Ahli'!$B:$B,$G255
        ) * $L255 * $K255,
    0),
IF($M255="PER-M",
    IFERROR(
        SUMIFS('Upah Tenaga Ahli'!$E:$E,
               'Upah Tenaga Ahli'!$A:$A,"PER-M",
               'Upah Tenaga Ahli'!$B:$B,$G255
        ) * $J255 * $K255,
    0),
0)))</f>
        <v>1614999.9999999998</v>
      </c>
      <c r="R255" t="s">
        <v>18</v>
      </c>
      <c r="S255" t="s">
        <v>23</v>
      </c>
      <c r="T255">
        <f>IF($M255="PER-M2",
   ($N255 * $J255 * $K255)
   + IFERROR(VLOOKUP($R255,Finishing!A:B,2,FALSE),0)
   + IFERROR(VLOOKUP($S255,Kerumitan!A:B,2,FALSE),0),
IF($M255="PER-LUBANG",
   ($P255 * $L255 * $K255)
   + IFERROR(VLOOKUP($R255,Finishing!A:B,2,FALSE),0)
   + IFERROR(VLOOKUP($S255,Kerumitan!A:B,2,FALSE),0),
IF($M255="PER-M",
   ($O255 * $J255 * $K255)
   + IFERROR(VLOOKUP($R255,Finishing!A:B,2,FALSE),0)
   + IFERROR(VLOOKUP($S255,Kerumitan!A:B,2,FALSE),0),
0)))</f>
        <v>10497500</v>
      </c>
    </row>
    <row r="256" spans="1:20" x14ac:dyDescent="0.45">
      <c r="A256" t="s">
        <v>353</v>
      </c>
      <c r="B256" s="5">
        <v>45728</v>
      </c>
      <c r="C256">
        <f t="shared" si="3"/>
        <v>2025</v>
      </c>
      <c r="D256" t="s">
        <v>40</v>
      </c>
      <c r="E256" t="s">
        <v>69</v>
      </c>
      <c r="F256" t="s">
        <v>8</v>
      </c>
      <c r="G256" t="s">
        <v>15</v>
      </c>
      <c r="H256" t="s">
        <v>611</v>
      </c>
      <c r="I256">
        <v>1.2</v>
      </c>
      <c r="J256">
        <v>0</v>
      </c>
      <c r="K256">
        <v>1</v>
      </c>
      <c r="L256">
        <v>21</v>
      </c>
      <c r="M256" t="str" cm="1">
        <f t="array" ref="M256">_xlfn.IFS(
   OR($F256="Pagar", $F256="Pintu Gerbang", $F256="Pintu Handerson", $F256="Kanopi"), "PER-M2",
   $F256="Teralis", "PER-LUBANG",
   OR($F256="Railing", $F256="Railing/Balkon"), "PER-M",
   TRUE, ""
)</f>
        <v>PER-LUBANG</v>
      </c>
      <c r="N256" cm="1">
        <f t="array" ref="N256">IF($M256="PER-M2",
  IFERROR(
     _xlfn.IFS(
        $G256="Hollow",
            INDEX('Referensi Harga'!$C:$C,
                  MATCH($F256&amp;$C256,'Referensi Harga'!$A:$A&amp;'Referensi Harga'!$B:$B,0)),
        $G256="Hollow Stainless",
            INDEX('Referensi Harga'!$D:$D,
                  MATCH($F256&amp;$C256,'Referensi Harga'!$A:$A&amp;'Referensi Harga'!$B:$B,0)),
        $G256="Pipa Stainless",
            INDEX('Referensi Harga'!$E:$E,
                  MATCH($F256&amp;$C256,'Referensi Harga'!$A:$A&amp;'Referensi Harga'!$B:$B,0))
     ),0)
  + IFERROR(VLOOKUP($H256,'Profile Size'!$A:$B,2,FALSE),0)
  + IFERROR(VLOOKUP($I256,'Ketebalan Material'!$A:$B,2,FALSE),0),
0)</f>
        <v>0</v>
      </c>
      <c r="O256">
        <f>IF($M256="PER-M",
  IFERROR(
    IF($G256="Hollow",
       INDEX('Referensi Harga'!$C:$C, MATCH($F256 &amp; "|" &amp; $C256, 'Referensi Harga'!$F:$F, 0)),
    IF($G256="Hollow Stainless",
       INDEX('Referensi Harga'!$D:$D, MATCH($F256 &amp; "|" &amp; $C256, 'Referensi Harga'!$F:$F, 0)),
       INDEX('Referensi Harga'!$E:$E, MATCH($F256 &amp; "|" &amp; $C256, 'Referensi Harga'!$F:$F, 0))
    ))
    + IFERROR(VLOOKUP($H256, 'Profile Size'!$A:$B, 2, FALSE), 0)
    + IFERROR(VLOOKUP($I256, 'Ketebalan Material'!$A:$B, 2, FALSE), 0), 0),
0)</f>
        <v>0</v>
      </c>
      <c r="P256" cm="1">
        <f t="array" ref="P256">IF($M256="PER-LUBANG",
  IFERROR(
     _xlfn.IFS(
        $G256="Hollow",
            INDEX('Referensi Harga'!$C:$C,
                  MATCH($F256&amp;$C256,'Referensi Harga'!$A:$A&amp;'Referensi Harga'!$B:$B,0)),
        $G256="Hollow Stainless",
            INDEX('Referensi Harga'!$D:$D,
                  MATCH($F256&amp;$C256,'Referensi Harga'!$A:$A&amp;'Referensi Harga'!$B:$B,0)),
        $G256="Pipa Stainless",
            INDEX('Referensi Harga'!$E:$E,
                  MATCH($F256&amp;$C256,'Referensi Harga'!$A:$A&amp;'Referensi Harga'!$B:$B,0))
     ),0)
  + IFERROR(VLOOKUP($H256,'Profile Size'!$A:$B,2,FALSE),0)
  + IFERROR(VLOOKUP($I256,'Ketebalan Material'!$A:$B,2,FALSE),0),
0)</f>
        <v>900000</v>
      </c>
      <c r="Q256">
        <f>IF($M256="PER-M2",
    IFERROR(
        SUMIFS('Upah Tenaga Ahli'!$C:$C,
               'Upah Tenaga Ahli'!$A:$A,"PER-M2",
               'Upah Tenaga Ahli'!$B:$B,$G256
        ) * $J256 * $K256,
    0),
IF($M256="PER-LUBANG",
    IFERROR(
        SUMIFS('Upah Tenaga Ahli'!$D:$D,
               'Upah Tenaga Ahli'!$A:$A,"PER-LUBANG",
               'Upah Tenaga Ahli'!$B:$B,$G256
        ) * $L256 * $K256,
    0),
IF($M256="PER-M",
    IFERROR(
        SUMIFS('Upah Tenaga Ahli'!$E:$E,
               'Upah Tenaga Ahli'!$A:$A,"PER-M",
               'Upah Tenaga Ahli'!$B:$B,$G256
        ) * $J256 * $K256,
    0),
0)))</f>
        <v>3150000</v>
      </c>
      <c r="R256" t="s">
        <v>617</v>
      </c>
      <c r="S256" t="s">
        <v>25</v>
      </c>
      <c r="T256">
        <f>IF($M256="PER-M2",
   ($N256 * $J256 * $K256)
   + IFERROR(VLOOKUP($R256,Finishing!A:B,2,FALSE),0)
   + IFERROR(VLOOKUP($S256,Kerumitan!A:B,2,FALSE),0),
IF($M256="PER-LUBANG",
   ($P256 * $L256 * $K256)
   + IFERROR(VLOOKUP($R256,Finishing!A:B,2,FALSE),0)
   + IFERROR(VLOOKUP($S256,Kerumitan!A:B,2,FALSE),0),
IF($M256="PER-M",
   ($O256 * $J256 * $K256)
   + IFERROR(VLOOKUP($R256,Finishing!A:B,2,FALSE),0)
   + IFERROR(VLOOKUP($S256,Kerumitan!A:B,2,FALSE),0),
0)))</f>
        <v>19050000</v>
      </c>
    </row>
    <row r="257" spans="1:20" x14ac:dyDescent="0.45">
      <c r="A257" t="s">
        <v>354</v>
      </c>
      <c r="B257" s="5">
        <v>45603</v>
      </c>
      <c r="C257">
        <f t="shared" si="3"/>
        <v>2024</v>
      </c>
      <c r="D257" t="s">
        <v>126</v>
      </c>
      <c r="E257" t="s">
        <v>41</v>
      </c>
      <c r="F257" t="s">
        <v>625</v>
      </c>
      <c r="G257" t="s">
        <v>13</v>
      </c>
      <c r="H257" t="s">
        <v>33</v>
      </c>
      <c r="I257">
        <v>1.2</v>
      </c>
      <c r="J257">
        <v>8</v>
      </c>
      <c r="K257">
        <v>2</v>
      </c>
      <c r="L257">
        <v>0</v>
      </c>
      <c r="M257" t="str" cm="1">
        <f t="array" ref="M257">_xlfn.IFS(
   OR($F257="Pagar", $F257="Pintu Gerbang", $F257="Pintu Handerson", $F257="Kanopi"), "PER-M2",
   $F257="Teralis", "PER-LUBANG",
   OR($F257="Railing", $F257="Railing/Balkon"), "PER-M",
   TRUE, ""
)</f>
        <v>PER-M</v>
      </c>
      <c r="N257" cm="1">
        <f t="array" ref="N257">IF($M257="PER-M2",
  IFERROR(
     _xlfn.IFS(
        $G257="Hollow",
            INDEX('Referensi Harga'!$C:$C,
                  MATCH($F257&amp;$C257,'Referensi Harga'!$A:$A&amp;'Referensi Harga'!$B:$B,0)),
        $G257="Hollow Stainless",
            INDEX('Referensi Harga'!$D:$D,
                  MATCH($F257&amp;$C257,'Referensi Harga'!$A:$A&amp;'Referensi Harga'!$B:$B,0)),
        $G257="Pipa Stainless",
            INDEX('Referensi Harga'!$E:$E,
                  MATCH($F257&amp;$C257,'Referensi Harga'!$A:$A&amp;'Referensi Harga'!$B:$B,0))
     ),0)
  + IFERROR(VLOOKUP($H257,'Profile Size'!$A:$B,2,FALSE),0)
  + IFERROR(VLOOKUP($I257,'Ketebalan Material'!$A:$B,2,FALSE),0),
0)</f>
        <v>0</v>
      </c>
      <c r="O257">
        <f>IF($M257="PER-M",
  IFERROR(
    IF($G257="Hollow",
       INDEX('Referensi Harga'!$C:$C, MATCH($F257 &amp; "|" &amp; $C257, 'Referensi Harga'!$F:$F, 0)),
    IF($G257="Hollow Stainless",
       INDEX('Referensi Harga'!$D:$D, MATCH($F257 &amp; "|" &amp; $C257, 'Referensi Harga'!$F:$F, 0)),
       INDEX('Referensi Harga'!$E:$E, MATCH($F257 &amp; "|" &amp; $C257, 'Referensi Harga'!$F:$F, 0))
    ))
    + IFERROR(VLOOKUP($H257, 'Profile Size'!$A:$B, 2, FALSE), 0)
    + IFERROR(VLOOKUP($I257, 'Ketebalan Material'!$A:$B, 2, FALSE), 0), 0),
0)</f>
        <v>600000</v>
      </c>
      <c r="P257" cm="1">
        <f t="array" ref="P257">IF($M257="PER-LUBANG",
  IFERROR(
     _xlfn.IFS(
        $G257="Hollow",
            INDEX('Referensi Harga'!$C:$C,
                  MATCH($F257&amp;$C257,'Referensi Harga'!$A:$A&amp;'Referensi Harga'!$B:$B,0)),
        $G257="Hollow Stainless",
            INDEX('Referensi Harga'!$D:$D,
                  MATCH($F257&amp;$C257,'Referensi Harga'!$A:$A&amp;'Referensi Harga'!$B:$B,0)),
        $G257="Pipa Stainless",
            INDEX('Referensi Harga'!$E:$E,
                  MATCH($F257&amp;$C257,'Referensi Harga'!$A:$A&amp;'Referensi Harga'!$B:$B,0))
     ),0)
  + IFERROR(VLOOKUP($H257,'Profile Size'!$A:$B,2,FALSE),0)
  + IFERROR(VLOOKUP($I257,'Ketebalan Material'!$A:$B,2,FALSE),0),
0)</f>
        <v>0</v>
      </c>
      <c r="Q257">
        <f>IF($M257="PER-M2",
    IFERROR(
        SUMIFS('Upah Tenaga Ahli'!$C:$C,
               'Upah Tenaga Ahli'!$A:$A,"PER-M2",
               'Upah Tenaga Ahli'!$B:$B,$G257
        ) * $J257 * $K257,
    0),
IF($M257="PER-LUBANG",
    IFERROR(
        SUMIFS('Upah Tenaga Ahli'!$D:$D,
               'Upah Tenaga Ahli'!$A:$A,"PER-LUBANG",
               'Upah Tenaga Ahli'!$B:$B,$G257
        ) * $L257 * $K257,
    0),
IF($M257="PER-M",
    IFERROR(
        SUMIFS('Upah Tenaga Ahli'!$E:$E,
               'Upah Tenaga Ahli'!$A:$A,"PER-M",
               'Upah Tenaga Ahli'!$B:$B,$G257
        ) * $J257 * $K257,
    0),
0)))</f>
        <v>1600000</v>
      </c>
      <c r="R257" t="s">
        <v>19</v>
      </c>
      <c r="S257" t="s">
        <v>24</v>
      </c>
      <c r="T257">
        <f>IF($M257="PER-M2",
   ($N257 * $J257 * $K257)
   + IFERROR(VLOOKUP($R257,Finishing!A:B,2,FALSE),0)
   + IFERROR(VLOOKUP($S257,Kerumitan!A:B,2,FALSE),0),
IF($M257="PER-LUBANG",
   ($P257 * $L257 * $K257)
   + IFERROR(VLOOKUP($R257,Finishing!A:B,2,FALSE),0)
   + IFERROR(VLOOKUP($S257,Kerumitan!A:B,2,FALSE),0),
IF($M257="PER-M",
   ($O257 * $J257 * $K257)
   + IFERROR(VLOOKUP($R257,Finishing!A:B,2,FALSE),0)
   + IFERROR(VLOOKUP($S257,Kerumitan!A:B,2,FALSE),0),
0)))</f>
        <v>9750000</v>
      </c>
    </row>
    <row r="258" spans="1:20" x14ac:dyDescent="0.45">
      <c r="A258" t="s">
        <v>355</v>
      </c>
      <c r="B258" s="5">
        <v>43559</v>
      </c>
      <c r="C258">
        <f t="shared" si="3"/>
        <v>2019</v>
      </c>
      <c r="D258" t="s">
        <v>63</v>
      </c>
      <c r="E258" t="s">
        <v>105</v>
      </c>
      <c r="F258" t="s">
        <v>625</v>
      </c>
      <c r="G258" t="s">
        <v>15</v>
      </c>
      <c r="H258" t="s">
        <v>46</v>
      </c>
      <c r="I258">
        <v>1</v>
      </c>
      <c r="J258">
        <v>6.35</v>
      </c>
      <c r="K258">
        <v>3</v>
      </c>
      <c r="L258">
        <v>0</v>
      </c>
      <c r="M258" t="str" cm="1">
        <f t="array" ref="M258">_xlfn.IFS(
   OR($F258="Pagar", $F258="Pintu Gerbang", $F258="Pintu Handerson", $F258="Kanopi"), "PER-M2",
   $F258="Teralis", "PER-LUBANG",
   OR($F258="Railing", $F258="Railing/Balkon"), "PER-M",
   TRUE, ""
)</f>
        <v>PER-M</v>
      </c>
      <c r="N258" cm="1">
        <f t="array" ref="N258">IF($M258="PER-M2",
  IFERROR(
     _xlfn.IFS(
        $G258="Hollow",
            INDEX('Referensi Harga'!$C:$C,
                  MATCH($F258&amp;$C258,'Referensi Harga'!$A:$A&amp;'Referensi Harga'!$B:$B,0)),
        $G258="Hollow Stainless",
            INDEX('Referensi Harga'!$D:$D,
                  MATCH($F258&amp;$C258,'Referensi Harga'!$A:$A&amp;'Referensi Harga'!$B:$B,0)),
        $G258="Pipa Stainless",
            INDEX('Referensi Harga'!$E:$E,
                  MATCH($F258&amp;$C258,'Referensi Harga'!$A:$A&amp;'Referensi Harga'!$B:$B,0))
     ),0)
  + IFERROR(VLOOKUP($H258,'Profile Size'!$A:$B,2,FALSE),0)
  + IFERROR(VLOOKUP($I258,'Ketebalan Material'!$A:$B,2,FALSE),0),
0)</f>
        <v>0</v>
      </c>
      <c r="O258">
        <f>IF($M258="PER-M",
  IFERROR(
    IF($G258="Hollow",
       INDEX('Referensi Harga'!$C:$C, MATCH($F258 &amp; "|" &amp; $C258, 'Referensi Harga'!$F:$F, 0)),
    IF($G258="Hollow Stainless",
       INDEX('Referensi Harga'!$D:$D, MATCH($F258 &amp; "|" &amp; $C258, 'Referensi Harga'!$F:$F, 0)),
       INDEX('Referensi Harga'!$E:$E, MATCH($F258 &amp; "|" &amp; $C258, 'Referensi Harga'!$F:$F, 0))
    ))
    + IFERROR(VLOOKUP($H258, 'Profile Size'!$A:$B, 2, FALSE), 0)
    + IFERROR(VLOOKUP($I258, 'Ketebalan Material'!$A:$B, 2, FALSE), 0), 0),
0)</f>
        <v>1100000</v>
      </c>
      <c r="P258" cm="1">
        <f t="array" ref="P258">IF($M258="PER-LUBANG",
  IFERROR(
     _xlfn.IFS(
        $G258="Hollow",
            INDEX('Referensi Harga'!$C:$C,
                  MATCH($F258&amp;$C258,'Referensi Harga'!$A:$A&amp;'Referensi Harga'!$B:$B,0)),
        $G258="Hollow Stainless",
            INDEX('Referensi Harga'!$D:$D,
                  MATCH($F258&amp;$C258,'Referensi Harga'!$A:$A&amp;'Referensi Harga'!$B:$B,0)),
        $G258="Pipa Stainless",
            INDEX('Referensi Harga'!$E:$E,
                  MATCH($F258&amp;$C258,'Referensi Harga'!$A:$A&amp;'Referensi Harga'!$B:$B,0))
     ),0)
  + IFERROR(VLOOKUP($H258,'Profile Size'!$A:$B,2,FALSE),0)
  + IFERROR(VLOOKUP($I258,'Ketebalan Material'!$A:$B,2,FALSE),0),
0)</f>
        <v>0</v>
      </c>
      <c r="Q258">
        <f>IF($M258="PER-M2",
    IFERROR(
        SUMIFS('Upah Tenaga Ahli'!$C:$C,
               'Upah Tenaga Ahli'!$A:$A,"PER-M2",
               'Upah Tenaga Ahli'!$B:$B,$G258
        ) * $J258 * $K258,
    0),
IF($M258="PER-LUBANG",
    IFERROR(
        SUMIFS('Upah Tenaga Ahli'!$D:$D,
               'Upah Tenaga Ahli'!$A:$A,"PER-LUBANG",
               'Upah Tenaga Ahli'!$B:$B,$G258
        ) * $L258 * $K258,
    0),
IF($M258="PER-M",
    IFERROR(
        SUMIFS('Upah Tenaga Ahli'!$E:$E,
               'Upah Tenaga Ahli'!$A:$A,"PER-M",
               'Upah Tenaga Ahli'!$B:$B,$G258
        ) * $J258 * $K258,
    0),
0)))</f>
        <v>2857500</v>
      </c>
      <c r="R258" t="s">
        <v>617</v>
      </c>
      <c r="S258" t="s">
        <v>25</v>
      </c>
      <c r="T258">
        <f>IF($M258="PER-M2",
   ($N258 * $J258 * $K258)
   + IFERROR(VLOOKUP($R258,Finishing!A:B,2,FALSE),0)
   + IFERROR(VLOOKUP($S258,Kerumitan!A:B,2,FALSE),0),
IF($M258="PER-LUBANG",
   ($P258 * $L258 * $K258)
   + IFERROR(VLOOKUP($R258,Finishing!A:B,2,FALSE),0)
   + IFERROR(VLOOKUP($S258,Kerumitan!A:B,2,FALSE),0),
IF($M258="PER-M",
   ($O258 * $J258 * $K258)
   + IFERROR(VLOOKUP($R258,Finishing!A:B,2,FALSE),0)
   + IFERROR(VLOOKUP($S258,Kerumitan!A:B,2,FALSE),0),
0)))</f>
        <v>21105000</v>
      </c>
    </row>
    <row r="259" spans="1:20" x14ac:dyDescent="0.45">
      <c r="A259" t="s">
        <v>356</v>
      </c>
      <c r="B259" s="5">
        <v>45370</v>
      </c>
      <c r="C259">
        <f t="shared" ref="C259:C322" si="4">IF($B259="","",YEAR($B259))</f>
        <v>2024</v>
      </c>
      <c r="D259" t="s">
        <v>117</v>
      </c>
      <c r="E259" t="s">
        <v>105</v>
      </c>
      <c r="F259" t="s">
        <v>4</v>
      </c>
      <c r="G259" t="s">
        <v>14</v>
      </c>
      <c r="H259" t="s">
        <v>615</v>
      </c>
      <c r="I259">
        <v>0.8</v>
      </c>
      <c r="J259">
        <v>16.04</v>
      </c>
      <c r="K259">
        <v>1</v>
      </c>
      <c r="L259">
        <v>0</v>
      </c>
      <c r="M259" t="str" cm="1">
        <f t="array" ref="M259">_xlfn.IFS(
   OR($F259="Pagar", $F259="Pintu Gerbang", $F259="Pintu Handerson", $F259="Kanopi"), "PER-M2",
   $F259="Teralis", "PER-LUBANG",
   OR($F259="Railing", $F259="Railing/Balkon"), "PER-M",
   TRUE, ""
)</f>
        <v>PER-M2</v>
      </c>
      <c r="N259" cm="1">
        <f t="array" ref="N259">IF($M259="PER-M2",
  IFERROR(
     _xlfn.IFS(
        $G259="Hollow",
            INDEX('Referensi Harga'!$C:$C,
                  MATCH($F259&amp;$C259,'Referensi Harga'!$A:$A&amp;'Referensi Harga'!$B:$B,0)),
        $G259="Hollow Stainless",
            INDEX('Referensi Harga'!$D:$D,
                  MATCH($F259&amp;$C259,'Referensi Harga'!$A:$A&amp;'Referensi Harga'!$B:$B,0)),
        $G259="Pipa Stainless",
            INDEX('Referensi Harga'!$E:$E,
                  MATCH($F259&amp;$C259,'Referensi Harga'!$A:$A&amp;'Referensi Harga'!$B:$B,0))
     ),0)
  + IFERROR(VLOOKUP($H259,'Profile Size'!$A:$B,2,FALSE),0)
  + IFERROR(VLOOKUP($I259,'Ketebalan Material'!$A:$B,2,FALSE),0),
0)</f>
        <v>1060000</v>
      </c>
      <c r="O259">
        <f>IF($M259="PER-M",
  IFERROR(
    IF($G259="Hollow",
       INDEX('Referensi Harga'!$C:$C, MATCH($F259 &amp; "|" &amp; $C259, 'Referensi Harga'!$F:$F, 0)),
    IF($G259="Hollow Stainless",
       INDEX('Referensi Harga'!$D:$D, MATCH($F259 &amp; "|" &amp; $C259, 'Referensi Harga'!$F:$F, 0)),
       INDEX('Referensi Harga'!$E:$E, MATCH($F259 &amp; "|" &amp; $C259, 'Referensi Harga'!$F:$F, 0))
    ))
    + IFERROR(VLOOKUP($H259, 'Profile Size'!$A:$B, 2, FALSE), 0)
    + IFERROR(VLOOKUP($I259, 'Ketebalan Material'!$A:$B, 2, FALSE), 0), 0),
0)</f>
        <v>0</v>
      </c>
      <c r="P259" cm="1">
        <f t="array" ref="P259">IF($M259="PER-LUBANG",
  IFERROR(
     _xlfn.IFS(
        $G259="Hollow",
            INDEX('Referensi Harga'!$C:$C,
                  MATCH($F259&amp;$C259,'Referensi Harga'!$A:$A&amp;'Referensi Harga'!$B:$B,0)),
        $G259="Hollow Stainless",
            INDEX('Referensi Harga'!$D:$D,
                  MATCH($F259&amp;$C259,'Referensi Harga'!$A:$A&amp;'Referensi Harga'!$B:$B,0)),
        $G259="Pipa Stainless",
            INDEX('Referensi Harga'!$E:$E,
                  MATCH($F259&amp;$C259,'Referensi Harga'!$A:$A&amp;'Referensi Harga'!$B:$B,0))
     ),0)
  + IFERROR(VLOOKUP($H259,'Profile Size'!$A:$B,2,FALSE),0)
  + IFERROR(VLOOKUP($I259,'Ketebalan Material'!$A:$B,2,FALSE),0),
0)</f>
        <v>0</v>
      </c>
      <c r="Q259">
        <f>IF($M259="PER-M2",
    IFERROR(
        SUMIFS('Upah Tenaga Ahli'!$C:$C,
               'Upah Tenaga Ahli'!$A:$A,"PER-M2",
               'Upah Tenaga Ahli'!$B:$B,$G259
        ) * $J259 * $K259,
    0),
IF($M259="PER-LUBANG",
    IFERROR(
        SUMIFS('Upah Tenaga Ahli'!$D:$D,
               'Upah Tenaga Ahli'!$A:$A,"PER-LUBANG",
               'Upah Tenaga Ahli'!$B:$B,$G259
        ) * $L259 * $K259,
    0),
IF($M259="PER-M",
    IFERROR(
        SUMIFS('Upah Tenaga Ahli'!$E:$E,
               'Upah Tenaga Ahli'!$A:$A,"PER-M",
               'Upah Tenaga Ahli'!$B:$B,$G259
        ) * $J259 * $K259,
    0),
0)))</f>
        <v>3208000</v>
      </c>
      <c r="R259" t="s">
        <v>617</v>
      </c>
      <c r="S259" t="s">
        <v>23</v>
      </c>
      <c r="T259">
        <f>IF($M259="PER-M2",
   ($N259 * $J259 * $K259)
   + IFERROR(VLOOKUP($R259,Finishing!A:B,2,FALSE),0)
   + IFERROR(VLOOKUP($S259,Kerumitan!A:B,2,FALSE),0),
IF($M259="PER-LUBANG",
   ($P259 * $L259 * $K259)
   + IFERROR(VLOOKUP($R259,Finishing!A:B,2,FALSE),0)
   + IFERROR(VLOOKUP($S259,Kerumitan!A:B,2,FALSE),0),
IF($M259="PER-M",
   ($O259 * $J259 * $K259)
   + IFERROR(VLOOKUP($R259,Finishing!A:B,2,FALSE),0)
   + IFERROR(VLOOKUP($S259,Kerumitan!A:B,2,FALSE),0),
0)))</f>
        <v>17002400</v>
      </c>
    </row>
    <row r="260" spans="1:20" x14ac:dyDescent="0.45">
      <c r="A260" t="s">
        <v>357</v>
      </c>
      <c r="B260" s="5">
        <v>45650</v>
      </c>
      <c r="C260">
        <f t="shared" si="4"/>
        <v>2024</v>
      </c>
      <c r="D260" t="s">
        <v>156</v>
      </c>
      <c r="E260" t="s">
        <v>38</v>
      </c>
      <c r="F260" t="s">
        <v>10</v>
      </c>
      <c r="G260" t="s">
        <v>13</v>
      </c>
      <c r="H260" t="s">
        <v>46</v>
      </c>
      <c r="I260">
        <v>1</v>
      </c>
      <c r="J260">
        <v>4.75</v>
      </c>
      <c r="K260">
        <v>2</v>
      </c>
      <c r="L260">
        <v>0</v>
      </c>
      <c r="M260" t="str" cm="1">
        <f t="array" ref="M260">_xlfn.IFS(
   OR($F260="Pagar", $F260="Pintu Gerbang", $F260="Pintu Handerson", $F260="Kanopi"), "PER-M2",
   $F260="Teralis", "PER-LUBANG",
   OR($F260="Railing", $F260="Railing/Balkon"), "PER-M",
   TRUE, ""
)</f>
        <v>PER-M2</v>
      </c>
      <c r="N260" cm="1">
        <f t="array" ref="N260">IF($M260="PER-M2",
  IFERROR(
     _xlfn.IFS(
        $G260="Hollow",
            INDEX('Referensi Harga'!$C:$C,
                  MATCH($F260&amp;$C260,'Referensi Harga'!$A:$A&amp;'Referensi Harga'!$B:$B,0)),
        $G260="Hollow Stainless",
            INDEX('Referensi Harga'!$D:$D,
                  MATCH($F260&amp;$C260,'Referensi Harga'!$A:$A&amp;'Referensi Harga'!$B:$B,0)),
        $G260="Pipa Stainless",
            INDEX('Referensi Harga'!$E:$E,
                  MATCH($F260&amp;$C260,'Referensi Harga'!$A:$A&amp;'Referensi Harga'!$B:$B,0))
     ),0)
  + IFERROR(VLOOKUP($H260,'Profile Size'!$A:$B,2,FALSE),0)
  + IFERROR(VLOOKUP($I260,'Ketebalan Material'!$A:$B,2,FALSE),0),
0)</f>
        <v>1000000</v>
      </c>
      <c r="O260">
        <f>IF($M260="PER-M",
  IFERROR(
    IF($G260="Hollow",
       INDEX('Referensi Harga'!$C:$C, MATCH($F260 &amp; "|" &amp; $C260, 'Referensi Harga'!$F:$F, 0)),
    IF($G260="Hollow Stainless",
       INDEX('Referensi Harga'!$D:$D, MATCH($F260 &amp; "|" &amp; $C260, 'Referensi Harga'!$F:$F, 0)),
       INDEX('Referensi Harga'!$E:$E, MATCH($F260 &amp; "|" &amp; $C260, 'Referensi Harga'!$F:$F, 0))
    ))
    + IFERROR(VLOOKUP($H260, 'Profile Size'!$A:$B, 2, FALSE), 0)
    + IFERROR(VLOOKUP($I260, 'Ketebalan Material'!$A:$B, 2, FALSE), 0), 0),
0)</f>
        <v>0</v>
      </c>
      <c r="P260" cm="1">
        <f t="array" ref="P260">IF($M260="PER-LUBANG",
  IFERROR(
     _xlfn.IFS(
        $G260="Hollow",
            INDEX('Referensi Harga'!$C:$C,
                  MATCH($F260&amp;$C260,'Referensi Harga'!$A:$A&amp;'Referensi Harga'!$B:$B,0)),
        $G260="Hollow Stainless",
            INDEX('Referensi Harga'!$D:$D,
                  MATCH($F260&amp;$C260,'Referensi Harga'!$A:$A&amp;'Referensi Harga'!$B:$B,0)),
        $G260="Pipa Stainless",
            INDEX('Referensi Harga'!$E:$E,
                  MATCH($F260&amp;$C260,'Referensi Harga'!$A:$A&amp;'Referensi Harga'!$B:$B,0))
     ),0)
  + IFERROR(VLOOKUP($H260,'Profile Size'!$A:$B,2,FALSE),0)
  + IFERROR(VLOOKUP($I260,'Ketebalan Material'!$A:$B,2,FALSE),0),
0)</f>
        <v>0</v>
      </c>
      <c r="Q260">
        <f>IF($M260="PER-M2",
    IFERROR(
        SUMIFS('Upah Tenaga Ahli'!$C:$C,
               'Upah Tenaga Ahli'!$A:$A,"PER-M2",
               'Upah Tenaga Ahli'!$B:$B,$G260
        ) * $J260 * $K260,
    0),
IF($M260="PER-LUBANG",
    IFERROR(
        SUMIFS('Upah Tenaga Ahli'!$D:$D,
               'Upah Tenaga Ahli'!$A:$A,"PER-LUBANG",
               'Upah Tenaga Ahli'!$B:$B,$G260
        ) * $L260 * $K260,
    0),
IF($M260="PER-M",
    IFERROR(
        SUMIFS('Upah Tenaga Ahli'!$E:$E,
               'Upah Tenaga Ahli'!$A:$A,"PER-M",
               'Upah Tenaga Ahli'!$B:$B,$G260
        ) * $J260 * $K260,
    0),
0)))</f>
        <v>950000</v>
      </c>
      <c r="R260" t="s">
        <v>20</v>
      </c>
      <c r="S260" t="s">
        <v>23</v>
      </c>
      <c r="T260">
        <f>IF($M260="PER-M2",
   ($N260 * $J260 * $K260)
   + IFERROR(VLOOKUP($R260,Finishing!A:B,2,FALSE),0)
   + IFERROR(VLOOKUP($S260,Kerumitan!A:B,2,FALSE),0),
IF($M260="PER-LUBANG",
   ($P260 * $L260 * $K260)
   + IFERROR(VLOOKUP($R260,Finishing!A:B,2,FALSE),0)
   + IFERROR(VLOOKUP($S260,Kerumitan!A:B,2,FALSE),0),
IF($M260="PER-M",
   ($O260 * $J260 * $K260)
   + IFERROR(VLOOKUP($R260,Finishing!A:B,2,FALSE),0)
   + IFERROR(VLOOKUP($S260,Kerumitan!A:B,2,FALSE),0),
0)))</f>
        <v>9650000</v>
      </c>
    </row>
    <row r="261" spans="1:20" x14ac:dyDescent="0.45">
      <c r="A261" t="s">
        <v>358</v>
      </c>
      <c r="B261" s="5">
        <v>44307</v>
      </c>
      <c r="C261">
        <f t="shared" si="4"/>
        <v>2021</v>
      </c>
      <c r="D261" t="s">
        <v>68</v>
      </c>
      <c r="E261" t="s">
        <v>41</v>
      </c>
      <c r="F261" t="s">
        <v>10</v>
      </c>
      <c r="G261" t="s">
        <v>15</v>
      </c>
      <c r="H261" t="s">
        <v>33</v>
      </c>
      <c r="I261">
        <v>1.2</v>
      </c>
      <c r="J261">
        <v>4.9400000000000004</v>
      </c>
      <c r="K261">
        <v>2</v>
      </c>
      <c r="L261">
        <v>0</v>
      </c>
      <c r="M261" t="str" cm="1">
        <f t="array" ref="M261">_xlfn.IFS(
   OR($F261="Pagar", $F261="Pintu Gerbang", $F261="Pintu Handerson", $F261="Kanopi"), "PER-M2",
   $F261="Teralis", "PER-LUBANG",
   OR($F261="Railing", $F261="Railing/Balkon"), "PER-M",
   TRUE, ""
)</f>
        <v>PER-M2</v>
      </c>
      <c r="N261" cm="1">
        <f t="array" ref="N261">IF($M261="PER-M2",
  IFERROR(
     _xlfn.IFS(
        $G261="Hollow",
            INDEX('Referensi Harga'!$C:$C,
                  MATCH($F261&amp;$C261,'Referensi Harga'!$A:$A&amp;'Referensi Harga'!$B:$B,0)),
        $G261="Hollow Stainless",
            INDEX('Referensi Harga'!$D:$D,
                  MATCH($F261&amp;$C261,'Referensi Harga'!$A:$A&amp;'Referensi Harga'!$B:$B,0)),
        $G261="Pipa Stainless",
            INDEX('Referensi Harga'!$E:$E,
                  MATCH($F261&amp;$C261,'Referensi Harga'!$A:$A&amp;'Referensi Harga'!$B:$B,0))
     ),0)
  + IFERROR(VLOOKUP($H261,'Profile Size'!$A:$B,2,FALSE),0)
  + IFERROR(VLOOKUP($I261,'Ketebalan Material'!$A:$B,2,FALSE),0),
0)</f>
        <v>1520000</v>
      </c>
      <c r="O261">
        <f>IF($M261="PER-M",
  IFERROR(
    IF($G261="Hollow",
       INDEX('Referensi Harga'!$C:$C, MATCH($F261 &amp; "|" &amp; $C261, 'Referensi Harga'!$F:$F, 0)),
    IF($G261="Hollow Stainless",
       INDEX('Referensi Harga'!$D:$D, MATCH($F261 &amp; "|" &amp; $C261, 'Referensi Harga'!$F:$F, 0)),
       INDEX('Referensi Harga'!$E:$E, MATCH($F261 &amp; "|" &amp; $C261, 'Referensi Harga'!$F:$F, 0))
    ))
    + IFERROR(VLOOKUP($H261, 'Profile Size'!$A:$B, 2, FALSE), 0)
    + IFERROR(VLOOKUP($I261, 'Ketebalan Material'!$A:$B, 2, FALSE), 0), 0),
0)</f>
        <v>0</v>
      </c>
      <c r="P261" cm="1">
        <f t="array" ref="P261">IF($M261="PER-LUBANG",
  IFERROR(
     _xlfn.IFS(
        $G261="Hollow",
            INDEX('Referensi Harga'!$C:$C,
                  MATCH($F261&amp;$C261,'Referensi Harga'!$A:$A&amp;'Referensi Harga'!$B:$B,0)),
        $G261="Hollow Stainless",
            INDEX('Referensi Harga'!$D:$D,
                  MATCH($F261&amp;$C261,'Referensi Harga'!$A:$A&amp;'Referensi Harga'!$B:$B,0)),
        $G261="Pipa Stainless",
            INDEX('Referensi Harga'!$E:$E,
                  MATCH($F261&amp;$C261,'Referensi Harga'!$A:$A&amp;'Referensi Harga'!$B:$B,0))
     ),0)
  + IFERROR(VLOOKUP($H261,'Profile Size'!$A:$B,2,FALSE),0)
  + IFERROR(VLOOKUP($I261,'Ketebalan Material'!$A:$B,2,FALSE),0),
0)</f>
        <v>0</v>
      </c>
      <c r="Q261">
        <f>IF($M261="PER-M2",
    IFERROR(
        SUMIFS('Upah Tenaga Ahli'!$C:$C,
               'Upah Tenaga Ahli'!$A:$A,"PER-M2",
               'Upah Tenaga Ahli'!$B:$B,$G261
        ) * $J261 * $K261,
    0),
IF($M261="PER-LUBANG",
    IFERROR(
        SUMIFS('Upah Tenaga Ahli'!$D:$D,
               'Upah Tenaga Ahli'!$A:$A,"PER-LUBANG",
               'Upah Tenaga Ahli'!$B:$B,$G261
        ) * $L261 * $K261,
    0),
IF($M261="PER-M",
    IFERROR(
        SUMIFS('Upah Tenaga Ahli'!$E:$E,
               'Upah Tenaga Ahli'!$A:$A,"PER-M",
               'Upah Tenaga Ahli'!$B:$B,$G261
        ) * $J261 * $K261,
    0),
0)))</f>
        <v>1482000.0000000002</v>
      </c>
      <c r="R261" t="s">
        <v>617</v>
      </c>
      <c r="S261" t="s">
        <v>23</v>
      </c>
      <c r="T261">
        <f>IF($M261="PER-M2",
   ($N261 * $J261 * $K261)
   + IFERROR(VLOOKUP($R261,Finishing!A:B,2,FALSE),0)
   + IFERROR(VLOOKUP($S261,Kerumitan!A:B,2,FALSE),0),
IF($M261="PER-LUBANG",
   ($P261 * $L261 * $K261)
   + IFERROR(VLOOKUP($R261,Finishing!A:B,2,FALSE),0)
   + IFERROR(VLOOKUP($S261,Kerumitan!A:B,2,FALSE),0),
IF($M261="PER-M",
   ($O261 * $J261 * $K261)
   + IFERROR(VLOOKUP($R261,Finishing!A:B,2,FALSE),0)
   + IFERROR(VLOOKUP($S261,Kerumitan!A:B,2,FALSE),0),
0)))</f>
        <v>15017600.000000002</v>
      </c>
    </row>
    <row r="262" spans="1:20" x14ac:dyDescent="0.45">
      <c r="A262" t="s">
        <v>359</v>
      </c>
      <c r="B262" s="5">
        <v>45705</v>
      </c>
      <c r="C262">
        <f t="shared" si="4"/>
        <v>2025</v>
      </c>
      <c r="D262" t="s">
        <v>37</v>
      </c>
      <c r="E262" t="s">
        <v>105</v>
      </c>
      <c r="F262" t="s">
        <v>6</v>
      </c>
      <c r="G262" t="s">
        <v>13</v>
      </c>
      <c r="H262" t="s">
        <v>33</v>
      </c>
      <c r="I262">
        <v>1</v>
      </c>
      <c r="J262">
        <v>12.02</v>
      </c>
      <c r="K262">
        <v>2</v>
      </c>
      <c r="L262">
        <v>0</v>
      </c>
      <c r="M262" t="str" cm="1">
        <f t="array" ref="M262">_xlfn.IFS(
   OR($F262="Pagar", $F262="Pintu Gerbang", $F262="Pintu Handerson", $F262="Kanopi"), "PER-M2",
   $F262="Teralis", "PER-LUBANG",
   OR($F262="Railing", $F262="Railing/Balkon"), "PER-M",
   TRUE, ""
)</f>
        <v>PER-M2</v>
      </c>
      <c r="N262" cm="1">
        <f t="array" ref="N262">IF($M262="PER-M2",
  IFERROR(
     _xlfn.IFS(
        $G262="Hollow",
            INDEX('Referensi Harga'!$C:$C,
                  MATCH($F262&amp;$C262,'Referensi Harga'!$A:$A&amp;'Referensi Harga'!$B:$B,0)),
        $G262="Hollow Stainless",
            INDEX('Referensi Harga'!$D:$D,
                  MATCH($F262&amp;$C262,'Referensi Harga'!$A:$A&amp;'Referensi Harga'!$B:$B,0)),
        $G262="Pipa Stainless",
            INDEX('Referensi Harga'!$E:$E,
                  MATCH($F262&amp;$C262,'Referensi Harga'!$A:$A&amp;'Referensi Harga'!$B:$B,0))
     ),0)
  + IFERROR(VLOOKUP($H262,'Profile Size'!$A:$B,2,FALSE),0)
  + IFERROR(VLOOKUP($I262,'Ketebalan Material'!$A:$B,2,FALSE),0),
0)</f>
        <v>500000</v>
      </c>
      <c r="O262">
        <f>IF($M262="PER-M",
  IFERROR(
    IF($G262="Hollow",
       INDEX('Referensi Harga'!$C:$C, MATCH($F262 &amp; "|" &amp; $C262, 'Referensi Harga'!$F:$F, 0)),
    IF($G262="Hollow Stainless",
       INDEX('Referensi Harga'!$D:$D, MATCH($F262 &amp; "|" &amp; $C262, 'Referensi Harga'!$F:$F, 0)),
       INDEX('Referensi Harga'!$E:$E, MATCH($F262 &amp; "|" &amp; $C262, 'Referensi Harga'!$F:$F, 0))
    ))
    + IFERROR(VLOOKUP($H262, 'Profile Size'!$A:$B, 2, FALSE), 0)
    + IFERROR(VLOOKUP($I262, 'Ketebalan Material'!$A:$B, 2, FALSE), 0), 0),
0)</f>
        <v>0</v>
      </c>
      <c r="P262" cm="1">
        <f t="array" ref="P262">IF($M262="PER-LUBANG",
  IFERROR(
     _xlfn.IFS(
        $G262="Hollow",
            INDEX('Referensi Harga'!$C:$C,
                  MATCH($F262&amp;$C262,'Referensi Harga'!$A:$A&amp;'Referensi Harga'!$B:$B,0)),
        $G262="Hollow Stainless",
            INDEX('Referensi Harga'!$D:$D,
                  MATCH($F262&amp;$C262,'Referensi Harga'!$A:$A&amp;'Referensi Harga'!$B:$B,0)),
        $G262="Pipa Stainless",
            INDEX('Referensi Harga'!$E:$E,
                  MATCH($F262&amp;$C262,'Referensi Harga'!$A:$A&amp;'Referensi Harga'!$B:$B,0))
     ),0)
  + IFERROR(VLOOKUP($H262,'Profile Size'!$A:$B,2,FALSE),0)
  + IFERROR(VLOOKUP($I262,'Ketebalan Material'!$A:$B,2,FALSE),0),
0)</f>
        <v>0</v>
      </c>
      <c r="Q262">
        <f>IF($M262="PER-M2",
    IFERROR(
        SUMIFS('Upah Tenaga Ahli'!$C:$C,
               'Upah Tenaga Ahli'!$A:$A,"PER-M2",
               'Upah Tenaga Ahli'!$B:$B,$G262
        ) * $J262 * $K262,
    0),
IF($M262="PER-LUBANG",
    IFERROR(
        SUMIFS('Upah Tenaga Ahli'!$D:$D,
               'Upah Tenaga Ahli'!$A:$A,"PER-LUBANG",
               'Upah Tenaga Ahli'!$B:$B,$G262
        ) * $L262 * $K262,
    0),
IF($M262="PER-M",
    IFERROR(
        SUMIFS('Upah Tenaga Ahli'!$E:$E,
               'Upah Tenaga Ahli'!$A:$A,"PER-M",
               'Upah Tenaga Ahli'!$B:$B,$G262
        ) * $J262 * $K262,
    0),
0)))</f>
        <v>2404000</v>
      </c>
      <c r="R262" t="s">
        <v>18</v>
      </c>
      <c r="S262" t="s">
        <v>25</v>
      </c>
      <c r="T262">
        <f>IF($M262="PER-M2",
   ($N262 * $J262 * $K262)
   + IFERROR(VLOOKUP($R262,Finishing!A:B,2,FALSE),0)
   + IFERROR(VLOOKUP($S262,Kerumitan!A:B,2,FALSE),0),
IF($M262="PER-LUBANG",
   ($P262 * $L262 * $K262)
   + IFERROR(VLOOKUP($R262,Finishing!A:B,2,FALSE),0)
   + IFERROR(VLOOKUP($S262,Kerumitan!A:B,2,FALSE),0),
IF($M262="PER-M",
   ($O262 * $J262 * $K262)
   + IFERROR(VLOOKUP($R262,Finishing!A:B,2,FALSE),0)
   + IFERROR(VLOOKUP($S262,Kerumitan!A:B,2,FALSE),0),
0)))</f>
        <v>12170000</v>
      </c>
    </row>
    <row r="263" spans="1:20" x14ac:dyDescent="0.45">
      <c r="A263" t="s">
        <v>360</v>
      </c>
      <c r="B263" s="5">
        <v>44334</v>
      </c>
      <c r="C263">
        <f t="shared" si="4"/>
        <v>2021</v>
      </c>
      <c r="D263" t="s">
        <v>251</v>
      </c>
      <c r="E263" t="s">
        <v>105</v>
      </c>
      <c r="F263" t="s">
        <v>8</v>
      </c>
      <c r="G263" t="s">
        <v>15</v>
      </c>
      <c r="H263" t="s">
        <v>612</v>
      </c>
      <c r="I263">
        <v>0.8</v>
      </c>
      <c r="J263">
        <v>0</v>
      </c>
      <c r="K263">
        <v>1</v>
      </c>
      <c r="L263">
        <v>6</v>
      </c>
      <c r="M263" t="str" cm="1">
        <f t="array" ref="M263">_xlfn.IFS(
   OR($F263="Pagar", $F263="Pintu Gerbang", $F263="Pintu Handerson", $F263="Kanopi"), "PER-M2",
   $F263="Teralis", "PER-LUBANG",
   OR($F263="Railing", $F263="Railing/Balkon"), "PER-M",
   TRUE, ""
)</f>
        <v>PER-LUBANG</v>
      </c>
      <c r="N263" cm="1">
        <f t="array" ref="N263">IF($M263="PER-M2",
  IFERROR(
     _xlfn.IFS(
        $G263="Hollow",
            INDEX('Referensi Harga'!$C:$C,
                  MATCH($F263&amp;$C263,'Referensi Harga'!$A:$A&amp;'Referensi Harga'!$B:$B,0)),
        $G263="Hollow Stainless",
            INDEX('Referensi Harga'!$D:$D,
                  MATCH($F263&amp;$C263,'Referensi Harga'!$A:$A&amp;'Referensi Harga'!$B:$B,0)),
        $G263="Pipa Stainless",
            INDEX('Referensi Harga'!$E:$E,
                  MATCH($F263&amp;$C263,'Referensi Harga'!$A:$A&amp;'Referensi Harga'!$B:$B,0))
     ),0)
  + IFERROR(VLOOKUP($H263,'Profile Size'!$A:$B,2,FALSE),0)
  + IFERROR(VLOOKUP($I263,'Ketebalan Material'!$A:$B,2,FALSE),0),
0)</f>
        <v>0</v>
      </c>
      <c r="O263">
        <f>IF($M263="PER-M",
  IFERROR(
    IF($G263="Hollow",
       INDEX('Referensi Harga'!$C:$C, MATCH($F263 &amp; "|" &amp; $C263, 'Referensi Harga'!$F:$F, 0)),
    IF($G263="Hollow Stainless",
       INDEX('Referensi Harga'!$D:$D, MATCH($F263 &amp; "|" &amp; $C263, 'Referensi Harga'!$F:$F, 0)),
       INDEX('Referensi Harga'!$E:$E, MATCH($F263 &amp; "|" &amp; $C263, 'Referensi Harga'!$F:$F, 0))
    ))
    + IFERROR(VLOOKUP($H263, 'Profile Size'!$A:$B, 2, FALSE), 0)
    + IFERROR(VLOOKUP($I263, 'Ketebalan Material'!$A:$B, 2, FALSE), 0), 0),
0)</f>
        <v>0</v>
      </c>
      <c r="P263" cm="1">
        <f t="array" ref="P263">IF($M263="PER-LUBANG",
  IFERROR(
     _xlfn.IFS(
        $G263="Hollow",
            INDEX('Referensi Harga'!$C:$C,
                  MATCH($F263&amp;$C263,'Referensi Harga'!$A:$A&amp;'Referensi Harga'!$B:$B,0)),
        $G263="Hollow Stainless",
            INDEX('Referensi Harga'!$D:$D,
                  MATCH($F263&amp;$C263,'Referensi Harga'!$A:$A&amp;'Referensi Harga'!$B:$B,0)),
        $G263="Pipa Stainless",
            INDEX('Referensi Harga'!$E:$E,
                  MATCH($F263&amp;$C263,'Referensi Harga'!$A:$A&amp;'Referensi Harga'!$B:$B,0))
     ),0)
  + IFERROR(VLOOKUP($H263,'Profile Size'!$A:$B,2,FALSE),0)
  + IFERROR(VLOOKUP($I263,'Ketebalan Material'!$A:$B,2,FALSE),0),
0)</f>
        <v>750000</v>
      </c>
      <c r="Q263">
        <f>IF($M263="PER-M2",
    IFERROR(
        SUMIFS('Upah Tenaga Ahli'!$C:$C,
               'Upah Tenaga Ahli'!$A:$A,"PER-M2",
               'Upah Tenaga Ahli'!$B:$B,$G263
        ) * $J263 * $K263,
    0),
IF($M263="PER-LUBANG",
    IFERROR(
        SUMIFS('Upah Tenaga Ahli'!$D:$D,
               'Upah Tenaga Ahli'!$A:$A,"PER-LUBANG",
               'Upah Tenaga Ahli'!$B:$B,$G263
        ) * $L263 * $K263,
    0),
IF($M263="PER-M",
    IFERROR(
        SUMIFS('Upah Tenaga Ahli'!$E:$E,
               'Upah Tenaga Ahli'!$A:$A,"PER-M",
               'Upah Tenaga Ahli'!$B:$B,$G263
        ) * $J263 * $K263,
    0),
0)))</f>
        <v>900000</v>
      </c>
      <c r="R263" t="s">
        <v>617</v>
      </c>
      <c r="S263" t="s">
        <v>23</v>
      </c>
      <c r="T263">
        <f>IF($M263="PER-M2",
   ($N263 * $J263 * $K263)
   + IFERROR(VLOOKUP($R263,Finishing!A:B,2,FALSE),0)
   + IFERROR(VLOOKUP($S263,Kerumitan!A:B,2,FALSE),0),
IF($M263="PER-LUBANG",
   ($P263 * $L263 * $K263)
   + IFERROR(VLOOKUP($R263,Finishing!A:B,2,FALSE),0)
   + IFERROR(VLOOKUP($S263,Kerumitan!A:B,2,FALSE),0),
IF($M263="PER-M",
   ($O263 * $J263 * $K263)
   + IFERROR(VLOOKUP($R263,Finishing!A:B,2,FALSE),0)
   + IFERROR(VLOOKUP($S263,Kerumitan!A:B,2,FALSE),0),
0)))</f>
        <v>4500000</v>
      </c>
    </row>
    <row r="264" spans="1:20" x14ac:dyDescent="0.45">
      <c r="A264" t="s">
        <v>361</v>
      </c>
      <c r="B264" s="5">
        <v>45687</v>
      </c>
      <c r="C264">
        <f t="shared" si="4"/>
        <v>2025</v>
      </c>
      <c r="D264" t="s">
        <v>86</v>
      </c>
      <c r="E264" t="s">
        <v>32</v>
      </c>
      <c r="F264" t="s">
        <v>10</v>
      </c>
      <c r="G264" t="s">
        <v>14</v>
      </c>
      <c r="H264" t="s">
        <v>615</v>
      </c>
      <c r="I264">
        <v>1.2</v>
      </c>
      <c r="J264">
        <v>2.58</v>
      </c>
      <c r="K264">
        <v>2</v>
      </c>
      <c r="L264">
        <v>0</v>
      </c>
      <c r="M264" t="str" cm="1">
        <f t="array" ref="M264">_xlfn.IFS(
   OR($F264="Pagar", $F264="Pintu Gerbang", $F264="Pintu Handerson", $F264="Kanopi"), "PER-M2",
   $F264="Teralis", "PER-LUBANG",
   OR($F264="Railing", $F264="Railing/Balkon"), "PER-M",
   TRUE, ""
)</f>
        <v>PER-M2</v>
      </c>
      <c r="N264" cm="1">
        <f t="array" ref="N264">IF($M264="PER-M2",
  IFERROR(
     _xlfn.IFS(
        $G264="Hollow",
            INDEX('Referensi Harga'!$C:$C,
                  MATCH($F264&amp;$C264,'Referensi Harga'!$A:$A&amp;'Referensi Harga'!$B:$B,0)),
        $G264="Hollow Stainless",
            INDEX('Referensi Harga'!$D:$D,
                  MATCH($F264&amp;$C264,'Referensi Harga'!$A:$A&amp;'Referensi Harga'!$B:$B,0)),
        $G264="Pipa Stainless",
            INDEX('Referensi Harga'!$E:$E,
                  MATCH($F264&amp;$C264,'Referensi Harga'!$A:$A&amp;'Referensi Harga'!$B:$B,0))
     ),0)
  + IFERROR(VLOOKUP($H264,'Profile Size'!$A:$B,2,FALSE),0)
  + IFERROR(VLOOKUP($I264,'Ketebalan Material'!$A:$B,2,FALSE),0),
0)</f>
        <v>1700000</v>
      </c>
      <c r="O264">
        <f>IF($M264="PER-M",
  IFERROR(
    IF($G264="Hollow",
       INDEX('Referensi Harga'!$C:$C, MATCH($F264 &amp; "|" &amp; $C264, 'Referensi Harga'!$F:$F, 0)),
    IF($G264="Hollow Stainless",
       INDEX('Referensi Harga'!$D:$D, MATCH($F264 &amp; "|" &amp; $C264, 'Referensi Harga'!$F:$F, 0)),
       INDEX('Referensi Harga'!$E:$E, MATCH($F264 &amp; "|" &amp; $C264, 'Referensi Harga'!$F:$F, 0))
    ))
    + IFERROR(VLOOKUP($H264, 'Profile Size'!$A:$B, 2, FALSE), 0)
    + IFERROR(VLOOKUP($I264, 'Ketebalan Material'!$A:$B, 2, FALSE), 0), 0),
0)</f>
        <v>0</v>
      </c>
      <c r="P264" cm="1">
        <f t="array" ref="P264">IF($M264="PER-LUBANG",
  IFERROR(
     _xlfn.IFS(
        $G264="Hollow",
            INDEX('Referensi Harga'!$C:$C,
                  MATCH($F264&amp;$C264,'Referensi Harga'!$A:$A&amp;'Referensi Harga'!$B:$B,0)),
        $G264="Hollow Stainless",
            INDEX('Referensi Harga'!$D:$D,
                  MATCH($F264&amp;$C264,'Referensi Harga'!$A:$A&amp;'Referensi Harga'!$B:$B,0)),
        $G264="Pipa Stainless",
            INDEX('Referensi Harga'!$E:$E,
                  MATCH($F264&amp;$C264,'Referensi Harga'!$A:$A&amp;'Referensi Harga'!$B:$B,0))
     ),0)
  + IFERROR(VLOOKUP($H264,'Profile Size'!$A:$B,2,FALSE),0)
  + IFERROR(VLOOKUP($I264,'Ketebalan Material'!$A:$B,2,FALSE),0),
0)</f>
        <v>0</v>
      </c>
      <c r="Q264">
        <f>IF($M264="PER-M2",
    IFERROR(
        SUMIFS('Upah Tenaga Ahli'!$C:$C,
               'Upah Tenaga Ahli'!$A:$A,"PER-M2",
               'Upah Tenaga Ahli'!$B:$B,$G264
        ) * $J264 * $K264,
    0),
IF($M264="PER-LUBANG",
    IFERROR(
        SUMIFS('Upah Tenaga Ahli'!$D:$D,
               'Upah Tenaga Ahli'!$A:$A,"PER-LUBANG",
               'Upah Tenaga Ahli'!$B:$B,$G264
        ) * $L264 * $K264,
    0),
IF($M264="PER-M",
    IFERROR(
        SUMIFS('Upah Tenaga Ahli'!$E:$E,
               'Upah Tenaga Ahli'!$A:$A,"PER-M",
               'Upah Tenaga Ahli'!$B:$B,$G264
        ) * $J264 * $K264,
    0),
0)))</f>
        <v>1032000</v>
      </c>
      <c r="R264" t="s">
        <v>617</v>
      </c>
      <c r="S264" t="s">
        <v>25</v>
      </c>
      <c r="T264">
        <f>IF($M264="PER-M2",
   ($N264 * $J264 * $K264)
   + IFERROR(VLOOKUP($R264,Finishing!A:B,2,FALSE),0)
   + IFERROR(VLOOKUP($S264,Kerumitan!A:B,2,FALSE),0),
IF($M264="PER-LUBANG",
   ($P264 * $L264 * $K264)
   + IFERROR(VLOOKUP($R264,Finishing!A:B,2,FALSE),0)
   + IFERROR(VLOOKUP($S264,Kerumitan!A:B,2,FALSE),0),
IF($M264="PER-M",
   ($O264 * $J264 * $K264)
   + IFERROR(VLOOKUP($R264,Finishing!A:B,2,FALSE),0)
   + IFERROR(VLOOKUP($S264,Kerumitan!A:B,2,FALSE),0),
0)))</f>
        <v>8922000</v>
      </c>
    </row>
    <row r="265" spans="1:20" x14ac:dyDescent="0.45">
      <c r="A265" t="s">
        <v>362</v>
      </c>
      <c r="B265" s="5">
        <v>45712</v>
      </c>
      <c r="C265">
        <f t="shared" si="4"/>
        <v>2025</v>
      </c>
      <c r="D265" t="s">
        <v>179</v>
      </c>
      <c r="E265" t="s">
        <v>61</v>
      </c>
      <c r="F265" t="s">
        <v>10</v>
      </c>
      <c r="G265" t="s">
        <v>13</v>
      </c>
      <c r="H265" t="s">
        <v>33</v>
      </c>
      <c r="I265">
        <v>1.2</v>
      </c>
      <c r="J265">
        <v>4.83</v>
      </c>
      <c r="K265">
        <v>1</v>
      </c>
      <c r="L265">
        <v>0</v>
      </c>
      <c r="M265" t="str" cm="1">
        <f t="array" ref="M265">_xlfn.IFS(
   OR($F265="Pagar", $F265="Pintu Gerbang", $F265="Pintu Handerson", $F265="Kanopi"), "PER-M2",
   $F265="Teralis", "PER-LUBANG",
   OR($F265="Railing", $F265="Railing/Balkon"), "PER-M",
   TRUE, ""
)</f>
        <v>PER-M2</v>
      </c>
      <c r="N265" cm="1">
        <f t="array" ref="N265">IF($M265="PER-M2",
  IFERROR(
     _xlfn.IFS(
        $G265="Hollow",
            INDEX('Referensi Harga'!$C:$C,
                  MATCH($F265&amp;$C265,'Referensi Harga'!$A:$A&amp;'Referensi Harga'!$B:$B,0)),
        $G265="Hollow Stainless",
            INDEX('Referensi Harga'!$D:$D,
                  MATCH($F265&amp;$C265,'Referensi Harga'!$A:$A&amp;'Referensi Harga'!$B:$B,0)),
        $G265="Pipa Stainless",
            INDEX('Referensi Harga'!$E:$E,
                  MATCH($F265&amp;$C265,'Referensi Harga'!$A:$A&amp;'Referensi Harga'!$B:$B,0))
     ),0)
  + IFERROR(VLOOKUP($H265,'Profile Size'!$A:$B,2,FALSE),0)
  + IFERROR(VLOOKUP($I265,'Ketebalan Material'!$A:$B,2,FALSE),0),
0)</f>
        <v>1000000</v>
      </c>
      <c r="O265">
        <f>IF($M265="PER-M",
  IFERROR(
    IF($G265="Hollow",
       INDEX('Referensi Harga'!$C:$C, MATCH($F265 &amp; "|" &amp; $C265, 'Referensi Harga'!$F:$F, 0)),
    IF($G265="Hollow Stainless",
       INDEX('Referensi Harga'!$D:$D, MATCH($F265 &amp; "|" &amp; $C265, 'Referensi Harga'!$F:$F, 0)),
       INDEX('Referensi Harga'!$E:$E, MATCH($F265 &amp; "|" &amp; $C265, 'Referensi Harga'!$F:$F, 0))
    ))
    + IFERROR(VLOOKUP($H265, 'Profile Size'!$A:$B, 2, FALSE), 0)
    + IFERROR(VLOOKUP($I265, 'Ketebalan Material'!$A:$B, 2, FALSE), 0), 0),
0)</f>
        <v>0</v>
      </c>
      <c r="P265" cm="1">
        <f t="array" ref="P265">IF($M265="PER-LUBANG",
  IFERROR(
     _xlfn.IFS(
        $G265="Hollow",
            INDEX('Referensi Harga'!$C:$C,
                  MATCH($F265&amp;$C265,'Referensi Harga'!$A:$A&amp;'Referensi Harga'!$B:$B,0)),
        $G265="Hollow Stainless",
            INDEX('Referensi Harga'!$D:$D,
                  MATCH($F265&amp;$C265,'Referensi Harga'!$A:$A&amp;'Referensi Harga'!$B:$B,0)),
        $G265="Pipa Stainless",
            INDEX('Referensi Harga'!$E:$E,
                  MATCH($F265&amp;$C265,'Referensi Harga'!$A:$A&amp;'Referensi Harga'!$B:$B,0))
     ),0)
  + IFERROR(VLOOKUP($H265,'Profile Size'!$A:$B,2,FALSE),0)
  + IFERROR(VLOOKUP($I265,'Ketebalan Material'!$A:$B,2,FALSE),0),
0)</f>
        <v>0</v>
      </c>
      <c r="Q265">
        <f>IF($M265="PER-M2",
    IFERROR(
        SUMIFS('Upah Tenaga Ahli'!$C:$C,
               'Upah Tenaga Ahli'!$A:$A,"PER-M2",
               'Upah Tenaga Ahli'!$B:$B,$G265
        ) * $J265 * $K265,
    0),
IF($M265="PER-LUBANG",
    IFERROR(
        SUMIFS('Upah Tenaga Ahli'!$D:$D,
               'Upah Tenaga Ahli'!$A:$A,"PER-LUBANG",
               'Upah Tenaga Ahli'!$B:$B,$G265
        ) * $L265 * $K265,
    0),
IF($M265="PER-M",
    IFERROR(
        SUMIFS('Upah Tenaga Ahli'!$E:$E,
               'Upah Tenaga Ahli'!$A:$A,"PER-M",
               'Upah Tenaga Ahli'!$B:$B,$G265
        ) * $J265 * $K265,
    0),
0)))</f>
        <v>483000</v>
      </c>
      <c r="R265" t="s">
        <v>19</v>
      </c>
      <c r="S265" t="s">
        <v>24</v>
      </c>
      <c r="T265">
        <f>IF($M265="PER-M2",
   ($N265 * $J265 * $K265)
   + IFERROR(VLOOKUP($R265,Finishing!A:B,2,FALSE),0)
   + IFERROR(VLOOKUP($S265,Kerumitan!A:B,2,FALSE),0),
IF($M265="PER-LUBANG",
   ($P265 * $L265 * $K265)
   + IFERROR(VLOOKUP($R265,Finishing!A:B,2,FALSE),0)
   + IFERROR(VLOOKUP($S265,Kerumitan!A:B,2,FALSE),0),
IF($M265="PER-M",
   ($O265 * $J265 * $K265)
   + IFERROR(VLOOKUP($R265,Finishing!A:B,2,FALSE),0)
   + IFERROR(VLOOKUP($S265,Kerumitan!A:B,2,FALSE),0),
0)))</f>
        <v>4980000</v>
      </c>
    </row>
    <row r="266" spans="1:20" x14ac:dyDescent="0.45">
      <c r="A266" t="s">
        <v>363</v>
      </c>
      <c r="B266" s="5">
        <v>43803</v>
      </c>
      <c r="C266">
        <f t="shared" si="4"/>
        <v>2019</v>
      </c>
      <c r="D266" t="s">
        <v>288</v>
      </c>
      <c r="E266" t="s">
        <v>32</v>
      </c>
      <c r="F266" t="s">
        <v>7</v>
      </c>
      <c r="G266" t="s">
        <v>15</v>
      </c>
      <c r="H266" t="s">
        <v>46</v>
      </c>
      <c r="I266">
        <v>1.2</v>
      </c>
      <c r="J266">
        <v>8.83</v>
      </c>
      <c r="K266">
        <v>1</v>
      </c>
      <c r="L266">
        <v>0</v>
      </c>
      <c r="M266" t="str" cm="1">
        <f t="array" ref="M266">_xlfn.IFS(
   OR($F266="Pagar", $F266="Pintu Gerbang", $F266="Pintu Handerson", $F266="Kanopi"), "PER-M2",
   $F266="Teralis", "PER-LUBANG",
   OR($F266="Railing", $F266="Railing/Balkon"), "PER-M",
   TRUE, ""
)</f>
        <v>PER-M2</v>
      </c>
      <c r="N266" cm="1">
        <f t="array" ref="N266">IF($M266="PER-M2",
  IFERROR(
     _xlfn.IFS(
        $G266="Hollow",
            INDEX('Referensi Harga'!$C:$C,
                  MATCH($F266&amp;$C266,'Referensi Harga'!$A:$A&amp;'Referensi Harga'!$B:$B,0)),
        $G266="Hollow Stainless",
            INDEX('Referensi Harga'!$D:$D,
                  MATCH($F266&amp;$C266,'Referensi Harga'!$A:$A&amp;'Referensi Harga'!$B:$B,0)),
        $G266="Pipa Stainless",
            INDEX('Referensi Harga'!$E:$E,
                  MATCH($F266&amp;$C266,'Referensi Harga'!$A:$A&amp;'Referensi Harga'!$B:$B,0))
     ),0)
  + IFERROR(VLOOKUP($H266,'Profile Size'!$A:$B,2,FALSE),0)
  + IFERROR(VLOOKUP($I266,'Ketebalan Material'!$A:$B,2,FALSE),0),
0)</f>
        <v>1250000</v>
      </c>
      <c r="O266">
        <f>IF($M266="PER-M",
  IFERROR(
    IF($G266="Hollow",
       INDEX('Referensi Harga'!$C:$C, MATCH($F266 &amp; "|" &amp; $C266, 'Referensi Harga'!$F:$F, 0)),
    IF($G266="Hollow Stainless",
       INDEX('Referensi Harga'!$D:$D, MATCH($F266 &amp; "|" &amp; $C266, 'Referensi Harga'!$F:$F, 0)),
       INDEX('Referensi Harga'!$E:$E, MATCH($F266 &amp; "|" &amp; $C266, 'Referensi Harga'!$F:$F, 0))
    ))
    + IFERROR(VLOOKUP($H266, 'Profile Size'!$A:$B, 2, FALSE), 0)
    + IFERROR(VLOOKUP($I266, 'Ketebalan Material'!$A:$B, 2, FALSE), 0), 0),
0)</f>
        <v>0</v>
      </c>
      <c r="P266" cm="1">
        <f t="array" ref="P266">IF($M266="PER-LUBANG",
  IFERROR(
     _xlfn.IFS(
        $G266="Hollow",
            INDEX('Referensi Harga'!$C:$C,
                  MATCH($F266&amp;$C266,'Referensi Harga'!$A:$A&amp;'Referensi Harga'!$B:$B,0)),
        $G266="Hollow Stainless",
            INDEX('Referensi Harga'!$D:$D,
                  MATCH($F266&amp;$C266,'Referensi Harga'!$A:$A&amp;'Referensi Harga'!$B:$B,0)),
        $G266="Pipa Stainless",
            INDEX('Referensi Harga'!$E:$E,
                  MATCH($F266&amp;$C266,'Referensi Harga'!$A:$A&amp;'Referensi Harga'!$B:$B,0))
     ),0)
  + IFERROR(VLOOKUP($H266,'Profile Size'!$A:$B,2,FALSE),0)
  + IFERROR(VLOOKUP($I266,'Ketebalan Material'!$A:$B,2,FALSE),0),
0)</f>
        <v>0</v>
      </c>
      <c r="Q266">
        <f>IF($M266="PER-M2",
    IFERROR(
        SUMIFS('Upah Tenaga Ahli'!$C:$C,
               'Upah Tenaga Ahli'!$A:$A,"PER-M2",
               'Upah Tenaga Ahli'!$B:$B,$G266
        ) * $J266 * $K266,
    0),
IF($M266="PER-LUBANG",
    IFERROR(
        SUMIFS('Upah Tenaga Ahli'!$D:$D,
               'Upah Tenaga Ahli'!$A:$A,"PER-LUBANG",
               'Upah Tenaga Ahli'!$B:$B,$G266
        ) * $L266 * $K266,
    0),
IF($M266="PER-M",
    IFERROR(
        SUMIFS('Upah Tenaga Ahli'!$E:$E,
               'Upah Tenaga Ahli'!$A:$A,"PER-M",
               'Upah Tenaga Ahli'!$B:$B,$G266
        ) * $J266 * $K266,
    0),
0)))</f>
        <v>1324500</v>
      </c>
      <c r="R266" t="s">
        <v>617</v>
      </c>
      <c r="S266" t="s">
        <v>23</v>
      </c>
      <c r="T266">
        <f>IF($M266="PER-M2",
   ($N266 * $J266 * $K266)
   + IFERROR(VLOOKUP($R266,Finishing!A:B,2,FALSE),0)
   + IFERROR(VLOOKUP($S266,Kerumitan!A:B,2,FALSE),0),
IF($M266="PER-LUBANG",
   ($P266 * $L266 * $K266)
   + IFERROR(VLOOKUP($R266,Finishing!A:B,2,FALSE),0)
   + IFERROR(VLOOKUP($S266,Kerumitan!A:B,2,FALSE),0),
IF($M266="PER-M",
   ($O266 * $J266 * $K266)
   + IFERROR(VLOOKUP($R266,Finishing!A:B,2,FALSE),0)
   + IFERROR(VLOOKUP($S266,Kerumitan!A:B,2,FALSE),0),
0)))</f>
        <v>11037500</v>
      </c>
    </row>
    <row r="267" spans="1:20" x14ac:dyDescent="0.45">
      <c r="A267" t="s">
        <v>364</v>
      </c>
      <c r="B267" s="5">
        <v>44747</v>
      </c>
      <c r="C267">
        <f t="shared" si="4"/>
        <v>2022</v>
      </c>
      <c r="D267" t="s">
        <v>81</v>
      </c>
      <c r="E267" t="s">
        <v>75</v>
      </c>
      <c r="F267" t="s">
        <v>625</v>
      </c>
      <c r="G267" t="s">
        <v>14</v>
      </c>
      <c r="H267" t="s">
        <v>615</v>
      </c>
      <c r="I267">
        <v>1.2</v>
      </c>
      <c r="J267">
        <v>13.91</v>
      </c>
      <c r="K267">
        <v>2</v>
      </c>
      <c r="L267">
        <v>0</v>
      </c>
      <c r="M267" t="str" cm="1">
        <f t="array" ref="M267">_xlfn.IFS(
   OR($F267="Pagar", $F267="Pintu Gerbang", $F267="Pintu Handerson", $F267="Kanopi"), "PER-M2",
   $F267="Teralis", "PER-LUBANG",
   OR($F267="Railing", $F267="Railing/Balkon"), "PER-M",
   TRUE, ""
)</f>
        <v>PER-M</v>
      </c>
      <c r="N267" cm="1">
        <f t="array" ref="N267">IF($M267="PER-M2",
  IFERROR(
     _xlfn.IFS(
        $G267="Hollow",
            INDEX('Referensi Harga'!$C:$C,
                  MATCH($F267&amp;$C267,'Referensi Harga'!$A:$A&amp;'Referensi Harga'!$B:$B,0)),
        $G267="Hollow Stainless",
            INDEX('Referensi Harga'!$D:$D,
                  MATCH($F267&amp;$C267,'Referensi Harga'!$A:$A&amp;'Referensi Harga'!$B:$B,0)),
        $G267="Pipa Stainless",
            INDEX('Referensi Harga'!$E:$E,
                  MATCH($F267&amp;$C267,'Referensi Harga'!$A:$A&amp;'Referensi Harga'!$B:$B,0))
     ),0)
  + IFERROR(VLOOKUP($H267,'Profile Size'!$A:$B,2,FALSE),0)
  + IFERROR(VLOOKUP($I267,'Ketebalan Material'!$A:$B,2,FALSE),0),
0)</f>
        <v>0</v>
      </c>
      <c r="O267">
        <f>IF($M267="PER-M",
  IFERROR(
    IF($G267="Hollow",
       INDEX('Referensi Harga'!$C:$C, MATCH($F267 &amp; "|" &amp; $C267, 'Referensi Harga'!$F:$F, 0)),
    IF($G267="Hollow Stainless",
       INDEX('Referensi Harga'!$D:$D, MATCH($F267 &amp; "|" &amp; $C267, 'Referensi Harga'!$F:$F, 0)),
       INDEX('Referensi Harga'!$E:$E, MATCH($F267 &amp; "|" &amp; $C267, 'Referensi Harga'!$F:$F, 0))
    ))
    + IFERROR(VLOOKUP($H267, 'Profile Size'!$A:$B, 2, FALSE), 0)
    + IFERROR(VLOOKUP($I267, 'Ketebalan Material'!$A:$B, 2, FALSE), 0), 0),
0)</f>
        <v>1120000</v>
      </c>
      <c r="P267" cm="1">
        <f t="array" ref="P267">IF($M267="PER-LUBANG",
  IFERROR(
     _xlfn.IFS(
        $G267="Hollow",
            INDEX('Referensi Harga'!$C:$C,
                  MATCH($F267&amp;$C267,'Referensi Harga'!$A:$A&amp;'Referensi Harga'!$B:$B,0)),
        $G267="Hollow Stainless",
            INDEX('Referensi Harga'!$D:$D,
                  MATCH($F267&amp;$C267,'Referensi Harga'!$A:$A&amp;'Referensi Harga'!$B:$B,0)),
        $G267="Pipa Stainless",
            INDEX('Referensi Harga'!$E:$E,
                  MATCH($F267&amp;$C267,'Referensi Harga'!$A:$A&amp;'Referensi Harga'!$B:$B,0))
     ),0)
  + IFERROR(VLOOKUP($H267,'Profile Size'!$A:$B,2,FALSE),0)
  + IFERROR(VLOOKUP($I267,'Ketebalan Material'!$A:$B,2,FALSE),0),
0)</f>
        <v>0</v>
      </c>
      <c r="Q267">
        <f>IF($M267="PER-M2",
    IFERROR(
        SUMIFS('Upah Tenaga Ahli'!$C:$C,
               'Upah Tenaga Ahli'!$A:$A,"PER-M2",
               'Upah Tenaga Ahli'!$B:$B,$G267
        ) * $J267 * $K267,
    0),
IF($M267="PER-LUBANG",
    IFERROR(
        SUMIFS('Upah Tenaga Ahli'!$D:$D,
               'Upah Tenaga Ahli'!$A:$A,"PER-LUBANG",
               'Upah Tenaga Ahli'!$B:$B,$G267
        ) * $L267 * $K267,
    0),
IF($M267="PER-M",
    IFERROR(
        SUMIFS('Upah Tenaga Ahli'!$E:$E,
               'Upah Tenaga Ahli'!$A:$A,"PER-M",
               'Upah Tenaga Ahli'!$B:$B,$G267
        ) * $J267 * $K267,
    0),
0)))</f>
        <v>5564000</v>
      </c>
      <c r="R267" t="s">
        <v>617</v>
      </c>
      <c r="S267" t="s">
        <v>24</v>
      </c>
      <c r="T267">
        <f>IF($M267="PER-M2",
   ($N267 * $J267 * $K267)
   + IFERROR(VLOOKUP($R267,Finishing!A:B,2,FALSE),0)
   + IFERROR(VLOOKUP($S267,Kerumitan!A:B,2,FALSE),0),
IF($M267="PER-LUBANG",
   ($P267 * $L267 * $K267)
   + IFERROR(VLOOKUP($R267,Finishing!A:B,2,FALSE),0)
   + IFERROR(VLOOKUP($S267,Kerumitan!A:B,2,FALSE),0),
IF($M267="PER-M",
   ($O267 * $J267 * $K267)
   + IFERROR(VLOOKUP($R267,Finishing!A:B,2,FALSE),0)
   + IFERROR(VLOOKUP($S267,Kerumitan!A:B,2,FALSE),0),
0)))</f>
        <v>31258400</v>
      </c>
    </row>
    <row r="268" spans="1:20" x14ac:dyDescent="0.45">
      <c r="A268" t="s">
        <v>365</v>
      </c>
      <c r="B268" s="5">
        <v>44986</v>
      </c>
      <c r="C268">
        <f t="shared" si="4"/>
        <v>2023</v>
      </c>
      <c r="D268" t="s">
        <v>126</v>
      </c>
      <c r="E268" t="s">
        <v>38</v>
      </c>
      <c r="F268" t="s">
        <v>625</v>
      </c>
      <c r="G268" t="s">
        <v>14</v>
      </c>
      <c r="H268" t="s">
        <v>615</v>
      </c>
      <c r="I268">
        <v>0.8</v>
      </c>
      <c r="J268">
        <v>7.32</v>
      </c>
      <c r="K268">
        <v>3</v>
      </c>
      <c r="L268">
        <v>0</v>
      </c>
      <c r="M268" t="str" cm="1">
        <f t="array" ref="M268">_xlfn.IFS(
   OR($F268="Pagar", $F268="Pintu Gerbang", $F268="Pintu Handerson", $F268="Kanopi"), "PER-M2",
   $F268="Teralis", "PER-LUBANG",
   OR($F268="Railing", $F268="Railing/Balkon"), "PER-M",
   TRUE, ""
)</f>
        <v>PER-M</v>
      </c>
      <c r="N268" cm="1">
        <f t="array" ref="N268">IF($M268="PER-M2",
  IFERROR(
     _xlfn.IFS(
        $G268="Hollow",
            INDEX('Referensi Harga'!$C:$C,
                  MATCH($F268&amp;$C268,'Referensi Harga'!$A:$A&amp;'Referensi Harga'!$B:$B,0)),
        $G268="Hollow Stainless",
            INDEX('Referensi Harga'!$D:$D,
                  MATCH($F268&amp;$C268,'Referensi Harga'!$A:$A&amp;'Referensi Harga'!$B:$B,0)),
        $G268="Pipa Stainless",
            INDEX('Referensi Harga'!$E:$E,
                  MATCH($F268&amp;$C268,'Referensi Harga'!$A:$A&amp;'Referensi Harga'!$B:$B,0))
     ),0)
  + IFERROR(VLOOKUP($H268,'Profile Size'!$A:$B,2,FALSE),0)
  + IFERROR(VLOOKUP($I268,'Ketebalan Material'!$A:$B,2,FALSE),0),
0)</f>
        <v>0</v>
      </c>
      <c r="O268">
        <f>IF($M268="PER-M",
  IFERROR(
    IF($G268="Hollow",
       INDEX('Referensi Harga'!$C:$C, MATCH($F268 &amp; "|" &amp; $C268, 'Referensi Harga'!$F:$F, 0)),
    IF($G268="Hollow Stainless",
       INDEX('Referensi Harga'!$D:$D, MATCH($F268 &amp; "|" &amp; $C268, 'Referensi Harga'!$F:$F, 0)),
       INDEX('Referensi Harga'!$E:$E, MATCH($F268 &amp; "|" &amp; $C268, 'Referensi Harga'!$F:$F, 0))
    ))
    + IFERROR(VLOOKUP($H268, 'Profile Size'!$A:$B, 2, FALSE), 0)
    + IFERROR(VLOOKUP($I268, 'Ketebalan Material'!$A:$B, 2, FALSE), 0), 0),
0)</f>
        <v>1050000</v>
      </c>
      <c r="P268" cm="1">
        <f t="array" ref="P268">IF($M268="PER-LUBANG",
  IFERROR(
     _xlfn.IFS(
        $G268="Hollow",
            INDEX('Referensi Harga'!$C:$C,
                  MATCH($F268&amp;$C268,'Referensi Harga'!$A:$A&amp;'Referensi Harga'!$B:$B,0)),
        $G268="Hollow Stainless",
            INDEX('Referensi Harga'!$D:$D,
                  MATCH($F268&amp;$C268,'Referensi Harga'!$A:$A&amp;'Referensi Harga'!$B:$B,0)),
        $G268="Pipa Stainless",
            INDEX('Referensi Harga'!$E:$E,
                  MATCH($F268&amp;$C268,'Referensi Harga'!$A:$A&amp;'Referensi Harga'!$B:$B,0))
     ),0)
  + IFERROR(VLOOKUP($H268,'Profile Size'!$A:$B,2,FALSE),0)
  + IFERROR(VLOOKUP($I268,'Ketebalan Material'!$A:$B,2,FALSE),0),
0)</f>
        <v>0</v>
      </c>
      <c r="Q268">
        <f>IF($M268="PER-M2",
    IFERROR(
        SUMIFS('Upah Tenaga Ahli'!$C:$C,
               'Upah Tenaga Ahli'!$A:$A,"PER-M2",
               'Upah Tenaga Ahli'!$B:$B,$G268
        ) * $J268 * $K268,
    0),
IF($M268="PER-LUBANG",
    IFERROR(
        SUMIFS('Upah Tenaga Ahli'!$D:$D,
               'Upah Tenaga Ahli'!$A:$A,"PER-LUBANG",
               'Upah Tenaga Ahli'!$B:$B,$G268
        ) * $L268 * $K268,
    0),
IF($M268="PER-M",
    IFERROR(
        SUMIFS('Upah Tenaga Ahli'!$E:$E,
               'Upah Tenaga Ahli'!$A:$A,"PER-M",
               'Upah Tenaga Ahli'!$B:$B,$G268
        ) * $J268 * $K268,
    0),
0)))</f>
        <v>4392000</v>
      </c>
      <c r="R268" t="s">
        <v>617</v>
      </c>
      <c r="S268" t="s">
        <v>24</v>
      </c>
      <c r="T268">
        <f>IF($M268="PER-M2",
   ($N268 * $J268 * $K268)
   + IFERROR(VLOOKUP($R268,Finishing!A:B,2,FALSE),0)
   + IFERROR(VLOOKUP($S268,Kerumitan!A:B,2,FALSE),0),
IF($M268="PER-LUBANG",
   ($P268 * $L268 * $K268)
   + IFERROR(VLOOKUP($R268,Finishing!A:B,2,FALSE),0)
   + IFERROR(VLOOKUP($S268,Kerumitan!A:B,2,FALSE),0),
IF($M268="PER-M",
   ($O268 * $J268 * $K268)
   + IFERROR(VLOOKUP($R268,Finishing!A:B,2,FALSE),0)
   + IFERROR(VLOOKUP($S268,Kerumitan!A:B,2,FALSE),0),
0)))</f>
        <v>23158000</v>
      </c>
    </row>
    <row r="269" spans="1:20" x14ac:dyDescent="0.45">
      <c r="A269" t="s">
        <v>366</v>
      </c>
      <c r="B269" s="5">
        <v>44015</v>
      </c>
      <c r="C269">
        <f t="shared" si="4"/>
        <v>2020</v>
      </c>
      <c r="D269" t="s">
        <v>169</v>
      </c>
      <c r="E269" t="s">
        <v>121</v>
      </c>
      <c r="F269" t="s">
        <v>4</v>
      </c>
      <c r="G269" t="s">
        <v>14</v>
      </c>
      <c r="H269" t="s">
        <v>615</v>
      </c>
      <c r="I269">
        <v>0.8</v>
      </c>
      <c r="J269">
        <v>8.61</v>
      </c>
      <c r="K269">
        <v>1</v>
      </c>
      <c r="L269">
        <v>0</v>
      </c>
      <c r="M269" t="str" cm="1">
        <f t="array" ref="M269">_xlfn.IFS(
   OR($F269="Pagar", $F269="Pintu Gerbang", $F269="Pintu Handerson", $F269="Kanopi"), "PER-M2",
   $F269="Teralis", "PER-LUBANG",
   OR($F269="Railing", $F269="Railing/Balkon"), "PER-M",
   TRUE, ""
)</f>
        <v>PER-M2</v>
      </c>
      <c r="N269" cm="1">
        <f t="array" ref="N269">IF($M269="PER-M2",
  IFERROR(
     _xlfn.IFS(
        $G269="Hollow",
            INDEX('Referensi Harga'!$C:$C,
                  MATCH($F269&amp;$C269,'Referensi Harga'!$A:$A&amp;'Referensi Harga'!$B:$B,0)),
        $G269="Hollow Stainless",
            INDEX('Referensi Harga'!$D:$D,
                  MATCH($F269&amp;$C269,'Referensi Harga'!$A:$A&amp;'Referensi Harga'!$B:$B,0)),
        $G269="Pipa Stainless",
            INDEX('Referensi Harga'!$E:$E,
                  MATCH($F269&amp;$C269,'Referensi Harga'!$A:$A&amp;'Referensi Harga'!$B:$B,0))
     ),0)
  + IFERROR(VLOOKUP($H269,'Profile Size'!$A:$B,2,FALSE),0)
  + IFERROR(VLOOKUP($I269,'Ketebalan Material'!$A:$B,2,FALSE),0),
0)</f>
        <v>980000</v>
      </c>
      <c r="O269">
        <f>IF($M269="PER-M",
  IFERROR(
    IF($G269="Hollow",
       INDEX('Referensi Harga'!$C:$C, MATCH($F269 &amp; "|" &amp; $C269, 'Referensi Harga'!$F:$F, 0)),
    IF($G269="Hollow Stainless",
       INDEX('Referensi Harga'!$D:$D, MATCH($F269 &amp; "|" &amp; $C269, 'Referensi Harga'!$F:$F, 0)),
       INDEX('Referensi Harga'!$E:$E, MATCH($F269 &amp; "|" &amp; $C269, 'Referensi Harga'!$F:$F, 0))
    ))
    + IFERROR(VLOOKUP($H269, 'Profile Size'!$A:$B, 2, FALSE), 0)
    + IFERROR(VLOOKUP($I269, 'Ketebalan Material'!$A:$B, 2, FALSE), 0), 0),
0)</f>
        <v>0</v>
      </c>
      <c r="P269" cm="1">
        <f t="array" ref="P269">IF($M269="PER-LUBANG",
  IFERROR(
     _xlfn.IFS(
        $G269="Hollow",
            INDEX('Referensi Harga'!$C:$C,
                  MATCH($F269&amp;$C269,'Referensi Harga'!$A:$A&amp;'Referensi Harga'!$B:$B,0)),
        $G269="Hollow Stainless",
            INDEX('Referensi Harga'!$D:$D,
                  MATCH($F269&amp;$C269,'Referensi Harga'!$A:$A&amp;'Referensi Harga'!$B:$B,0)),
        $G269="Pipa Stainless",
            INDEX('Referensi Harga'!$E:$E,
                  MATCH($F269&amp;$C269,'Referensi Harga'!$A:$A&amp;'Referensi Harga'!$B:$B,0))
     ),0)
  + IFERROR(VLOOKUP($H269,'Profile Size'!$A:$B,2,FALSE),0)
  + IFERROR(VLOOKUP($I269,'Ketebalan Material'!$A:$B,2,FALSE),0),
0)</f>
        <v>0</v>
      </c>
      <c r="Q269">
        <f>IF($M269="PER-M2",
    IFERROR(
        SUMIFS('Upah Tenaga Ahli'!$C:$C,
               'Upah Tenaga Ahli'!$A:$A,"PER-M2",
               'Upah Tenaga Ahli'!$B:$B,$G269
        ) * $J269 * $K269,
    0),
IF($M269="PER-LUBANG",
    IFERROR(
        SUMIFS('Upah Tenaga Ahli'!$D:$D,
               'Upah Tenaga Ahli'!$A:$A,"PER-LUBANG",
               'Upah Tenaga Ahli'!$B:$B,$G269
        ) * $L269 * $K269,
    0),
IF($M269="PER-M",
    IFERROR(
        SUMIFS('Upah Tenaga Ahli'!$E:$E,
               'Upah Tenaga Ahli'!$A:$A,"PER-M",
               'Upah Tenaga Ahli'!$B:$B,$G269
        ) * $J269 * $K269,
    0),
0)))</f>
        <v>1722000</v>
      </c>
      <c r="R269" t="s">
        <v>617</v>
      </c>
      <c r="S269" t="s">
        <v>24</v>
      </c>
      <c r="T269">
        <f>IF($M269="PER-M2",
   ($N269 * $J269 * $K269)
   + IFERROR(VLOOKUP($R269,Finishing!A:B,2,FALSE),0)
   + IFERROR(VLOOKUP($S269,Kerumitan!A:B,2,FALSE),0),
IF($M269="PER-LUBANG",
   ($P269 * $L269 * $K269)
   + IFERROR(VLOOKUP($R269,Finishing!A:B,2,FALSE),0)
   + IFERROR(VLOOKUP($S269,Kerumitan!A:B,2,FALSE),0),
IF($M269="PER-M",
   ($O269 * $J269 * $K269)
   + IFERROR(VLOOKUP($R269,Finishing!A:B,2,FALSE),0)
   + IFERROR(VLOOKUP($S269,Kerumitan!A:B,2,FALSE),0),
0)))</f>
        <v>8537800</v>
      </c>
    </row>
    <row r="270" spans="1:20" x14ac:dyDescent="0.45">
      <c r="A270" t="s">
        <v>367</v>
      </c>
      <c r="B270" s="5">
        <v>45334</v>
      </c>
      <c r="C270">
        <f t="shared" si="4"/>
        <v>2024</v>
      </c>
      <c r="D270" t="s">
        <v>163</v>
      </c>
      <c r="E270" t="s">
        <v>61</v>
      </c>
      <c r="F270" t="s">
        <v>7</v>
      </c>
      <c r="G270" t="s">
        <v>15</v>
      </c>
      <c r="H270" t="s">
        <v>33</v>
      </c>
      <c r="I270">
        <v>0.8</v>
      </c>
      <c r="J270">
        <v>11.99</v>
      </c>
      <c r="K270">
        <v>1</v>
      </c>
      <c r="L270">
        <v>0</v>
      </c>
      <c r="M270" t="str" cm="1">
        <f t="array" ref="M270">_xlfn.IFS(
   OR($F270="Pagar", $F270="Pintu Gerbang", $F270="Pintu Handerson", $F270="Kanopi"), "PER-M2",
   $F270="Teralis", "PER-LUBANG",
   OR($F270="Railing", $F270="Railing/Balkon"), "PER-M",
   TRUE, ""
)</f>
        <v>PER-M2</v>
      </c>
      <c r="N270" cm="1">
        <f t="array" ref="N270">IF($M270="PER-M2",
  IFERROR(
     _xlfn.IFS(
        $G270="Hollow",
            INDEX('Referensi Harga'!$C:$C,
                  MATCH($F270&amp;$C270,'Referensi Harga'!$A:$A&amp;'Referensi Harga'!$B:$B,0)),
        $G270="Hollow Stainless",
            INDEX('Referensi Harga'!$D:$D,
                  MATCH($F270&amp;$C270,'Referensi Harga'!$A:$A&amp;'Referensi Harga'!$B:$B,0)),
        $G270="Pipa Stainless",
            INDEX('Referensi Harga'!$E:$E,
                  MATCH($F270&amp;$C270,'Referensi Harga'!$A:$A&amp;'Referensi Harga'!$B:$B,0))
     ),0)
  + IFERROR(VLOOKUP($H270,'Profile Size'!$A:$B,2,FALSE),0)
  + IFERROR(VLOOKUP($I270,'Ketebalan Material'!$A:$B,2,FALSE),0),
0)</f>
        <v>1420000</v>
      </c>
      <c r="O270">
        <f>IF($M270="PER-M",
  IFERROR(
    IF($G270="Hollow",
       INDEX('Referensi Harga'!$C:$C, MATCH($F270 &amp; "|" &amp; $C270, 'Referensi Harga'!$F:$F, 0)),
    IF($G270="Hollow Stainless",
       INDEX('Referensi Harga'!$D:$D, MATCH($F270 &amp; "|" &amp; $C270, 'Referensi Harga'!$F:$F, 0)),
       INDEX('Referensi Harga'!$E:$E, MATCH($F270 &amp; "|" &amp; $C270, 'Referensi Harga'!$F:$F, 0))
    ))
    + IFERROR(VLOOKUP($H270, 'Profile Size'!$A:$B, 2, FALSE), 0)
    + IFERROR(VLOOKUP($I270, 'Ketebalan Material'!$A:$B, 2, FALSE), 0), 0),
0)</f>
        <v>0</v>
      </c>
      <c r="P270" cm="1">
        <f t="array" ref="P270">IF($M270="PER-LUBANG",
  IFERROR(
     _xlfn.IFS(
        $G270="Hollow",
            INDEX('Referensi Harga'!$C:$C,
                  MATCH($F270&amp;$C270,'Referensi Harga'!$A:$A&amp;'Referensi Harga'!$B:$B,0)),
        $G270="Hollow Stainless",
            INDEX('Referensi Harga'!$D:$D,
                  MATCH($F270&amp;$C270,'Referensi Harga'!$A:$A&amp;'Referensi Harga'!$B:$B,0)),
        $G270="Pipa Stainless",
            INDEX('Referensi Harga'!$E:$E,
                  MATCH($F270&amp;$C270,'Referensi Harga'!$A:$A&amp;'Referensi Harga'!$B:$B,0))
     ),0)
  + IFERROR(VLOOKUP($H270,'Profile Size'!$A:$B,2,FALSE),0)
  + IFERROR(VLOOKUP($I270,'Ketebalan Material'!$A:$B,2,FALSE),0),
0)</f>
        <v>0</v>
      </c>
      <c r="Q270">
        <f>IF($M270="PER-M2",
    IFERROR(
        SUMIFS('Upah Tenaga Ahli'!$C:$C,
               'Upah Tenaga Ahli'!$A:$A,"PER-M2",
               'Upah Tenaga Ahli'!$B:$B,$G270
        ) * $J270 * $K270,
    0),
IF($M270="PER-LUBANG",
    IFERROR(
        SUMIFS('Upah Tenaga Ahli'!$D:$D,
               'Upah Tenaga Ahli'!$A:$A,"PER-LUBANG",
               'Upah Tenaga Ahli'!$B:$B,$G270
        ) * $L270 * $K270,
    0),
IF($M270="PER-M",
    IFERROR(
        SUMIFS('Upah Tenaga Ahli'!$E:$E,
               'Upah Tenaga Ahli'!$A:$A,"PER-M",
               'Upah Tenaga Ahli'!$B:$B,$G270
        ) * $J270 * $K270,
    0),
0)))</f>
        <v>1798500</v>
      </c>
      <c r="R270" t="s">
        <v>617</v>
      </c>
      <c r="S270" t="s">
        <v>23</v>
      </c>
      <c r="T270">
        <f>IF($M270="PER-M2",
   ($N270 * $J270 * $K270)
   + IFERROR(VLOOKUP($R270,Finishing!A:B,2,FALSE),0)
   + IFERROR(VLOOKUP($S270,Kerumitan!A:B,2,FALSE),0),
IF($M270="PER-LUBANG",
   ($P270 * $L270 * $K270)
   + IFERROR(VLOOKUP($R270,Finishing!A:B,2,FALSE),0)
   + IFERROR(VLOOKUP($S270,Kerumitan!A:B,2,FALSE),0),
IF($M270="PER-M",
   ($O270 * $J270 * $K270)
   + IFERROR(VLOOKUP($R270,Finishing!A:B,2,FALSE),0)
   + IFERROR(VLOOKUP($S270,Kerumitan!A:B,2,FALSE),0),
0)))</f>
        <v>17025800</v>
      </c>
    </row>
    <row r="271" spans="1:20" x14ac:dyDescent="0.45">
      <c r="A271" t="s">
        <v>368</v>
      </c>
      <c r="B271" s="5">
        <v>44064</v>
      </c>
      <c r="C271">
        <f t="shared" si="4"/>
        <v>2020</v>
      </c>
      <c r="D271" t="s">
        <v>59</v>
      </c>
      <c r="E271" t="s">
        <v>75</v>
      </c>
      <c r="F271" t="s">
        <v>10</v>
      </c>
      <c r="G271" t="s">
        <v>15</v>
      </c>
      <c r="H271" t="s">
        <v>35</v>
      </c>
      <c r="I271">
        <v>1</v>
      </c>
      <c r="J271">
        <v>5.94</v>
      </c>
      <c r="K271">
        <v>2</v>
      </c>
      <c r="L271">
        <v>0</v>
      </c>
      <c r="M271" t="str" cm="1">
        <f t="array" ref="M271">_xlfn.IFS(
   OR($F271="Pagar", $F271="Pintu Gerbang", $F271="Pintu Handerson", $F271="Kanopi"), "PER-M2",
   $F271="Teralis", "PER-LUBANG",
   OR($F271="Railing", $F271="Railing/Balkon"), "PER-M",
   TRUE, ""
)</f>
        <v>PER-M2</v>
      </c>
      <c r="N271" cm="1">
        <f t="array" ref="N271">IF($M271="PER-M2",
  IFERROR(
     _xlfn.IFS(
        $G271="Hollow",
            INDEX('Referensi Harga'!$C:$C,
                  MATCH($F271&amp;$C271,'Referensi Harga'!$A:$A&amp;'Referensi Harga'!$B:$B,0)),
        $G271="Hollow Stainless",
            INDEX('Referensi Harga'!$D:$D,
                  MATCH($F271&amp;$C271,'Referensi Harga'!$A:$A&amp;'Referensi Harga'!$B:$B,0)),
        $G271="Pipa Stainless",
            INDEX('Referensi Harga'!$E:$E,
                  MATCH($F271&amp;$C271,'Referensi Harga'!$A:$A&amp;'Referensi Harga'!$B:$B,0))
     ),0)
  + IFERROR(VLOOKUP($H271,'Profile Size'!$A:$B,2,FALSE),0)
  + IFERROR(VLOOKUP($I271,'Ketebalan Material'!$A:$B,2,FALSE),0),
0)</f>
        <v>1500000</v>
      </c>
      <c r="O271">
        <f>IF($M271="PER-M",
  IFERROR(
    IF($G271="Hollow",
       INDEX('Referensi Harga'!$C:$C, MATCH($F271 &amp; "|" &amp; $C271, 'Referensi Harga'!$F:$F, 0)),
    IF($G271="Hollow Stainless",
       INDEX('Referensi Harga'!$D:$D, MATCH($F271 &amp; "|" &amp; $C271, 'Referensi Harga'!$F:$F, 0)),
       INDEX('Referensi Harga'!$E:$E, MATCH($F271 &amp; "|" &amp; $C271, 'Referensi Harga'!$F:$F, 0))
    ))
    + IFERROR(VLOOKUP($H271, 'Profile Size'!$A:$B, 2, FALSE), 0)
    + IFERROR(VLOOKUP($I271, 'Ketebalan Material'!$A:$B, 2, FALSE), 0), 0),
0)</f>
        <v>0</v>
      </c>
      <c r="P271" cm="1">
        <f t="array" ref="P271">IF($M271="PER-LUBANG",
  IFERROR(
     _xlfn.IFS(
        $G271="Hollow",
            INDEX('Referensi Harga'!$C:$C,
                  MATCH($F271&amp;$C271,'Referensi Harga'!$A:$A&amp;'Referensi Harga'!$B:$B,0)),
        $G271="Hollow Stainless",
            INDEX('Referensi Harga'!$D:$D,
                  MATCH($F271&amp;$C271,'Referensi Harga'!$A:$A&amp;'Referensi Harga'!$B:$B,0)),
        $G271="Pipa Stainless",
            INDEX('Referensi Harga'!$E:$E,
                  MATCH($F271&amp;$C271,'Referensi Harga'!$A:$A&amp;'Referensi Harga'!$B:$B,0))
     ),0)
  + IFERROR(VLOOKUP($H271,'Profile Size'!$A:$B,2,FALSE),0)
  + IFERROR(VLOOKUP($I271,'Ketebalan Material'!$A:$B,2,FALSE),0),
0)</f>
        <v>0</v>
      </c>
      <c r="Q271">
        <f>IF($M271="PER-M2",
    IFERROR(
        SUMIFS('Upah Tenaga Ahli'!$C:$C,
               'Upah Tenaga Ahli'!$A:$A,"PER-M2",
               'Upah Tenaga Ahli'!$B:$B,$G271
        ) * $J271 * $K271,
    0),
IF($M271="PER-LUBANG",
    IFERROR(
        SUMIFS('Upah Tenaga Ahli'!$D:$D,
               'Upah Tenaga Ahli'!$A:$A,"PER-LUBANG",
               'Upah Tenaga Ahli'!$B:$B,$G271
        ) * $L271 * $K271,
    0),
IF($M271="PER-M",
    IFERROR(
        SUMIFS('Upah Tenaga Ahli'!$E:$E,
               'Upah Tenaga Ahli'!$A:$A,"PER-M",
               'Upah Tenaga Ahli'!$B:$B,$G271
        ) * $J271 * $K271,
    0),
0)))</f>
        <v>1782000.0000000002</v>
      </c>
      <c r="R271" t="s">
        <v>617</v>
      </c>
      <c r="S271" t="s">
        <v>23</v>
      </c>
      <c r="T271">
        <f>IF($M271="PER-M2",
   ($N271 * $J271 * $K271)
   + IFERROR(VLOOKUP($R271,Finishing!A:B,2,FALSE),0)
   + IFERROR(VLOOKUP($S271,Kerumitan!A:B,2,FALSE),0),
IF($M271="PER-LUBANG",
   ($P271 * $L271 * $K271)
   + IFERROR(VLOOKUP($R271,Finishing!A:B,2,FALSE),0)
   + IFERROR(VLOOKUP($S271,Kerumitan!A:B,2,FALSE),0),
IF($M271="PER-M",
   ($O271 * $J271 * $K271)
   + IFERROR(VLOOKUP($R271,Finishing!A:B,2,FALSE),0)
   + IFERROR(VLOOKUP($S271,Kerumitan!A:B,2,FALSE),0),
0)))</f>
        <v>17820000</v>
      </c>
    </row>
    <row r="272" spans="1:20" x14ac:dyDescent="0.45">
      <c r="A272" t="s">
        <v>369</v>
      </c>
      <c r="B272" s="5">
        <v>45271</v>
      </c>
      <c r="C272">
        <f t="shared" si="4"/>
        <v>2023</v>
      </c>
      <c r="D272" t="s">
        <v>110</v>
      </c>
      <c r="E272" t="s">
        <v>121</v>
      </c>
      <c r="F272" t="s">
        <v>625</v>
      </c>
      <c r="G272" t="s">
        <v>13</v>
      </c>
      <c r="H272" t="s">
        <v>46</v>
      </c>
      <c r="I272">
        <v>0.8</v>
      </c>
      <c r="J272">
        <v>8.06</v>
      </c>
      <c r="K272">
        <v>3</v>
      </c>
      <c r="L272">
        <v>0</v>
      </c>
      <c r="M272" t="str" cm="1">
        <f t="array" ref="M272">_xlfn.IFS(
   OR($F272="Pagar", $F272="Pintu Gerbang", $F272="Pintu Handerson", $F272="Kanopi"), "PER-M2",
   $F272="Teralis", "PER-LUBANG",
   OR($F272="Railing", $F272="Railing/Balkon"), "PER-M",
   TRUE, ""
)</f>
        <v>PER-M</v>
      </c>
      <c r="N272" cm="1">
        <f t="array" ref="N272">IF($M272="PER-M2",
  IFERROR(
     _xlfn.IFS(
        $G272="Hollow",
            INDEX('Referensi Harga'!$C:$C,
                  MATCH($F272&amp;$C272,'Referensi Harga'!$A:$A&amp;'Referensi Harga'!$B:$B,0)),
        $G272="Hollow Stainless",
            INDEX('Referensi Harga'!$D:$D,
                  MATCH($F272&amp;$C272,'Referensi Harga'!$A:$A&amp;'Referensi Harga'!$B:$B,0)),
        $G272="Pipa Stainless",
            INDEX('Referensi Harga'!$E:$E,
                  MATCH($F272&amp;$C272,'Referensi Harga'!$A:$A&amp;'Referensi Harga'!$B:$B,0))
     ),0)
  + IFERROR(VLOOKUP($H272,'Profile Size'!$A:$B,2,FALSE),0)
  + IFERROR(VLOOKUP($I272,'Ketebalan Material'!$A:$B,2,FALSE),0),
0)</f>
        <v>0</v>
      </c>
      <c r="O272">
        <f>IF($M272="PER-M",
  IFERROR(
    IF($G272="Hollow",
       INDEX('Referensi Harga'!$C:$C, MATCH($F272 &amp; "|" &amp; $C272, 'Referensi Harga'!$F:$F, 0)),
    IF($G272="Hollow Stainless",
       INDEX('Referensi Harga'!$D:$D, MATCH($F272 &amp; "|" &amp; $C272, 'Referensi Harga'!$F:$F, 0)),
       INDEX('Referensi Harga'!$E:$E, MATCH($F272 &amp; "|" &amp; $C272, 'Referensi Harga'!$F:$F, 0))
    ))
    + IFERROR(VLOOKUP($H272, 'Profile Size'!$A:$B, 2, FALSE), 0)
    + IFERROR(VLOOKUP($I272, 'Ketebalan Material'!$A:$B, 2, FALSE), 0), 0),
0)</f>
        <v>550000</v>
      </c>
      <c r="P272" cm="1">
        <f t="array" ref="P272">IF($M272="PER-LUBANG",
  IFERROR(
     _xlfn.IFS(
        $G272="Hollow",
            INDEX('Referensi Harga'!$C:$C,
                  MATCH($F272&amp;$C272,'Referensi Harga'!$A:$A&amp;'Referensi Harga'!$B:$B,0)),
        $G272="Hollow Stainless",
            INDEX('Referensi Harga'!$D:$D,
                  MATCH($F272&amp;$C272,'Referensi Harga'!$A:$A&amp;'Referensi Harga'!$B:$B,0)),
        $G272="Pipa Stainless",
            INDEX('Referensi Harga'!$E:$E,
                  MATCH($F272&amp;$C272,'Referensi Harga'!$A:$A&amp;'Referensi Harga'!$B:$B,0))
     ),0)
  + IFERROR(VLOOKUP($H272,'Profile Size'!$A:$B,2,FALSE),0)
  + IFERROR(VLOOKUP($I272,'Ketebalan Material'!$A:$B,2,FALSE),0),
0)</f>
        <v>0</v>
      </c>
      <c r="Q272">
        <f>IF($M272="PER-M2",
    IFERROR(
        SUMIFS('Upah Tenaga Ahli'!$C:$C,
               'Upah Tenaga Ahli'!$A:$A,"PER-M2",
               'Upah Tenaga Ahli'!$B:$B,$G272
        ) * $J272 * $K272,
    0),
IF($M272="PER-LUBANG",
    IFERROR(
        SUMIFS('Upah Tenaga Ahli'!$D:$D,
               'Upah Tenaga Ahli'!$A:$A,"PER-LUBANG",
               'Upah Tenaga Ahli'!$B:$B,$G272
        ) * $L272 * $K272,
    0),
IF($M272="PER-M",
    IFERROR(
        SUMIFS('Upah Tenaga Ahli'!$E:$E,
               'Upah Tenaga Ahli'!$A:$A,"PER-M",
               'Upah Tenaga Ahli'!$B:$B,$G272
        ) * $J272 * $K272,
    0),
0)))</f>
        <v>2418000</v>
      </c>
      <c r="R272" t="s">
        <v>18</v>
      </c>
      <c r="S272" t="s">
        <v>24</v>
      </c>
      <c r="T272">
        <f>IF($M272="PER-M2",
   ($N272 * $J272 * $K272)
   + IFERROR(VLOOKUP($R272,Finishing!A:B,2,FALSE),0)
   + IFERROR(VLOOKUP($S272,Kerumitan!A:B,2,FALSE),0),
IF($M272="PER-LUBANG",
   ($P272 * $L272 * $K272)
   + IFERROR(VLOOKUP($R272,Finishing!A:B,2,FALSE),0)
   + IFERROR(VLOOKUP($S272,Kerumitan!A:B,2,FALSE),0),
IF($M272="PER-M",
   ($O272 * $J272 * $K272)
   + IFERROR(VLOOKUP($R272,Finishing!A:B,2,FALSE),0)
   + IFERROR(VLOOKUP($S272,Kerumitan!A:B,2,FALSE),0),
0)))</f>
        <v>13399000</v>
      </c>
    </row>
    <row r="273" spans="1:20" x14ac:dyDescent="0.45">
      <c r="A273" t="s">
        <v>370</v>
      </c>
      <c r="B273" s="5">
        <v>44111</v>
      </c>
      <c r="C273">
        <f t="shared" si="4"/>
        <v>2020</v>
      </c>
      <c r="D273" t="s">
        <v>126</v>
      </c>
      <c r="E273" t="s">
        <v>121</v>
      </c>
      <c r="F273" t="s">
        <v>625</v>
      </c>
      <c r="G273" t="s">
        <v>15</v>
      </c>
      <c r="H273" t="s">
        <v>46</v>
      </c>
      <c r="I273">
        <v>1.2</v>
      </c>
      <c r="J273">
        <v>14.38</v>
      </c>
      <c r="K273">
        <v>1</v>
      </c>
      <c r="L273">
        <v>0</v>
      </c>
      <c r="M273" t="str" cm="1">
        <f t="array" ref="M273">_xlfn.IFS(
   OR($F273="Pagar", $F273="Pintu Gerbang", $F273="Pintu Handerson", $F273="Kanopi"), "PER-M2",
   $F273="Teralis", "PER-LUBANG",
   OR($F273="Railing", $F273="Railing/Balkon"), "PER-M",
   TRUE, ""
)</f>
        <v>PER-M</v>
      </c>
      <c r="N273" cm="1">
        <f t="array" ref="N273">IF($M273="PER-M2",
  IFERROR(
     _xlfn.IFS(
        $G273="Hollow",
            INDEX('Referensi Harga'!$C:$C,
                  MATCH($F273&amp;$C273,'Referensi Harga'!$A:$A&amp;'Referensi Harga'!$B:$B,0)),
        $G273="Hollow Stainless",
            INDEX('Referensi Harga'!$D:$D,
                  MATCH($F273&amp;$C273,'Referensi Harga'!$A:$A&amp;'Referensi Harga'!$B:$B,0)),
        $G273="Pipa Stainless",
            INDEX('Referensi Harga'!$E:$E,
                  MATCH($F273&amp;$C273,'Referensi Harga'!$A:$A&amp;'Referensi Harga'!$B:$B,0))
     ),0)
  + IFERROR(VLOOKUP($H273,'Profile Size'!$A:$B,2,FALSE),0)
  + IFERROR(VLOOKUP($I273,'Ketebalan Material'!$A:$B,2,FALSE),0),
0)</f>
        <v>0</v>
      </c>
      <c r="O273">
        <f>IF($M273="PER-M",
  IFERROR(
    IF($G273="Hollow",
       INDEX('Referensi Harga'!$C:$C, MATCH($F273 &amp; "|" &amp; $C273, 'Referensi Harga'!$F:$F, 0)),
    IF($G273="Hollow Stainless",
       INDEX('Referensi Harga'!$D:$D, MATCH($F273 &amp; "|" &amp; $C273, 'Referensi Harga'!$F:$F, 0)),
       INDEX('Referensi Harga'!$E:$E, MATCH($F273 &amp; "|" &amp; $C273, 'Referensi Harga'!$F:$F, 0))
    ))
    + IFERROR(VLOOKUP($H273, 'Profile Size'!$A:$B, 2, FALSE), 0)
    + IFERROR(VLOOKUP($I273, 'Ketebalan Material'!$A:$B, 2, FALSE), 0), 0),
0)</f>
        <v>1200000</v>
      </c>
      <c r="P273" cm="1">
        <f t="array" ref="P273">IF($M273="PER-LUBANG",
  IFERROR(
     _xlfn.IFS(
        $G273="Hollow",
            INDEX('Referensi Harga'!$C:$C,
                  MATCH($F273&amp;$C273,'Referensi Harga'!$A:$A&amp;'Referensi Harga'!$B:$B,0)),
        $G273="Hollow Stainless",
            INDEX('Referensi Harga'!$D:$D,
                  MATCH($F273&amp;$C273,'Referensi Harga'!$A:$A&amp;'Referensi Harga'!$B:$B,0)),
        $G273="Pipa Stainless",
            INDEX('Referensi Harga'!$E:$E,
                  MATCH($F273&amp;$C273,'Referensi Harga'!$A:$A&amp;'Referensi Harga'!$B:$B,0))
     ),0)
  + IFERROR(VLOOKUP($H273,'Profile Size'!$A:$B,2,FALSE),0)
  + IFERROR(VLOOKUP($I273,'Ketebalan Material'!$A:$B,2,FALSE),0),
0)</f>
        <v>0</v>
      </c>
      <c r="Q273">
        <f>IF($M273="PER-M2",
    IFERROR(
        SUMIFS('Upah Tenaga Ahli'!$C:$C,
               'Upah Tenaga Ahli'!$A:$A,"PER-M2",
               'Upah Tenaga Ahli'!$B:$B,$G273
        ) * $J273 * $K273,
    0),
IF($M273="PER-LUBANG",
    IFERROR(
        SUMIFS('Upah Tenaga Ahli'!$D:$D,
               'Upah Tenaga Ahli'!$A:$A,"PER-LUBANG",
               'Upah Tenaga Ahli'!$B:$B,$G273
        ) * $L273 * $K273,
    0),
IF($M273="PER-M",
    IFERROR(
        SUMIFS('Upah Tenaga Ahli'!$E:$E,
               'Upah Tenaga Ahli'!$A:$A,"PER-M",
               'Upah Tenaga Ahli'!$B:$B,$G273
        ) * $J273 * $K273,
    0),
0)))</f>
        <v>2157000</v>
      </c>
      <c r="R273" t="s">
        <v>617</v>
      </c>
      <c r="S273" t="s">
        <v>23</v>
      </c>
      <c r="T273">
        <f>IF($M273="PER-M2",
   ($N273 * $J273 * $K273)
   + IFERROR(VLOOKUP($R273,Finishing!A:B,2,FALSE),0)
   + IFERROR(VLOOKUP($S273,Kerumitan!A:B,2,FALSE),0),
IF($M273="PER-LUBANG",
   ($P273 * $L273 * $K273)
   + IFERROR(VLOOKUP($R273,Finishing!A:B,2,FALSE),0)
   + IFERROR(VLOOKUP($S273,Kerumitan!A:B,2,FALSE),0),
IF($M273="PER-M",
   ($O273 * $J273 * $K273)
   + IFERROR(VLOOKUP($R273,Finishing!A:B,2,FALSE),0)
   + IFERROR(VLOOKUP($S273,Kerumitan!A:B,2,FALSE),0),
0)))</f>
        <v>17256000</v>
      </c>
    </row>
    <row r="274" spans="1:20" x14ac:dyDescent="0.45">
      <c r="A274" t="s">
        <v>371</v>
      </c>
      <c r="B274" s="5">
        <v>43823</v>
      </c>
      <c r="C274">
        <f t="shared" si="4"/>
        <v>2019</v>
      </c>
      <c r="D274" t="s">
        <v>90</v>
      </c>
      <c r="E274" t="s">
        <v>75</v>
      </c>
      <c r="F274" t="s">
        <v>6</v>
      </c>
      <c r="G274" t="s">
        <v>13</v>
      </c>
      <c r="H274" t="s">
        <v>35</v>
      </c>
      <c r="I274">
        <v>0.8</v>
      </c>
      <c r="J274">
        <v>9.09</v>
      </c>
      <c r="K274">
        <v>2</v>
      </c>
      <c r="L274">
        <v>0</v>
      </c>
      <c r="M274" t="str" cm="1">
        <f t="array" ref="M274">_xlfn.IFS(
   OR($F274="Pagar", $F274="Pintu Gerbang", $F274="Pintu Handerson", $F274="Kanopi"), "PER-M2",
   $F274="Teralis", "PER-LUBANG",
   OR($F274="Railing", $F274="Railing/Balkon"), "PER-M",
   TRUE, ""
)</f>
        <v>PER-M2</v>
      </c>
      <c r="N274" cm="1">
        <f t="array" ref="N274">IF($M274="PER-M2",
  IFERROR(
     _xlfn.IFS(
        $G274="Hollow",
            INDEX('Referensi Harga'!$C:$C,
                  MATCH($F274&amp;$C274,'Referensi Harga'!$A:$A&amp;'Referensi Harga'!$B:$B,0)),
        $G274="Hollow Stainless",
            INDEX('Referensi Harga'!$D:$D,
                  MATCH($F274&amp;$C274,'Referensi Harga'!$A:$A&amp;'Referensi Harga'!$B:$B,0)),
        $G274="Pipa Stainless",
            INDEX('Referensi Harga'!$E:$E,
                  MATCH($F274&amp;$C274,'Referensi Harga'!$A:$A&amp;'Referensi Harga'!$B:$B,0))
     ),0)
  + IFERROR(VLOOKUP($H274,'Profile Size'!$A:$B,2,FALSE),0)
  + IFERROR(VLOOKUP($I274,'Ketebalan Material'!$A:$B,2,FALSE),0),
0)</f>
        <v>450000</v>
      </c>
      <c r="O274">
        <f>IF($M274="PER-M",
  IFERROR(
    IF($G274="Hollow",
       INDEX('Referensi Harga'!$C:$C, MATCH($F274 &amp; "|" &amp; $C274, 'Referensi Harga'!$F:$F, 0)),
    IF($G274="Hollow Stainless",
       INDEX('Referensi Harga'!$D:$D, MATCH($F274 &amp; "|" &amp; $C274, 'Referensi Harga'!$F:$F, 0)),
       INDEX('Referensi Harga'!$E:$E, MATCH($F274 &amp; "|" &amp; $C274, 'Referensi Harga'!$F:$F, 0))
    ))
    + IFERROR(VLOOKUP($H274, 'Profile Size'!$A:$B, 2, FALSE), 0)
    + IFERROR(VLOOKUP($I274, 'Ketebalan Material'!$A:$B, 2, FALSE), 0), 0),
0)</f>
        <v>0</v>
      </c>
      <c r="P274" cm="1">
        <f t="array" ref="P274">IF($M274="PER-LUBANG",
  IFERROR(
     _xlfn.IFS(
        $G274="Hollow",
            INDEX('Referensi Harga'!$C:$C,
                  MATCH($F274&amp;$C274,'Referensi Harga'!$A:$A&amp;'Referensi Harga'!$B:$B,0)),
        $G274="Hollow Stainless",
            INDEX('Referensi Harga'!$D:$D,
                  MATCH($F274&amp;$C274,'Referensi Harga'!$A:$A&amp;'Referensi Harga'!$B:$B,0)),
        $G274="Pipa Stainless",
            INDEX('Referensi Harga'!$E:$E,
                  MATCH($F274&amp;$C274,'Referensi Harga'!$A:$A&amp;'Referensi Harga'!$B:$B,0))
     ),0)
  + IFERROR(VLOOKUP($H274,'Profile Size'!$A:$B,2,FALSE),0)
  + IFERROR(VLOOKUP($I274,'Ketebalan Material'!$A:$B,2,FALSE),0),
0)</f>
        <v>0</v>
      </c>
      <c r="Q274">
        <f>IF($M274="PER-M2",
    IFERROR(
        SUMIFS('Upah Tenaga Ahli'!$C:$C,
               'Upah Tenaga Ahli'!$A:$A,"PER-M2",
               'Upah Tenaga Ahli'!$B:$B,$G274
        ) * $J274 * $K274,
    0),
IF($M274="PER-LUBANG",
    IFERROR(
        SUMIFS('Upah Tenaga Ahli'!$D:$D,
               'Upah Tenaga Ahli'!$A:$A,"PER-LUBANG",
               'Upah Tenaga Ahli'!$B:$B,$G274
        ) * $L274 * $K274,
    0),
IF($M274="PER-M",
    IFERROR(
        SUMIFS('Upah Tenaga Ahli'!$E:$E,
               'Upah Tenaga Ahli'!$A:$A,"PER-M",
               'Upah Tenaga Ahli'!$B:$B,$G274
        ) * $J274 * $K274,
    0),
0)))</f>
        <v>1818000</v>
      </c>
      <c r="R274" t="s">
        <v>19</v>
      </c>
      <c r="S274" t="s">
        <v>23</v>
      </c>
      <c r="T274">
        <f>IF($M274="PER-M2",
   ($N274 * $J274 * $K274)
   + IFERROR(VLOOKUP($R274,Finishing!A:B,2,FALSE),0)
   + IFERROR(VLOOKUP($S274,Kerumitan!A:B,2,FALSE),0),
IF($M274="PER-LUBANG",
   ($P274 * $L274 * $K274)
   + IFERROR(VLOOKUP($R274,Finishing!A:B,2,FALSE),0)
   + IFERROR(VLOOKUP($S274,Kerumitan!A:B,2,FALSE),0),
IF($M274="PER-M",
   ($O274 * $J274 * $K274)
   + IFERROR(VLOOKUP($R274,Finishing!A:B,2,FALSE),0)
   + IFERROR(VLOOKUP($S274,Kerumitan!A:B,2,FALSE),0),
0)))</f>
        <v>8231000</v>
      </c>
    </row>
    <row r="275" spans="1:20" x14ac:dyDescent="0.45">
      <c r="A275" t="s">
        <v>372</v>
      </c>
      <c r="B275" s="5">
        <v>44284</v>
      </c>
      <c r="C275">
        <f t="shared" si="4"/>
        <v>2021</v>
      </c>
      <c r="D275" t="s">
        <v>81</v>
      </c>
      <c r="E275" t="s">
        <v>69</v>
      </c>
      <c r="F275" t="s">
        <v>6</v>
      </c>
      <c r="G275" t="s">
        <v>15</v>
      </c>
      <c r="H275" t="s">
        <v>35</v>
      </c>
      <c r="I275">
        <v>1</v>
      </c>
      <c r="J275">
        <v>10.039999999999999</v>
      </c>
      <c r="K275">
        <v>2</v>
      </c>
      <c r="L275">
        <v>0</v>
      </c>
      <c r="M275" t="str" cm="1">
        <f t="array" ref="M275">_xlfn.IFS(
   OR($F275="Pagar", $F275="Pintu Gerbang", $F275="Pintu Handerson", $F275="Kanopi"), "PER-M2",
   $F275="Teralis", "PER-LUBANG",
   OR($F275="Railing", $F275="Railing/Balkon"), "PER-M",
   TRUE, ""
)</f>
        <v>PER-M2</v>
      </c>
      <c r="N275" cm="1">
        <f t="array" ref="N275">IF($M275="PER-M2",
  IFERROR(
     _xlfn.IFS(
        $G275="Hollow",
            INDEX('Referensi Harga'!$C:$C,
                  MATCH($F275&amp;$C275,'Referensi Harga'!$A:$A&amp;'Referensi Harga'!$B:$B,0)),
        $G275="Hollow Stainless",
            INDEX('Referensi Harga'!$D:$D,
                  MATCH($F275&amp;$C275,'Referensi Harga'!$A:$A&amp;'Referensi Harga'!$B:$B,0)),
        $G275="Pipa Stainless",
            INDEX('Referensi Harga'!$E:$E,
                  MATCH($F275&amp;$C275,'Referensi Harga'!$A:$A&amp;'Referensi Harga'!$B:$B,0))
     ),0)
  + IFERROR(VLOOKUP($H275,'Profile Size'!$A:$B,2,FALSE),0)
  + IFERROR(VLOOKUP($I275,'Ketebalan Material'!$A:$B,2,FALSE),0),
0)</f>
        <v>900000</v>
      </c>
      <c r="O275">
        <f>IF($M275="PER-M",
  IFERROR(
    IF($G275="Hollow",
       INDEX('Referensi Harga'!$C:$C, MATCH($F275 &amp; "|" &amp; $C275, 'Referensi Harga'!$F:$F, 0)),
    IF($G275="Hollow Stainless",
       INDEX('Referensi Harga'!$D:$D, MATCH($F275 &amp; "|" &amp; $C275, 'Referensi Harga'!$F:$F, 0)),
       INDEX('Referensi Harga'!$E:$E, MATCH($F275 &amp; "|" &amp; $C275, 'Referensi Harga'!$F:$F, 0))
    ))
    + IFERROR(VLOOKUP($H275, 'Profile Size'!$A:$B, 2, FALSE), 0)
    + IFERROR(VLOOKUP($I275, 'Ketebalan Material'!$A:$B, 2, FALSE), 0), 0),
0)</f>
        <v>0</v>
      </c>
      <c r="P275" cm="1">
        <f t="array" ref="P275">IF($M275="PER-LUBANG",
  IFERROR(
     _xlfn.IFS(
        $G275="Hollow",
            INDEX('Referensi Harga'!$C:$C,
                  MATCH($F275&amp;$C275,'Referensi Harga'!$A:$A&amp;'Referensi Harga'!$B:$B,0)),
        $G275="Hollow Stainless",
            INDEX('Referensi Harga'!$D:$D,
                  MATCH($F275&amp;$C275,'Referensi Harga'!$A:$A&amp;'Referensi Harga'!$B:$B,0)),
        $G275="Pipa Stainless",
            INDEX('Referensi Harga'!$E:$E,
                  MATCH($F275&amp;$C275,'Referensi Harga'!$A:$A&amp;'Referensi Harga'!$B:$B,0))
     ),0)
  + IFERROR(VLOOKUP($H275,'Profile Size'!$A:$B,2,FALSE),0)
  + IFERROR(VLOOKUP($I275,'Ketebalan Material'!$A:$B,2,FALSE),0),
0)</f>
        <v>0</v>
      </c>
      <c r="Q275">
        <f>IF($M275="PER-M2",
    IFERROR(
        SUMIFS('Upah Tenaga Ahli'!$C:$C,
               'Upah Tenaga Ahli'!$A:$A,"PER-M2",
               'Upah Tenaga Ahli'!$B:$B,$G275
        ) * $J275 * $K275,
    0),
IF($M275="PER-LUBANG",
    IFERROR(
        SUMIFS('Upah Tenaga Ahli'!$D:$D,
               'Upah Tenaga Ahli'!$A:$A,"PER-LUBANG",
               'Upah Tenaga Ahli'!$B:$B,$G275
        ) * $L275 * $K275,
    0),
IF($M275="PER-M",
    IFERROR(
        SUMIFS('Upah Tenaga Ahli'!$E:$E,
               'Upah Tenaga Ahli'!$A:$A,"PER-M",
               'Upah Tenaga Ahli'!$B:$B,$G275
        ) * $J275 * $K275,
    0),
0)))</f>
        <v>3011999.9999999995</v>
      </c>
      <c r="R275" t="s">
        <v>617</v>
      </c>
      <c r="S275" t="s">
        <v>23</v>
      </c>
      <c r="T275">
        <f>IF($M275="PER-M2",
   ($N275 * $J275 * $K275)
   + IFERROR(VLOOKUP($R275,Finishing!A:B,2,FALSE),0)
   + IFERROR(VLOOKUP($S275,Kerumitan!A:B,2,FALSE),0),
IF($M275="PER-LUBANG",
   ($P275 * $L275 * $K275)
   + IFERROR(VLOOKUP($R275,Finishing!A:B,2,FALSE),0)
   + IFERROR(VLOOKUP($S275,Kerumitan!A:B,2,FALSE),0),
IF($M275="PER-M",
   ($O275 * $J275 * $K275)
   + IFERROR(VLOOKUP($R275,Finishing!A:B,2,FALSE),0)
   + IFERROR(VLOOKUP($S275,Kerumitan!A:B,2,FALSE),0),
0)))</f>
        <v>18072000</v>
      </c>
    </row>
    <row r="276" spans="1:20" x14ac:dyDescent="0.45">
      <c r="A276" t="s">
        <v>373</v>
      </c>
      <c r="B276" s="5">
        <v>43525</v>
      </c>
      <c r="C276">
        <f t="shared" si="4"/>
        <v>2019</v>
      </c>
      <c r="D276" t="s">
        <v>126</v>
      </c>
      <c r="E276" t="s">
        <v>44</v>
      </c>
      <c r="F276" t="s">
        <v>625</v>
      </c>
      <c r="G276" t="s">
        <v>14</v>
      </c>
      <c r="H276" t="s">
        <v>615</v>
      </c>
      <c r="I276">
        <v>1</v>
      </c>
      <c r="J276">
        <v>6.44</v>
      </c>
      <c r="K276">
        <v>1</v>
      </c>
      <c r="L276">
        <v>0</v>
      </c>
      <c r="M276" t="str" cm="1">
        <f t="array" ref="M276">_xlfn.IFS(
   OR($F276="Pagar", $F276="Pintu Gerbang", $F276="Pintu Handerson", $F276="Kanopi"), "PER-M2",
   $F276="Teralis", "PER-LUBANG",
   OR($F276="Railing", $F276="Railing/Balkon"), "PER-M",
   TRUE, ""
)</f>
        <v>PER-M</v>
      </c>
      <c r="N276" cm="1">
        <f t="array" ref="N276">IF($M276="PER-M2",
  IFERROR(
     _xlfn.IFS(
        $G276="Hollow",
            INDEX('Referensi Harga'!$C:$C,
                  MATCH($F276&amp;$C276,'Referensi Harga'!$A:$A&amp;'Referensi Harga'!$B:$B,0)),
        $G276="Hollow Stainless",
            INDEX('Referensi Harga'!$D:$D,
                  MATCH($F276&amp;$C276,'Referensi Harga'!$A:$A&amp;'Referensi Harga'!$B:$B,0)),
        $G276="Pipa Stainless",
            INDEX('Referensi Harga'!$E:$E,
                  MATCH($F276&amp;$C276,'Referensi Harga'!$A:$A&amp;'Referensi Harga'!$B:$B,0))
     ),0)
  + IFERROR(VLOOKUP($H276,'Profile Size'!$A:$B,2,FALSE),0)
  + IFERROR(VLOOKUP($I276,'Ketebalan Material'!$A:$B,2,FALSE),0),
0)</f>
        <v>0</v>
      </c>
      <c r="O276">
        <f>IF($M276="PER-M",
  IFERROR(
    IF($G276="Hollow",
       INDEX('Referensi Harga'!$C:$C, MATCH($F276 &amp; "|" &amp; $C276, 'Referensi Harga'!$F:$F, 0)),
    IF($G276="Hollow Stainless",
       INDEX('Referensi Harga'!$D:$D, MATCH($F276 &amp; "|" &amp; $C276, 'Referensi Harga'!$F:$F, 0)),
       INDEX('Referensi Harga'!$E:$E, MATCH($F276 &amp; "|" &amp; $C276, 'Referensi Harga'!$F:$F, 0))
    ))
    + IFERROR(VLOOKUP($H276, 'Profile Size'!$A:$B, 2, FALSE), 0)
    + IFERROR(VLOOKUP($I276, 'Ketebalan Material'!$A:$B, 2, FALSE), 0), 0),
0)</f>
        <v>1000000</v>
      </c>
      <c r="P276" cm="1">
        <f t="array" ref="P276">IF($M276="PER-LUBANG",
  IFERROR(
     _xlfn.IFS(
        $G276="Hollow",
            INDEX('Referensi Harga'!$C:$C,
                  MATCH($F276&amp;$C276,'Referensi Harga'!$A:$A&amp;'Referensi Harga'!$B:$B,0)),
        $G276="Hollow Stainless",
            INDEX('Referensi Harga'!$D:$D,
                  MATCH($F276&amp;$C276,'Referensi Harga'!$A:$A&amp;'Referensi Harga'!$B:$B,0)),
        $G276="Pipa Stainless",
            INDEX('Referensi Harga'!$E:$E,
                  MATCH($F276&amp;$C276,'Referensi Harga'!$A:$A&amp;'Referensi Harga'!$B:$B,0))
     ),0)
  + IFERROR(VLOOKUP($H276,'Profile Size'!$A:$B,2,FALSE),0)
  + IFERROR(VLOOKUP($I276,'Ketebalan Material'!$A:$B,2,FALSE),0),
0)</f>
        <v>0</v>
      </c>
      <c r="Q276">
        <f>IF($M276="PER-M2",
    IFERROR(
        SUMIFS('Upah Tenaga Ahli'!$C:$C,
               'Upah Tenaga Ahli'!$A:$A,"PER-M2",
               'Upah Tenaga Ahli'!$B:$B,$G276
        ) * $J276 * $K276,
    0),
IF($M276="PER-LUBANG",
    IFERROR(
        SUMIFS('Upah Tenaga Ahli'!$D:$D,
               'Upah Tenaga Ahli'!$A:$A,"PER-LUBANG",
               'Upah Tenaga Ahli'!$B:$B,$G276
        ) * $L276 * $K276,
    0),
IF($M276="PER-M",
    IFERROR(
        SUMIFS('Upah Tenaga Ahli'!$E:$E,
               'Upah Tenaga Ahli'!$A:$A,"PER-M",
               'Upah Tenaga Ahli'!$B:$B,$G276
        ) * $J276 * $K276,
    0),
0)))</f>
        <v>1288000</v>
      </c>
      <c r="R276" t="s">
        <v>617</v>
      </c>
      <c r="S276" t="s">
        <v>23</v>
      </c>
      <c r="T276">
        <f>IF($M276="PER-M2",
   ($N276 * $J276 * $K276)
   + IFERROR(VLOOKUP($R276,Finishing!A:B,2,FALSE),0)
   + IFERROR(VLOOKUP($S276,Kerumitan!A:B,2,FALSE),0),
IF($M276="PER-LUBANG",
   ($P276 * $L276 * $K276)
   + IFERROR(VLOOKUP($R276,Finishing!A:B,2,FALSE),0)
   + IFERROR(VLOOKUP($S276,Kerumitan!A:B,2,FALSE),0),
IF($M276="PER-M",
   ($O276 * $J276 * $K276)
   + IFERROR(VLOOKUP($R276,Finishing!A:B,2,FALSE),0)
   + IFERROR(VLOOKUP($S276,Kerumitan!A:B,2,FALSE),0),
0)))</f>
        <v>6440000</v>
      </c>
    </row>
    <row r="277" spans="1:20" x14ac:dyDescent="0.45">
      <c r="A277" t="s">
        <v>374</v>
      </c>
      <c r="B277" s="5">
        <v>45012</v>
      </c>
      <c r="C277">
        <f t="shared" si="4"/>
        <v>2023</v>
      </c>
      <c r="D277" t="s">
        <v>103</v>
      </c>
      <c r="E277" t="s">
        <v>91</v>
      </c>
      <c r="F277" t="s">
        <v>8</v>
      </c>
      <c r="G277" t="s">
        <v>13</v>
      </c>
      <c r="H277" t="s">
        <v>612</v>
      </c>
      <c r="I277">
        <v>0.8</v>
      </c>
      <c r="J277">
        <v>0</v>
      </c>
      <c r="K277">
        <v>1</v>
      </c>
      <c r="L277">
        <v>22</v>
      </c>
      <c r="M277" t="str" cm="1">
        <f t="array" ref="M277">_xlfn.IFS(
   OR($F277="Pagar", $F277="Pintu Gerbang", $F277="Pintu Handerson", $F277="Kanopi"), "PER-M2",
   $F277="Teralis", "PER-LUBANG",
   OR($F277="Railing", $F277="Railing/Balkon"), "PER-M",
   TRUE, ""
)</f>
        <v>PER-LUBANG</v>
      </c>
      <c r="N277" cm="1">
        <f t="array" ref="N277">IF($M277="PER-M2",
  IFERROR(
     _xlfn.IFS(
        $G277="Hollow",
            INDEX('Referensi Harga'!$C:$C,
                  MATCH($F277&amp;$C277,'Referensi Harga'!$A:$A&amp;'Referensi Harga'!$B:$B,0)),
        $G277="Hollow Stainless",
            INDEX('Referensi Harga'!$D:$D,
                  MATCH($F277&amp;$C277,'Referensi Harga'!$A:$A&amp;'Referensi Harga'!$B:$B,0)),
        $G277="Pipa Stainless",
            INDEX('Referensi Harga'!$E:$E,
                  MATCH($F277&amp;$C277,'Referensi Harga'!$A:$A&amp;'Referensi Harga'!$B:$B,0))
     ),0)
  + IFERROR(VLOOKUP($H277,'Profile Size'!$A:$B,2,FALSE),0)
  + IFERROR(VLOOKUP($I277,'Ketebalan Material'!$A:$B,2,FALSE),0),
0)</f>
        <v>0</v>
      </c>
      <c r="O277">
        <f>IF($M277="PER-M",
  IFERROR(
    IF($G277="Hollow",
       INDEX('Referensi Harga'!$C:$C, MATCH($F277 &amp; "|" &amp; $C277, 'Referensi Harga'!$F:$F, 0)),
    IF($G277="Hollow Stainless",
       INDEX('Referensi Harga'!$D:$D, MATCH($F277 &amp; "|" &amp; $C277, 'Referensi Harga'!$F:$F, 0)),
       INDEX('Referensi Harga'!$E:$E, MATCH($F277 &amp; "|" &amp; $C277, 'Referensi Harga'!$F:$F, 0))
    ))
    + IFERROR(VLOOKUP($H277, 'Profile Size'!$A:$B, 2, FALSE), 0)
    + IFERROR(VLOOKUP($I277, 'Ketebalan Material'!$A:$B, 2, FALSE), 0), 0),
0)</f>
        <v>0</v>
      </c>
      <c r="P277" cm="1">
        <f t="array" ref="P277">IF($M277="PER-LUBANG",
  IFERROR(
     _xlfn.IFS(
        $G277="Hollow",
            INDEX('Referensi Harga'!$C:$C,
                  MATCH($F277&amp;$C277,'Referensi Harga'!$A:$A&amp;'Referensi Harga'!$B:$B,0)),
        $G277="Hollow Stainless",
            INDEX('Referensi Harga'!$D:$D,
                  MATCH($F277&amp;$C277,'Referensi Harga'!$A:$A&amp;'Referensi Harga'!$B:$B,0)),
        $G277="Pipa Stainless",
            INDEX('Referensi Harga'!$E:$E,
                  MATCH($F277&amp;$C277,'Referensi Harga'!$A:$A&amp;'Referensi Harga'!$B:$B,0))
     ),0)
  + IFERROR(VLOOKUP($H277,'Profile Size'!$A:$B,2,FALSE),0)
  + IFERROR(VLOOKUP($I277,'Ketebalan Material'!$A:$B,2,FALSE),0),
0)</f>
        <v>350000</v>
      </c>
      <c r="Q277">
        <f>IF($M277="PER-M2",
    IFERROR(
        SUMIFS('Upah Tenaga Ahli'!$C:$C,
               'Upah Tenaga Ahli'!$A:$A,"PER-M2",
               'Upah Tenaga Ahli'!$B:$B,$G277
        ) * $J277 * $K277,
    0),
IF($M277="PER-LUBANG",
    IFERROR(
        SUMIFS('Upah Tenaga Ahli'!$D:$D,
               'Upah Tenaga Ahli'!$A:$A,"PER-LUBANG",
               'Upah Tenaga Ahli'!$B:$B,$G277
        ) * $L277 * $K277,
    0),
IF($M277="PER-M",
    IFERROR(
        SUMIFS('Upah Tenaga Ahli'!$E:$E,
               'Upah Tenaga Ahli'!$A:$A,"PER-M",
               'Upah Tenaga Ahli'!$B:$B,$G277
        ) * $J277 * $K277,
    0),
0)))</f>
        <v>1650000</v>
      </c>
      <c r="R277" t="s">
        <v>20</v>
      </c>
      <c r="S277" t="s">
        <v>25</v>
      </c>
      <c r="T277">
        <f>IF($M277="PER-M2",
   ($N277 * $J277 * $K277)
   + IFERROR(VLOOKUP($R277,Finishing!A:B,2,FALSE),0)
   + IFERROR(VLOOKUP($S277,Kerumitan!A:B,2,FALSE),0),
IF($M277="PER-LUBANG",
   ($P277 * $L277 * $K277)
   + IFERROR(VLOOKUP($R277,Finishing!A:B,2,FALSE),0)
   + IFERROR(VLOOKUP($S277,Kerumitan!A:B,2,FALSE),0),
IF($M277="PER-M",
   ($O277 * $J277 * $K277)
   + IFERROR(VLOOKUP($R277,Finishing!A:B,2,FALSE),0)
   + IFERROR(VLOOKUP($S277,Kerumitan!A:B,2,FALSE),0),
0)))</f>
        <v>8000000</v>
      </c>
    </row>
    <row r="278" spans="1:20" x14ac:dyDescent="0.45">
      <c r="A278" t="s">
        <v>375</v>
      </c>
      <c r="B278" s="5">
        <v>44760</v>
      </c>
      <c r="C278">
        <f t="shared" si="4"/>
        <v>2022</v>
      </c>
      <c r="D278" t="s">
        <v>156</v>
      </c>
      <c r="E278" t="s">
        <v>121</v>
      </c>
      <c r="F278" t="s">
        <v>10</v>
      </c>
      <c r="G278" t="s">
        <v>15</v>
      </c>
      <c r="H278" t="s">
        <v>46</v>
      </c>
      <c r="I278">
        <v>1</v>
      </c>
      <c r="J278">
        <v>3.62</v>
      </c>
      <c r="K278">
        <v>2</v>
      </c>
      <c r="L278">
        <v>0</v>
      </c>
      <c r="M278" t="str" cm="1">
        <f t="array" ref="M278">_xlfn.IFS(
   OR($F278="Pagar", $F278="Pintu Gerbang", $F278="Pintu Handerson", $F278="Kanopi"), "PER-M2",
   $F278="Teralis", "PER-LUBANG",
   OR($F278="Railing", $F278="Railing/Balkon"), "PER-M",
   TRUE, ""
)</f>
        <v>PER-M2</v>
      </c>
      <c r="N278" cm="1">
        <f t="array" ref="N278">IF($M278="PER-M2",
  IFERROR(
     _xlfn.IFS(
        $G278="Hollow",
            INDEX('Referensi Harga'!$C:$C,
                  MATCH($F278&amp;$C278,'Referensi Harga'!$A:$A&amp;'Referensi Harga'!$B:$B,0)),
        $G278="Hollow Stainless",
            INDEX('Referensi Harga'!$D:$D,
                  MATCH($F278&amp;$C278,'Referensi Harga'!$A:$A&amp;'Referensi Harga'!$B:$B,0)),
        $G278="Pipa Stainless",
            INDEX('Referensi Harga'!$E:$E,
                  MATCH($F278&amp;$C278,'Referensi Harga'!$A:$A&amp;'Referensi Harga'!$B:$B,0))
     ),0)
  + IFERROR(VLOOKUP($H278,'Profile Size'!$A:$B,2,FALSE),0)
  + IFERROR(VLOOKUP($I278,'Ketebalan Material'!$A:$B,2,FALSE),0),
0)</f>
        <v>1560000</v>
      </c>
      <c r="O278">
        <f>IF($M278="PER-M",
  IFERROR(
    IF($G278="Hollow",
       INDEX('Referensi Harga'!$C:$C, MATCH($F278 &amp; "|" &amp; $C278, 'Referensi Harga'!$F:$F, 0)),
    IF($G278="Hollow Stainless",
       INDEX('Referensi Harga'!$D:$D, MATCH($F278 &amp; "|" &amp; $C278, 'Referensi Harga'!$F:$F, 0)),
       INDEX('Referensi Harga'!$E:$E, MATCH($F278 &amp; "|" &amp; $C278, 'Referensi Harga'!$F:$F, 0))
    ))
    + IFERROR(VLOOKUP($H278, 'Profile Size'!$A:$B, 2, FALSE), 0)
    + IFERROR(VLOOKUP($I278, 'Ketebalan Material'!$A:$B, 2, FALSE), 0), 0),
0)</f>
        <v>0</v>
      </c>
      <c r="P278" cm="1">
        <f t="array" ref="P278">IF($M278="PER-LUBANG",
  IFERROR(
     _xlfn.IFS(
        $G278="Hollow",
            INDEX('Referensi Harga'!$C:$C,
                  MATCH($F278&amp;$C278,'Referensi Harga'!$A:$A&amp;'Referensi Harga'!$B:$B,0)),
        $G278="Hollow Stainless",
            INDEX('Referensi Harga'!$D:$D,
                  MATCH($F278&amp;$C278,'Referensi Harga'!$A:$A&amp;'Referensi Harga'!$B:$B,0)),
        $G278="Pipa Stainless",
            INDEX('Referensi Harga'!$E:$E,
                  MATCH($F278&amp;$C278,'Referensi Harga'!$A:$A&amp;'Referensi Harga'!$B:$B,0))
     ),0)
  + IFERROR(VLOOKUP($H278,'Profile Size'!$A:$B,2,FALSE),0)
  + IFERROR(VLOOKUP($I278,'Ketebalan Material'!$A:$B,2,FALSE),0),
0)</f>
        <v>0</v>
      </c>
      <c r="Q278">
        <f>IF($M278="PER-M2",
    IFERROR(
        SUMIFS('Upah Tenaga Ahli'!$C:$C,
               'Upah Tenaga Ahli'!$A:$A,"PER-M2",
               'Upah Tenaga Ahli'!$B:$B,$G278
        ) * $J278 * $K278,
    0),
IF($M278="PER-LUBANG",
    IFERROR(
        SUMIFS('Upah Tenaga Ahli'!$D:$D,
               'Upah Tenaga Ahli'!$A:$A,"PER-LUBANG",
               'Upah Tenaga Ahli'!$B:$B,$G278
        ) * $L278 * $K278,
    0),
IF($M278="PER-M",
    IFERROR(
        SUMIFS('Upah Tenaga Ahli'!$E:$E,
               'Upah Tenaga Ahli'!$A:$A,"PER-M",
               'Upah Tenaga Ahli'!$B:$B,$G278
        ) * $J278 * $K278,
    0),
0)))</f>
        <v>1086000</v>
      </c>
      <c r="R278" t="s">
        <v>617</v>
      </c>
      <c r="S278" t="s">
        <v>23</v>
      </c>
      <c r="T278">
        <f>IF($M278="PER-M2",
   ($N278 * $J278 * $K278)
   + IFERROR(VLOOKUP($R278,Finishing!A:B,2,FALSE),0)
   + IFERROR(VLOOKUP($S278,Kerumitan!A:B,2,FALSE),0),
IF($M278="PER-LUBANG",
   ($P278 * $L278 * $K278)
   + IFERROR(VLOOKUP($R278,Finishing!A:B,2,FALSE),0)
   + IFERROR(VLOOKUP($S278,Kerumitan!A:B,2,FALSE),0),
IF($M278="PER-M",
   ($O278 * $J278 * $K278)
   + IFERROR(VLOOKUP($R278,Finishing!A:B,2,FALSE),0)
   + IFERROR(VLOOKUP($S278,Kerumitan!A:B,2,FALSE),0),
0)))</f>
        <v>11294400</v>
      </c>
    </row>
    <row r="279" spans="1:20" x14ac:dyDescent="0.45">
      <c r="A279" t="s">
        <v>376</v>
      </c>
      <c r="B279" s="5">
        <v>44823</v>
      </c>
      <c r="C279">
        <f t="shared" si="4"/>
        <v>2022</v>
      </c>
      <c r="D279" t="s">
        <v>199</v>
      </c>
      <c r="E279" t="s">
        <v>105</v>
      </c>
      <c r="F279" t="s">
        <v>10</v>
      </c>
      <c r="G279" t="s">
        <v>14</v>
      </c>
      <c r="H279" t="s">
        <v>615</v>
      </c>
      <c r="I279">
        <v>1.2</v>
      </c>
      <c r="J279">
        <v>5.6</v>
      </c>
      <c r="K279">
        <v>1</v>
      </c>
      <c r="L279">
        <v>0</v>
      </c>
      <c r="M279" t="str" cm="1">
        <f t="array" ref="M279">_xlfn.IFS(
   OR($F279="Pagar", $F279="Pintu Gerbang", $F279="Pintu Handerson", $F279="Kanopi"), "PER-M2",
   $F279="Teralis", "PER-LUBANG",
   OR($F279="Railing", $F279="Railing/Balkon"), "PER-M",
   TRUE, ""
)</f>
        <v>PER-M2</v>
      </c>
      <c r="N279" cm="1">
        <f t="array" ref="N279">IF($M279="PER-M2",
  IFERROR(
     _xlfn.IFS(
        $G279="Hollow",
            INDEX('Referensi Harga'!$C:$C,
                  MATCH($F279&amp;$C279,'Referensi Harga'!$A:$A&amp;'Referensi Harga'!$B:$B,0)),
        $G279="Hollow Stainless",
            INDEX('Referensi Harga'!$D:$D,
                  MATCH($F279&amp;$C279,'Referensi Harga'!$A:$A&amp;'Referensi Harga'!$B:$B,0)),
        $G279="Pipa Stainless",
            INDEX('Referensi Harga'!$E:$E,
                  MATCH($F279&amp;$C279,'Referensi Harga'!$A:$A&amp;'Referensi Harga'!$B:$B,0))
     ),0)
  + IFERROR(VLOOKUP($H279,'Profile Size'!$A:$B,2,FALSE),0)
  + IFERROR(VLOOKUP($I279,'Ketebalan Material'!$A:$B,2,FALSE),0),
0)</f>
        <v>1550000</v>
      </c>
      <c r="O279">
        <f>IF($M279="PER-M",
  IFERROR(
    IF($G279="Hollow",
       INDEX('Referensi Harga'!$C:$C, MATCH($F279 &amp; "|" &amp; $C279, 'Referensi Harga'!$F:$F, 0)),
    IF($G279="Hollow Stainless",
       INDEX('Referensi Harga'!$D:$D, MATCH($F279 &amp; "|" &amp; $C279, 'Referensi Harga'!$F:$F, 0)),
       INDEX('Referensi Harga'!$E:$E, MATCH($F279 &amp; "|" &amp; $C279, 'Referensi Harga'!$F:$F, 0))
    ))
    + IFERROR(VLOOKUP($H279, 'Profile Size'!$A:$B, 2, FALSE), 0)
    + IFERROR(VLOOKUP($I279, 'Ketebalan Material'!$A:$B, 2, FALSE), 0), 0),
0)</f>
        <v>0</v>
      </c>
      <c r="P279" cm="1">
        <f t="array" ref="P279">IF($M279="PER-LUBANG",
  IFERROR(
     _xlfn.IFS(
        $G279="Hollow",
            INDEX('Referensi Harga'!$C:$C,
                  MATCH($F279&amp;$C279,'Referensi Harga'!$A:$A&amp;'Referensi Harga'!$B:$B,0)),
        $G279="Hollow Stainless",
            INDEX('Referensi Harga'!$D:$D,
                  MATCH($F279&amp;$C279,'Referensi Harga'!$A:$A&amp;'Referensi Harga'!$B:$B,0)),
        $G279="Pipa Stainless",
            INDEX('Referensi Harga'!$E:$E,
                  MATCH($F279&amp;$C279,'Referensi Harga'!$A:$A&amp;'Referensi Harga'!$B:$B,0))
     ),0)
  + IFERROR(VLOOKUP($H279,'Profile Size'!$A:$B,2,FALSE),0)
  + IFERROR(VLOOKUP($I279,'Ketebalan Material'!$A:$B,2,FALSE),0),
0)</f>
        <v>0</v>
      </c>
      <c r="Q279">
        <f>IF($M279="PER-M2",
    IFERROR(
        SUMIFS('Upah Tenaga Ahli'!$C:$C,
               'Upah Tenaga Ahli'!$A:$A,"PER-M2",
               'Upah Tenaga Ahli'!$B:$B,$G279
        ) * $J279 * $K279,
    0),
IF($M279="PER-LUBANG",
    IFERROR(
        SUMIFS('Upah Tenaga Ahli'!$D:$D,
               'Upah Tenaga Ahli'!$A:$A,"PER-LUBANG",
               'Upah Tenaga Ahli'!$B:$B,$G279
        ) * $L279 * $K279,
    0),
IF($M279="PER-M",
    IFERROR(
        SUMIFS('Upah Tenaga Ahli'!$E:$E,
               'Upah Tenaga Ahli'!$A:$A,"PER-M",
               'Upah Tenaga Ahli'!$B:$B,$G279
        ) * $J279 * $K279,
    0),
0)))</f>
        <v>1120000</v>
      </c>
      <c r="R279" t="s">
        <v>617</v>
      </c>
      <c r="S279" t="s">
        <v>23</v>
      </c>
      <c r="T279">
        <f>IF($M279="PER-M2",
   ($N279 * $J279 * $K279)
   + IFERROR(VLOOKUP($R279,Finishing!A:B,2,FALSE),0)
   + IFERROR(VLOOKUP($S279,Kerumitan!A:B,2,FALSE),0),
IF($M279="PER-LUBANG",
   ($P279 * $L279 * $K279)
   + IFERROR(VLOOKUP($R279,Finishing!A:B,2,FALSE),0)
   + IFERROR(VLOOKUP($S279,Kerumitan!A:B,2,FALSE),0),
IF($M279="PER-M",
   ($O279 * $J279 * $K279)
   + IFERROR(VLOOKUP($R279,Finishing!A:B,2,FALSE),0)
   + IFERROR(VLOOKUP($S279,Kerumitan!A:B,2,FALSE),0),
0)))</f>
        <v>8680000</v>
      </c>
    </row>
    <row r="280" spans="1:20" x14ac:dyDescent="0.45">
      <c r="A280" t="s">
        <v>377</v>
      </c>
      <c r="B280" s="5">
        <v>45150</v>
      </c>
      <c r="C280">
        <f t="shared" si="4"/>
        <v>2023</v>
      </c>
      <c r="D280" t="s">
        <v>133</v>
      </c>
      <c r="E280" t="s">
        <v>44</v>
      </c>
      <c r="F280" t="s">
        <v>10</v>
      </c>
      <c r="G280" t="s">
        <v>13</v>
      </c>
      <c r="H280" t="s">
        <v>35</v>
      </c>
      <c r="I280">
        <v>0.8</v>
      </c>
      <c r="J280">
        <v>5.89</v>
      </c>
      <c r="K280">
        <v>2</v>
      </c>
      <c r="L280">
        <v>0</v>
      </c>
      <c r="M280" t="str" cm="1">
        <f t="array" ref="M280">_xlfn.IFS(
   OR($F280="Pagar", $F280="Pintu Gerbang", $F280="Pintu Handerson", $F280="Kanopi"), "PER-M2",
   $F280="Teralis", "PER-LUBANG",
   OR($F280="Railing", $F280="Railing/Balkon"), "PER-M",
   TRUE, ""
)</f>
        <v>PER-M2</v>
      </c>
      <c r="N280" cm="1">
        <f t="array" ref="N280">IF($M280="PER-M2",
  IFERROR(
     _xlfn.IFS(
        $G280="Hollow",
            INDEX('Referensi Harga'!$C:$C,
                  MATCH($F280&amp;$C280,'Referensi Harga'!$A:$A&amp;'Referensi Harga'!$B:$B,0)),
        $G280="Hollow Stainless",
            INDEX('Referensi Harga'!$D:$D,
                  MATCH($F280&amp;$C280,'Referensi Harga'!$A:$A&amp;'Referensi Harga'!$B:$B,0)),
        $G280="Pipa Stainless",
            INDEX('Referensi Harga'!$E:$E,
                  MATCH($F280&amp;$C280,'Referensi Harga'!$A:$A&amp;'Referensi Harga'!$B:$B,0))
     ),0)
  + IFERROR(VLOOKUP($H280,'Profile Size'!$A:$B,2,FALSE),0)
  + IFERROR(VLOOKUP($I280,'Ketebalan Material'!$A:$B,2,FALSE),0),
0)</f>
        <v>950000</v>
      </c>
      <c r="O280">
        <f>IF($M280="PER-M",
  IFERROR(
    IF($G280="Hollow",
       INDEX('Referensi Harga'!$C:$C, MATCH($F280 &amp; "|" &amp; $C280, 'Referensi Harga'!$F:$F, 0)),
    IF($G280="Hollow Stainless",
       INDEX('Referensi Harga'!$D:$D, MATCH($F280 &amp; "|" &amp; $C280, 'Referensi Harga'!$F:$F, 0)),
       INDEX('Referensi Harga'!$E:$E, MATCH($F280 &amp; "|" &amp; $C280, 'Referensi Harga'!$F:$F, 0))
    ))
    + IFERROR(VLOOKUP($H280, 'Profile Size'!$A:$B, 2, FALSE), 0)
    + IFERROR(VLOOKUP($I280, 'Ketebalan Material'!$A:$B, 2, FALSE), 0), 0),
0)</f>
        <v>0</v>
      </c>
      <c r="P280" cm="1">
        <f t="array" ref="P280">IF($M280="PER-LUBANG",
  IFERROR(
     _xlfn.IFS(
        $G280="Hollow",
            INDEX('Referensi Harga'!$C:$C,
                  MATCH($F280&amp;$C280,'Referensi Harga'!$A:$A&amp;'Referensi Harga'!$B:$B,0)),
        $G280="Hollow Stainless",
            INDEX('Referensi Harga'!$D:$D,
                  MATCH($F280&amp;$C280,'Referensi Harga'!$A:$A&amp;'Referensi Harga'!$B:$B,0)),
        $G280="Pipa Stainless",
            INDEX('Referensi Harga'!$E:$E,
                  MATCH($F280&amp;$C280,'Referensi Harga'!$A:$A&amp;'Referensi Harga'!$B:$B,0))
     ),0)
  + IFERROR(VLOOKUP($H280,'Profile Size'!$A:$B,2,FALSE),0)
  + IFERROR(VLOOKUP($I280,'Ketebalan Material'!$A:$B,2,FALSE),0),
0)</f>
        <v>0</v>
      </c>
      <c r="Q280">
        <f>IF($M280="PER-M2",
    IFERROR(
        SUMIFS('Upah Tenaga Ahli'!$C:$C,
               'Upah Tenaga Ahli'!$A:$A,"PER-M2",
               'Upah Tenaga Ahli'!$B:$B,$G280
        ) * $J280 * $K280,
    0),
IF($M280="PER-LUBANG",
    IFERROR(
        SUMIFS('Upah Tenaga Ahli'!$D:$D,
               'Upah Tenaga Ahli'!$A:$A,"PER-LUBANG",
               'Upah Tenaga Ahli'!$B:$B,$G280
        ) * $L280 * $K280,
    0),
IF($M280="PER-M",
    IFERROR(
        SUMIFS('Upah Tenaga Ahli'!$E:$E,
               'Upah Tenaga Ahli'!$A:$A,"PER-M",
               'Upah Tenaga Ahli'!$B:$B,$G280
        ) * $J280 * $K280,
    0),
0)))</f>
        <v>1178000</v>
      </c>
      <c r="R280" t="s">
        <v>20</v>
      </c>
      <c r="S280" t="s">
        <v>23</v>
      </c>
      <c r="T280">
        <f>IF($M280="PER-M2",
   ($N280 * $J280 * $K280)
   + IFERROR(VLOOKUP($R280,Finishing!A:B,2,FALSE),0)
   + IFERROR(VLOOKUP($S280,Kerumitan!A:B,2,FALSE),0),
IF($M280="PER-LUBANG",
   ($P280 * $L280 * $K280)
   + IFERROR(VLOOKUP($R280,Finishing!A:B,2,FALSE),0)
   + IFERROR(VLOOKUP($S280,Kerumitan!A:B,2,FALSE),0),
IF($M280="PER-M",
   ($O280 * $J280 * $K280)
   + IFERROR(VLOOKUP($R280,Finishing!A:B,2,FALSE),0)
   + IFERROR(VLOOKUP($S280,Kerumitan!A:B,2,FALSE),0),
0)))</f>
        <v>11341000</v>
      </c>
    </row>
    <row r="281" spans="1:20" x14ac:dyDescent="0.45">
      <c r="A281" t="s">
        <v>378</v>
      </c>
      <c r="B281" s="5">
        <v>43917</v>
      </c>
      <c r="C281">
        <f t="shared" si="4"/>
        <v>2020</v>
      </c>
      <c r="D281" t="s">
        <v>156</v>
      </c>
      <c r="E281" t="s">
        <v>41</v>
      </c>
      <c r="F281" t="s">
        <v>4</v>
      </c>
      <c r="G281" t="s">
        <v>13</v>
      </c>
      <c r="H281" t="s">
        <v>35</v>
      </c>
      <c r="I281">
        <v>0.8</v>
      </c>
      <c r="J281">
        <v>19.22</v>
      </c>
      <c r="K281">
        <v>1</v>
      </c>
      <c r="L281">
        <v>0</v>
      </c>
      <c r="M281" t="str" cm="1">
        <f t="array" ref="M281">_xlfn.IFS(
   OR($F281="Pagar", $F281="Pintu Gerbang", $F281="Pintu Handerson", $F281="Kanopi"), "PER-M2",
   $F281="Teralis", "PER-LUBANG",
   OR($F281="Railing", $F281="Railing/Balkon"), "PER-M",
   TRUE, ""
)</f>
        <v>PER-M2</v>
      </c>
      <c r="N281" cm="1">
        <f t="array" ref="N281">IF($M281="PER-M2",
  IFERROR(
     _xlfn.IFS(
        $G281="Hollow",
            INDEX('Referensi Harga'!$C:$C,
                  MATCH($F281&amp;$C281,'Referensi Harga'!$A:$A&amp;'Referensi Harga'!$B:$B,0)),
        $G281="Hollow Stainless",
            INDEX('Referensi Harga'!$D:$D,
                  MATCH($F281&amp;$C281,'Referensi Harga'!$A:$A&amp;'Referensi Harga'!$B:$B,0)),
        $G281="Pipa Stainless",
            INDEX('Referensi Harga'!$E:$E,
                  MATCH($F281&amp;$C281,'Referensi Harga'!$A:$A&amp;'Referensi Harga'!$B:$B,0))
     ),0)
  + IFERROR(VLOOKUP($H281,'Profile Size'!$A:$B,2,FALSE),0)
  + IFERROR(VLOOKUP($I281,'Ketebalan Material'!$A:$B,2,FALSE),0),
0)</f>
        <v>600000</v>
      </c>
      <c r="O281">
        <f>IF($M281="PER-M",
  IFERROR(
    IF($G281="Hollow",
       INDEX('Referensi Harga'!$C:$C, MATCH($F281 &amp; "|" &amp; $C281, 'Referensi Harga'!$F:$F, 0)),
    IF($G281="Hollow Stainless",
       INDEX('Referensi Harga'!$D:$D, MATCH($F281 &amp; "|" &amp; $C281, 'Referensi Harga'!$F:$F, 0)),
       INDEX('Referensi Harga'!$E:$E, MATCH($F281 &amp; "|" &amp; $C281, 'Referensi Harga'!$F:$F, 0))
    ))
    + IFERROR(VLOOKUP($H281, 'Profile Size'!$A:$B, 2, FALSE), 0)
    + IFERROR(VLOOKUP($I281, 'Ketebalan Material'!$A:$B, 2, FALSE), 0), 0),
0)</f>
        <v>0</v>
      </c>
      <c r="P281" cm="1">
        <f t="array" ref="P281">IF($M281="PER-LUBANG",
  IFERROR(
     _xlfn.IFS(
        $G281="Hollow",
            INDEX('Referensi Harga'!$C:$C,
                  MATCH($F281&amp;$C281,'Referensi Harga'!$A:$A&amp;'Referensi Harga'!$B:$B,0)),
        $G281="Hollow Stainless",
            INDEX('Referensi Harga'!$D:$D,
                  MATCH($F281&amp;$C281,'Referensi Harga'!$A:$A&amp;'Referensi Harga'!$B:$B,0)),
        $G281="Pipa Stainless",
            INDEX('Referensi Harga'!$E:$E,
                  MATCH($F281&amp;$C281,'Referensi Harga'!$A:$A&amp;'Referensi Harga'!$B:$B,0))
     ),0)
  + IFERROR(VLOOKUP($H281,'Profile Size'!$A:$B,2,FALSE),0)
  + IFERROR(VLOOKUP($I281,'Ketebalan Material'!$A:$B,2,FALSE),0),
0)</f>
        <v>0</v>
      </c>
      <c r="Q281">
        <f>IF($M281="PER-M2",
    IFERROR(
        SUMIFS('Upah Tenaga Ahli'!$C:$C,
               'Upah Tenaga Ahli'!$A:$A,"PER-M2",
               'Upah Tenaga Ahli'!$B:$B,$G281
        ) * $J281 * $K281,
    0),
IF($M281="PER-LUBANG",
    IFERROR(
        SUMIFS('Upah Tenaga Ahli'!$D:$D,
               'Upah Tenaga Ahli'!$A:$A,"PER-LUBANG",
               'Upah Tenaga Ahli'!$B:$B,$G281
        ) * $L281 * $K281,
    0),
IF($M281="PER-M",
    IFERROR(
        SUMIFS('Upah Tenaga Ahli'!$E:$E,
               'Upah Tenaga Ahli'!$A:$A,"PER-M",
               'Upah Tenaga Ahli'!$B:$B,$G281
        ) * $J281 * $K281,
    0),
0)))</f>
        <v>1922000</v>
      </c>
      <c r="R281" t="s">
        <v>19</v>
      </c>
      <c r="S281" t="s">
        <v>24</v>
      </c>
      <c r="T281">
        <f>IF($M281="PER-M2",
   ($N281 * $J281 * $K281)
   + IFERROR(VLOOKUP($R281,Finishing!A:B,2,FALSE),0)
   + IFERROR(VLOOKUP($S281,Kerumitan!A:B,2,FALSE),0),
IF($M281="PER-LUBANG",
   ($P281 * $L281 * $K281)
   + IFERROR(VLOOKUP($R281,Finishing!A:B,2,FALSE),0)
   + IFERROR(VLOOKUP($S281,Kerumitan!A:B,2,FALSE),0),
IF($M281="PER-M",
   ($O281 * $J281 * $K281)
   + IFERROR(VLOOKUP($R281,Finishing!A:B,2,FALSE),0)
   + IFERROR(VLOOKUP($S281,Kerumitan!A:B,2,FALSE),0),
0)))</f>
        <v>11682000</v>
      </c>
    </row>
    <row r="282" spans="1:20" x14ac:dyDescent="0.45">
      <c r="A282" t="s">
        <v>379</v>
      </c>
      <c r="B282" s="5">
        <v>45004</v>
      </c>
      <c r="C282">
        <f t="shared" si="4"/>
        <v>2023</v>
      </c>
      <c r="D282" t="s">
        <v>103</v>
      </c>
      <c r="E282" t="s">
        <v>41</v>
      </c>
      <c r="F282" t="s">
        <v>10</v>
      </c>
      <c r="G282" t="s">
        <v>13</v>
      </c>
      <c r="H282" t="s">
        <v>35</v>
      </c>
      <c r="I282">
        <v>0.8</v>
      </c>
      <c r="J282">
        <v>4.79</v>
      </c>
      <c r="K282">
        <v>2</v>
      </c>
      <c r="L282">
        <v>0</v>
      </c>
      <c r="M282" t="str" cm="1">
        <f t="array" ref="M282">_xlfn.IFS(
   OR($F282="Pagar", $F282="Pintu Gerbang", $F282="Pintu Handerson", $F282="Kanopi"), "PER-M2",
   $F282="Teralis", "PER-LUBANG",
   OR($F282="Railing", $F282="Railing/Balkon"), "PER-M",
   TRUE, ""
)</f>
        <v>PER-M2</v>
      </c>
      <c r="N282" cm="1">
        <f t="array" ref="N282">IF($M282="PER-M2",
  IFERROR(
     _xlfn.IFS(
        $G282="Hollow",
            INDEX('Referensi Harga'!$C:$C,
                  MATCH($F282&amp;$C282,'Referensi Harga'!$A:$A&amp;'Referensi Harga'!$B:$B,0)),
        $G282="Hollow Stainless",
            INDEX('Referensi Harga'!$D:$D,
                  MATCH($F282&amp;$C282,'Referensi Harga'!$A:$A&amp;'Referensi Harga'!$B:$B,0)),
        $G282="Pipa Stainless",
            INDEX('Referensi Harga'!$E:$E,
                  MATCH($F282&amp;$C282,'Referensi Harga'!$A:$A&amp;'Referensi Harga'!$B:$B,0))
     ),0)
  + IFERROR(VLOOKUP($H282,'Profile Size'!$A:$B,2,FALSE),0)
  + IFERROR(VLOOKUP($I282,'Ketebalan Material'!$A:$B,2,FALSE),0),
0)</f>
        <v>950000</v>
      </c>
      <c r="O282">
        <f>IF($M282="PER-M",
  IFERROR(
    IF($G282="Hollow",
       INDEX('Referensi Harga'!$C:$C, MATCH($F282 &amp; "|" &amp; $C282, 'Referensi Harga'!$F:$F, 0)),
    IF($G282="Hollow Stainless",
       INDEX('Referensi Harga'!$D:$D, MATCH($F282 &amp; "|" &amp; $C282, 'Referensi Harga'!$F:$F, 0)),
       INDEX('Referensi Harga'!$E:$E, MATCH($F282 &amp; "|" &amp; $C282, 'Referensi Harga'!$F:$F, 0))
    ))
    + IFERROR(VLOOKUP($H282, 'Profile Size'!$A:$B, 2, FALSE), 0)
    + IFERROR(VLOOKUP($I282, 'Ketebalan Material'!$A:$B, 2, FALSE), 0), 0),
0)</f>
        <v>0</v>
      </c>
      <c r="P282" cm="1">
        <f t="array" ref="P282">IF($M282="PER-LUBANG",
  IFERROR(
     _xlfn.IFS(
        $G282="Hollow",
            INDEX('Referensi Harga'!$C:$C,
                  MATCH($F282&amp;$C282,'Referensi Harga'!$A:$A&amp;'Referensi Harga'!$B:$B,0)),
        $G282="Hollow Stainless",
            INDEX('Referensi Harga'!$D:$D,
                  MATCH($F282&amp;$C282,'Referensi Harga'!$A:$A&amp;'Referensi Harga'!$B:$B,0)),
        $G282="Pipa Stainless",
            INDEX('Referensi Harga'!$E:$E,
                  MATCH($F282&amp;$C282,'Referensi Harga'!$A:$A&amp;'Referensi Harga'!$B:$B,0))
     ),0)
  + IFERROR(VLOOKUP($H282,'Profile Size'!$A:$B,2,FALSE),0)
  + IFERROR(VLOOKUP($I282,'Ketebalan Material'!$A:$B,2,FALSE),0),
0)</f>
        <v>0</v>
      </c>
      <c r="Q282">
        <f>IF($M282="PER-M2",
    IFERROR(
        SUMIFS('Upah Tenaga Ahli'!$C:$C,
               'Upah Tenaga Ahli'!$A:$A,"PER-M2",
               'Upah Tenaga Ahli'!$B:$B,$G282
        ) * $J282 * $K282,
    0),
IF($M282="PER-LUBANG",
    IFERROR(
        SUMIFS('Upah Tenaga Ahli'!$D:$D,
               'Upah Tenaga Ahli'!$A:$A,"PER-LUBANG",
               'Upah Tenaga Ahli'!$B:$B,$G282
        ) * $L282 * $K282,
    0),
IF($M282="PER-M",
    IFERROR(
        SUMIFS('Upah Tenaga Ahli'!$E:$E,
               'Upah Tenaga Ahli'!$A:$A,"PER-M",
               'Upah Tenaga Ahli'!$B:$B,$G282
        ) * $J282 * $K282,
    0),
0)))</f>
        <v>958000</v>
      </c>
      <c r="R282" t="s">
        <v>19</v>
      </c>
      <c r="S282" t="s">
        <v>25</v>
      </c>
      <c r="T282">
        <f>IF($M282="PER-M2",
   ($N282 * $J282 * $K282)
   + IFERROR(VLOOKUP($R282,Finishing!A:B,2,FALSE),0)
   + IFERROR(VLOOKUP($S282,Kerumitan!A:B,2,FALSE),0),
IF($M282="PER-LUBANG",
   ($P282 * $L282 * $K282)
   + IFERROR(VLOOKUP($R282,Finishing!A:B,2,FALSE),0)
   + IFERROR(VLOOKUP($S282,Kerumitan!A:B,2,FALSE),0),
IF($M282="PER-M",
   ($O282 * $J282 * $K282)
   + IFERROR(VLOOKUP($R282,Finishing!A:B,2,FALSE),0)
   + IFERROR(VLOOKUP($S282,Kerumitan!A:B,2,FALSE),0),
0)))</f>
        <v>9301000</v>
      </c>
    </row>
    <row r="283" spans="1:20" x14ac:dyDescent="0.45">
      <c r="A283" t="s">
        <v>380</v>
      </c>
      <c r="B283" s="5">
        <v>45665</v>
      </c>
      <c r="C283">
        <f t="shared" si="4"/>
        <v>2025</v>
      </c>
      <c r="D283" t="s">
        <v>156</v>
      </c>
      <c r="E283" t="s">
        <v>41</v>
      </c>
      <c r="F283" t="s">
        <v>10</v>
      </c>
      <c r="G283" t="s">
        <v>15</v>
      </c>
      <c r="H283" t="s">
        <v>35</v>
      </c>
      <c r="I283">
        <v>1</v>
      </c>
      <c r="J283">
        <v>4.51</v>
      </c>
      <c r="K283">
        <v>1</v>
      </c>
      <c r="L283">
        <v>0</v>
      </c>
      <c r="M283" t="str" cm="1">
        <f t="array" ref="M283">_xlfn.IFS(
   OR($F283="Pagar", $F283="Pintu Gerbang", $F283="Pintu Handerson", $F283="Kanopi"), "PER-M2",
   $F283="Teralis", "PER-LUBANG",
   OR($F283="Railing", $F283="Railing/Balkon"), "PER-M",
   TRUE, ""
)</f>
        <v>PER-M2</v>
      </c>
      <c r="N283" cm="1">
        <f t="array" ref="N283">IF($M283="PER-M2",
  IFERROR(
     _xlfn.IFS(
        $G283="Hollow",
            INDEX('Referensi Harga'!$C:$C,
                  MATCH($F283&amp;$C283,'Referensi Harga'!$A:$A&amp;'Referensi Harga'!$B:$B,0)),
        $G283="Hollow Stainless",
            INDEX('Referensi Harga'!$D:$D,
                  MATCH($F283&amp;$C283,'Referensi Harga'!$A:$A&amp;'Referensi Harga'!$B:$B,0)),
        $G283="Pipa Stainless",
            INDEX('Referensi Harga'!$E:$E,
                  MATCH($F283&amp;$C283,'Referensi Harga'!$A:$A&amp;'Referensi Harga'!$B:$B,0))
     ),0)
  + IFERROR(VLOOKUP($H283,'Profile Size'!$A:$B,2,FALSE),0)
  + IFERROR(VLOOKUP($I283,'Ketebalan Material'!$A:$B,2,FALSE),0),
0)</f>
        <v>1850000</v>
      </c>
      <c r="O283">
        <f>IF($M283="PER-M",
  IFERROR(
    IF($G283="Hollow",
       INDEX('Referensi Harga'!$C:$C, MATCH($F283 &amp; "|" &amp; $C283, 'Referensi Harga'!$F:$F, 0)),
    IF($G283="Hollow Stainless",
       INDEX('Referensi Harga'!$D:$D, MATCH($F283 &amp; "|" &amp; $C283, 'Referensi Harga'!$F:$F, 0)),
       INDEX('Referensi Harga'!$E:$E, MATCH($F283 &amp; "|" &amp; $C283, 'Referensi Harga'!$F:$F, 0))
    ))
    + IFERROR(VLOOKUP($H283, 'Profile Size'!$A:$B, 2, FALSE), 0)
    + IFERROR(VLOOKUP($I283, 'Ketebalan Material'!$A:$B, 2, FALSE), 0), 0),
0)</f>
        <v>0</v>
      </c>
      <c r="P283" cm="1">
        <f t="array" ref="P283">IF($M283="PER-LUBANG",
  IFERROR(
     _xlfn.IFS(
        $G283="Hollow",
            INDEX('Referensi Harga'!$C:$C,
                  MATCH($F283&amp;$C283,'Referensi Harga'!$A:$A&amp;'Referensi Harga'!$B:$B,0)),
        $G283="Hollow Stainless",
            INDEX('Referensi Harga'!$D:$D,
                  MATCH($F283&amp;$C283,'Referensi Harga'!$A:$A&amp;'Referensi Harga'!$B:$B,0)),
        $G283="Pipa Stainless",
            INDEX('Referensi Harga'!$E:$E,
                  MATCH($F283&amp;$C283,'Referensi Harga'!$A:$A&amp;'Referensi Harga'!$B:$B,0))
     ),0)
  + IFERROR(VLOOKUP($H283,'Profile Size'!$A:$B,2,FALSE),0)
  + IFERROR(VLOOKUP($I283,'Ketebalan Material'!$A:$B,2,FALSE),0),
0)</f>
        <v>0</v>
      </c>
      <c r="Q283">
        <f>IF($M283="PER-M2",
    IFERROR(
        SUMIFS('Upah Tenaga Ahli'!$C:$C,
               'Upah Tenaga Ahli'!$A:$A,"PER-M2",
               'Upah Tenaga Ahli'!$B:$B,$G283
        ) * $J283 * $K283,
    0),
IF($M283="PER-LUBANG",
    IFERROR(
        SUMIFS('Upah Tenaga Ahli'!$D:$D,
               'Upah Tenaga Ahli'!$A:$A,"PER-LUBANG",
               'Upah Tenaga Ahli'!$B:$B,$G283
        ) * $L283 * $K283,
    0),
IF($M283="PER-M",
    IFERROR(
        SUMIFS('Upah Tenaga Ahli'!$E:$E,
               'Upah Tenaga Ahli'!$A:$A,"PER-M",
               'Upah Tenaga Ahli'!$B:$B,$G283
        ) * $J283 * $K283,
    0),
0)))</f>
        <v>676500</v>
      </c>
      <c r="R283" t="s">
        <v>617</v>
      </c>
      <c r="S283" t="s">
        <v>23</v>
      </c>
      <c r="T283">
        <f>IF($M283="PER-M2",
   ($N283 * $J283 * $K283)
   + IFERROR(VLOOKUP($R283,Finishing!A:B,2,FALSE),0)
   + IFERROR(VLOOKUP($S283,Kerumitan!A:B,2,FALSE),0),
IF($M283="PER-LUBANG",
   ($P283 * $L283 * $K283)
   + IFERROR(VLOOKUP($R283,Finishing!A:B,2,FALSE),0)
   + IFERROR(VLOOKUP($S283,Kerumitan!A:B,2,FALSE),0),
IF($M283="PER-M",
   ($O283 * $J283 * $K283)
   + IFERROR(VLOOKUP($R283,Finishing!A:B,2,FALSE),0)
   + IFERROR(VLOOKUP($S283,Kerumitan!A:B,2,FALSE),0),
0)))</f>
        <v>8343500</v>
      </c>
    </row>
    <row r="284" spans="1:20" x14ac:dyDescent="0.45">
      <c r="A284" t="s">
        <v>381</v>
      </c>
      <c r="B284" s="5">
        <v>44670</v>
      </c>
      <c r="C284">
        <f t="shared" si="4"/>
        <v>2022</v>
      </c>
      <c r="D284" t="s">
        <v>65</v>
      </c>
      <c r="E284" t="s">
        <v>121</v>
      </c>
      <c r="F284" t="s">
        <v>10</v>
      </c>
      <c r="G284" t="s">
        <v>14</v>
      </c>
      <c r="H284" t="s">
        <v>615</v>
      </c>
      <c r="I284">
        <v>1</v>
      </c>
      <c r="J284">
        <v>5.44</v>
      </c>
      <c r="K284">
        <v>1</v>
      </c>
      <c r="L284">
        <v>0</v>
      </c>
      <c r="M284" t="str" cm="1">
        <f t="array" ref="M284">_xlfn.IFS(
   OR($F284="Pagar", $F284="Pintu Gerbang", $F284="Pintu Handerson", $F284="Kanopi"), "PER-M2",
   $F284="Teralis", "PER-LUBANG",
   OR($F284="Railing", $F284="Railing/Balkon"), "PER-M",
   TRUE, ""
)</f>
        <v>PER-M2</v>
      </c>
      <c r="N284" cm="1">
        <f t="array" ref="N284">IF($M284="PER-M2",
  IFERROR(
     _xlfn.IFS(
        $G284="Hollow",
            INDEX('Referensi Harga'!$C:$C,
                  MATCH($F284&amp;$C284,'Referensi Harga'!$A:$A&amp;'Referensi Harga'!$B:$B,0)),
        $G284="Hollow Stainless",
            INDEX('Referensi Harga'!$D:$D,
                  MATCH($F284&amp;$C284,'Referensi Harga'!$A:$A&amp;'Referensi Harga'!$B:$B,0)),
        $G284="Pipa Stainless",
            INDEX('Referensi Harga'!$E:$E,
                  MATCH($F284&amp;$C284,'Referensi Harga'!$A:$A&amp;'Referensi Harga'!$B:$B,0))
     ),0)
  + IFERROR(VLOOKUP($H284,'Profile Size'!$A:$B,2,FALSE),0)
  + IFERROR(VLOOKUP($I284,'Ketebalan Material'!$A:$B,2,FALSE),0),
0)</f>
        <v>1500000</v>
      </c>
      <c r="O284">
        <f>IF($M284="PER-M",
  IFERROR(
    IF($G284="Hollow",
       INDEX('Referensi Harga'!$C:$C, MATCH($F284 &amp; "|" &amp; $C284, 'Referensi Harga'!$F:$F, 0)),
    IF($G284="Hollow Stainless",
       INDEX('Referensi Harga'!$D:$D, MATCH($F284 &amp; "|" &amp; $C284, 'Referensi Harga'!$F:$F, 0)),
       INDEX('Referensi Harga'!$E:$E, MATCH($F284 &amp; "|" &amp; $C284, 'Referensi Harga'!$F:$F, 0))
    ))
    + IFERROR(VLOOKUP($H284, 'Profile Size'!$A:$B, 2, FALSE), 0)
    + IFERROR(VLOOKUP($I284, 'Ketebalan Material'!$A:$B, 2, FALSE), 0), 0),
0)</f>
        <v>0</v>
      </c>
      <c r="P284" cm="1">
        <f t="array" ref="P284">IF($M284="PER-LUBANG",
  IFERROR(
     _xlfn.IFS(
        $G284="Hollow",
            INDEX('Referensi Harga'!$C:$C,
                  MATCH($F284&amp;$C284,'Referensi Harga'!$A:$A&amp;'Referensi Harga'!$B:$B,0)),
        $G284="Hollow Stainless",
            INDEX('Referensi Harga'!$D:$D,
                  MATCH($F284&amp;$C284,'Referensi Harga'!$A:$A&amp;'Referensi Harga'!$B:$B,0)),
        $G284="Pipa Stainless",
            INDEX('Referensi Harga'!$E:$E,
                  MATCH($F284&amp;$C284,'Referensi Harga'!$A:$A&amp;'Referensi Harga'!$B:$B,0))
     ),0)
  + IFERROR(VLOOKUP($H284,'Profile Size'!$A:$B,2,FALSE),0)
  + IFERROR(VLOOKUP($I284,'Ketebalan Material'!$A:$B,2,FALSE),0),
0)</f>
        <v>0</v>
      </c>
      <c r="Q284">
        <f>IF($M284="PER-M2",
    IFERROR(
        SUMIFS('Upah Tenaga Ahli'!$C:$C,
               'Upah Tenaga Ahli'!$A:$A,"PER-M2",
               'Upah Tenaga Ahli'!$B:$B,$G284
        ) * $J284 * $K284,
    0),
IF($M284="PER-LUBANG",
    IFERROR(
        SUMIFS('Upah Tenaga Ahli'!$D:$D,
               'Upah Tenaga Ahli'!$A:$A,"PER-LUBANG",
               'Upah Tenaga Ahli'!$B:$B,$G284
        ) * $L284 * $K284,
    0),
IF($M284="PER-M",
    IFERROR(
        SUMIFS('Upah Tenaga Ahli'!$E:$E,
               'Upah Tenaga Ahli'!$A:$A,"PER-M",
               'Upah Tenaga Ahli'!$B:$B,$G284
        ) * $J284 * $K284,
    0),
0)))</f>
        <v>1088000</v>
      </c>
      <c r="R284" t="s">
        <v>617</v>
      </c>
      <c r="S284" t="s">
        <v>23</v>
      </c>
      <c r="T284">
        <f>IF($M284="PER-M2",
   ($N284 * $J284 * $K284)
   + IFERROR(VLOOKUP($R284,Finishing!A:B,2,FALSE),0)
   + IFERROR(VLOOKUP($S284,Kerumitan!A:B,2,FALSE),0),
IF($M284="PER-LUBANG",
   ($P284 * $L284 * $K284)
   + IFERROR(VLOOKUP($R284,Finishing!A:B,2,FALSE),0)
   + IFERROR(VLOOKUP($S284,Kerumitan!A:B,2,FALSE),0),
IF($M284="PER-M",
   ($O284 * $J284 * $K284)
   + IFERROR(VLOOKUP($R284,Finishing!A:B,2,FALSE),0)
   + IFERROR(VLOOKUP($S284,Kerumitan!A:B,2,FALSE),0),
0)))</f>
        <v>8160000.0000000009</v>
      </c>
    </row>
    <row r="285" spans="1:20" x14ac:dyDescent="0.45">
      <c r="A285" t="s">
        <v>382</v>
      </c>
      <c r="B285" s="5">
        <v>43493</v>
      </c>
      <c r="C285">
        <f t="shared" si="4"/>
        <v>2019</v>
      </c>
      <c r="D285" t="s">
        <v>126</v>
      </c>
      <c r="E285" t="s">
        <v>105</v>
      </c>
      <c r="F285" t="s">
        <v>10</v>
      </c>
      <c r="G285" t="s">
        <v>15</v>
      </c>
      <c r="H285" t="s">
        <v>35</v>
      </c>
      <c r="I285">
        <v>0.8</v>
      </c>
      <c r="J285">
        <v>2.4300000000000002</v>
      </c>
      <c r="K285">
        <v>1</v>
      </c>
      <c r="L285">
        <v>0</v>
      </c>
      <c r="M285" t="str" cm="1">
        <f t="array" ref="M285">_xlfn.IFS(
   OR($F285="Pagar", $F285="Pintu Gerbang", $F285="Pintu Handerson", $F285="Kanopi"), "PER-M2",
   $F285="Teralis", "PER-LUBANG",
   OR($F285="Railing", $F285="Railing/Balkon"), "PER-M",
   TRUE, ""
)</f>
        <v>PER-M2</v>
      </c>
      <c r="N285" cm="1">
        <f t="array" ref="N285">IF($M285="PER-M2",
  IFERROR(
     _xlfn.IFS(
        $G285="Hollow",
            INDEX('Referensi Harga'!$C:$C,
                  MATCH($F285&amp;$C285,'Referensi Harga'!$A:$A&amp;'Referensi Harga'!$B:$B,0)),
        $G285="Hollow Stainless",
            INDEX('Referensi Harga'!$D:$D,
                  MATCH($F285&amp;$C285,'Referensi Harga'!$A:$A&amp;'Referensi Harga'!$B:$B,0)),
        $G285="Pipa Stainless",
            INDEX('Referensi Harga'!$E:$E,
                  MATCH($F285&amp;$C285,'Referensi Harga'!$A:$A&amp;'Referensi Harga'!$B:$B,0))
     ),0)
  + IFERROR(VLOOKUP($H285,'Profile Size'!$A:$B,2,FALSE),0)
  + IFERROR(VLOOKUP($I285,'Ketebalan Material'!$A:$B,2,FALSE),0),
0)</f>
        <v>1400000</v>
      </c>
      <c r="O285">
        <f>IF($M285="PER-M",
  IFERROR(
    IF($G285="Hollow",
       INDEX('Referensi Harga'!$C:$C, MATCH($F285 &amp; "|" &amp; $C285, 'Referensi Harga'!$F:$F, 0)),
    IF($G285="Hollow Stainless",
       INDEX('Referensi Harga'!$D:$D, MATCH($F285 &amp; "|" &amp; $C285, 'Referensi Harga'!$F:$F, 0)),
       INDEX('Referensi Harga'!$E:$E, MATCH($F285 &amp; "|" &amp; $C285, 'Referensi Harga'!$F:$F, 0))
    ))
    + IFERROR(VLOOKUP($H285, 'Profile Size'!$A:$B, 2, FALSE), 0)
    + IFERROR(VLOOKUP($I285, 'Ketebalan Material'!$A:$B, 2, FALSE), 0), 0),
0)</f>
        <v>0</v>
      </c>
      <c r="P285" cm="1">
        <f t="array" ref="P285">IF($M285="PER-LUBANG",
  IFERROR(
     _xlfn.IFS(
        $G285="Hollow",
            INDEX('Referensi Harga'!$C:$C,
                  MATCH($F285&amp;$C285,'Referensi Harga'!$A:$A&amp;'Referensi Harga'!$B:$B,0)),
        $G285="Hollow Stainless",
            INDEX('Referensi Harga'!$D:$D,
                  MATCH($F285&amp;$C285,'Referensi Harga'!$A:$A&amp;'Referensi Harga'!$B:$B,0)),
        $G285="Pipa Stainless",
            INDEX('Referensi Harga'!$E:$E,
                  MATCH($F285&amp;$C285,'Referensi Harga'!$A:$A&amp;'Referensi Harga'!$B:$B,0))
     ),0)
  + IFERROR(VLOOKUP($H285,'Profile Size'!$A:$B,2,FALSE),0)
  + IFERROR(VLOOKUP($I285,'Ketebalan Material'!$A:$B,2,FALSE),0),
0)</f>
        <v>0</v>
      </c>
      <c r="Q285">
        <f>IF($M285="PER-M2",
    IFERROR(
        SUMIFS('Upah Tenaga Ahli'!$C:$C,
               'Upah Tenaga Ahli'!$A:$A,"PER-M2",
               'Upah Tenaga Ahli'!$B:$B,$G285
        ) * $J285 * $K285,
    0),
IF($M285="PER-LUBANG",
    IFERROR(
        SUMIFS('Upah Tenaga Ahli'!$D:$D,
               'Upah Tenaga Ahli'!$A:$A,"PER-LUBANG",
               'Upah Tenaga Ahli'!$B:$B,$G285
        ) * $L285 * $K285,
    0),
IF($M285="PER-M",
    IFERROR(
        SUMIFS('Upah Tenaga Ahli'!$E:$E,
               'Upah Tenaga Ahli'!$A:$A,"PER-M",
               'Upah Tenaga Ahli'!$B:$B,$G285
        ) * $J285 * $K285,
    0),
0)))</f>
        <v>364500</v>
      </c>
      <c r="R285" t="s">
        <v>617</v>
      </c>
      <c r="S285" t="s">
        <v>23</v>
      </c>
      <c r="T285">
        <f>IF($M285="PER-M2",
   ($N285 * $J285 * $K285)
   + IFERROR(VLOOKUP($R285,Finishing!A:B,2,FALSE),0)
   + IFERROR(VLOOKUP($S285,Kerumitan!A:B,2,FALSE),0),
IF($M285="PER-LUBANG",
   ($P285 * $L285 * $K285)
   + IFERROR(VLOOKUP($R285,Finishing!A:B,2,FALSE),0)
   + IFERROR(VLOOKUP($S285,Kerumitan!A:B,2,FALSE),0),
IF($M285="PER-M",
   ($O285 * $J285 * $K285)
   + IFERROR(VLOOKUP($R285,Finishing!A:B,2,FALSE),0)
   + IFERROR(VLOOKUP($S285,Kerumitan!A:B,2,FALSE),0),
0)))</f>
        <v>3402000</v>
      </c>
    </row>
    <row r="286" spans="1:20" x14ac:dyDescent="0.45">
      <c r="A286" t="s">
        <v>383</v>
      </c>
      <c r="B286" s="5">
        <v>45114</v>
      </c>
      <c r="C286">
        <f t="shared" si="4"/>
        <v>2023</v>
      </c>
      <c r="D286" t="s">
        <v>93</v>
      </c>
      <c r="E286" t="s">
        <v>41</v>
      </c>
      <c r="F286" t="s">
        <v>10</v>
      </c>
      <c r="G286" t="s">
        <v>13</v>
      </c>
      <c r="H286" t="s">
        <v>46</v>
      </c>
      <c r="I286">
        <v>0.8</v>
      </c>
      <c r="J286">
        <v>4.25</v>
      </c>
      <c r="K286">
        <v>1</v>
      </c>
      <c r="L286">
        <v>0</v>
      </c>
      <c r="M286" t="str" cm="1">
        <f t="array" ref="M286">_xlfn.IFS(
   OR($F286="Pagar", $F286="Pintu Gerbang", $F286="Pintu Handerson", $F286="Kanopi"), "PER-M2",
   $F286="Teralis", "PER-LUBANG",
   OR($F286="Railing", $F286="Railing/Balkon"), "PER-M",
   TRUE, ""
)</f>
        <v>PER-M2</v>
      </c>
      <c r="N286" cm="1">
        <f t="array" ref="N286">IF($M286="PER-M2",
  IFERROR(
     _xlfn.IFS(
        $G286="Hollow",
            INDEX('Referensi Harga'!$C:$C,
                  MATCH($F286&amp;$C286,'Referensi Harga'!$A:$A&amp;'Referensi Harga'!$B:$B,0)),
        $G286="Hollow Stainless",
            INDEX('Referensi Harga'!$D:$D,
                  MATCH($F286&amp;$C286,'Referensi Harga'!$A:$A&amp;'Referensi Harga'!$B:$B,0)),
        $G286="Pipa Stainless",
            INDEX('Referensi Harga'!$E:$E,
                  MATCH($F286&amp;$C286,'Referensi Harga'!$A:$A&amp;'Referensi Harga'!$B:$B,0))
     ),0)
  + IFERROR(VLOOKUP($H286,'Profile Size'!$A:$B,2,FALSE),0)
  + IFERROR(VLOOKUP($I286,'Ketebalan Material'!$A:$B,2,FALSE),0),
0)</f>
        <v>900000</v>
      </c>
      <c r="O286">
        <f>IF($M286="PER-M",
  IFERROR(
    IF($G286="Hollow",
       INDEX('Referensi Harga'!$C:$C, MATCH($F286 &amp; "|" &amp; $C286, 'Referensi Harga'!$F:$F, 0)),
    IF($G286="Hollow Stainless",
       INDEX('Referensi Harga'!$D:$D, MATCH($F286 &amp; "|" &amp; $C286, 'Referensi Harga'!$F:$F, 0)),
       INDEX('Referensi Harga'!$E:$E, MATCH($F286 &amp; "|" &amp; $C286, 'Referensi Harga'!$F:$F, 0))
    ))
    + IFERROR(VLOOKUP($H286, 'Profile Size'!$A:$B, 2, FALSE), 0)
    + IFERROR(VLOOKUP($I286, 'Ketebalan Material'!$A:$B, 2, FALSE), 0), 0),
0)</f>
        <v>0</v>
      </c>
      <c r="P286" cm="1">
        <f t="array" ref="P286">IF($M286="PER-LUBANG",
  IFERROR(
     _xlfn.IFS(
        $G286="Hollow",
            INDEX('Referensi Harga'!$C:$C,
                  MATCH($F286&amp;$C286,'Referensi Harga'!$A:$A&amp;'Referensi Harga'!$B:$B,0)),
        $G286="Hollow Stainless",
            INDEX('Referensi Harga'!$D:$D,
                  MATCH($F286&amp;$C286,'Referensi Harga'!$A:$A&amp;'Referensi Harga'!$B:$B,0)),
        $G286="Pipa Stainless",
            INDEX('Referensi Harga'!$E:$E,
                  MATCH($F286&amp;$C286,'Referensi Harga'!$A:$A&amp;'Referensi Harga'!$B:$B,0))
     ),0)
  + IFERROR(VLOOKUP($H286,'Profile Size'!$A:$B,2,FALSE),0)
  + IFERROR(VLOOKUP($I286,'Ketebalan Material'!$A:$B,2,FALSE),0),
0)</f>
        <v>0</v>
      </c>
      <c r="Q286">
        <f>IF($M286="PER-M2",
    IFERROR(
        SUMIFS('Upah Tenaga Ahli'!$C:$C,
               'Upah Tenaga Ahli'!$A:$A,"PER-M2",
               'Upah Tenaga Ahli'!$B:$B,$G286
        ) * $J286 * $K286,
    0),
IF($M286="PER-LUBANG",
    IFERROR(
        SUMIFS('Upah Tenaga Ahli'!$D:$D,
               'Upah Tenaga Ahli'!$A:$A,"PER-LUBANG",
               'Upah Tenaga Ahli'!$B:$B,$G286
        ) * $L286 * $K286,
    0),
IF($M286="PER-M",
    IFERROR(
        SUMIFS('Upah Tenaga Ahli'!$E:$E,
               'Upah Tenaga Ahli'!$A:$A,"PER-M",
               'Upah Tenaga Ahli'!$B:$B,$G286
        ) * $J286 * $K286,
    0),
0)))</f>
        <v>425000</v>
      </c>
      <c r="R286" t="s">
        <v>18</v>
      </c>
      <c r="S286" t="s">
        <v>23</v>
      </c>
      <c r="T286">
        <f>IF($M286="PER-M2",
   ($N286 * $J286 * $K286)
   + IFERROR(VLOOKUP($R286,Finishing!A:B,2,FALSE),0)
   + IFERROR(VLOOKUP($S286,Kerumitan!A:B,2,FALSE),0),
IF($M286="PER-LUBANG",
   ($P286 * $L286 * $K286)
   + IFERROR(VLOOKUP($R286,Finishing!A:B,2,FALSE),0)
   + IFERROR(VLOOKUP($S286,Kerumitan!A:B,2,FALSE),0),
IF($M286="PER-M",
   ($O286 * $J286 * $K286)
   + IFERROR(VLOOKUP($R286,Finishing!A:B,2,FALSE),0)
   + IFERROR(VLOOKUP($S286,Kerumitan!A:B,2,FALSE),0),
0)))</f>
        <v>3825000</v>
      </c>
    </row>
    <row r="287" spans="1:20" x14ac:dyDescent="0.45">
      <c r="A287" t="s">
        <v>384</v>
      </c>
      <c r="B287" s="5">
        <v>43635</v>
      </c>
      <c r="C287">
        <f t="shared" si="4"/>
        <v>2019</v>
      </c>
      <c r="D287" t="s">
        <v>159</v>
      </c>
      <c r="E287" t="s">
        <v>41</v>
      </c>
      <c r="F287" t="s">
        <v>4</v>
      </c>
      <c r="G287" t="s">
        <v>13</v>
      </c>
      <c r="H287" t="s">
        <v>46</v>
      </c>
      <c r="I287">
        <v>1.2</v>
      </c>
      <c r="J287">
        <v>25.78</v>
      </c>
      <c r="K287">
        <v>1</v>
      </c>
      <c r="L287">
        <v>0</v>
      </c>
      <c r="M287" t="str" cm="1">
        <f t="array" ref="M287">_xlfn.IFS(
   OR($F287="Pagar", $F287="Pintu Gerbang", $F287="Pintu Handerson", $F287="Kanopi"), "PER-M2",
   $F287="Teralis", "PER-LUBANG",
   OR($F287="Railing", $F287="Railing/Balkon"), "PER-M",
   TRUE, ""
)</f>
        <v>PER-M2</v>
      </c>
      <c r="N287" cm="1">
        <f t="array" ref="N287">IF($M287="PER-M2",
  IFERROR(
     _xlfn.IFS(
        $G287="Hollow",
            INDEX('Referensi Harga'!$C:$C,
                  MATCH($F287&amp;$C287,'Referensi Harga'!$A:$A&amp;'Referensi Harga'!$B:$B,0)),
        $G287="Hollow Stainless",
            INDEX('Referensi Harga'!$D:$D,
                  MATCH($F287&amp;$C287,'Referensi Harga'!$A:$A&amp;'Referensi Harga'!$B:$B,0)),
        $G287="Pipa Stainless",
            INDEX('Referensi Harga'!$E:$E,
                  MATCH($F287&amp;$C287,'Referensi Harga'!$A:$A&amp;'Referensi Harga'!$B:$B,0))
     ),0)
  + IFERROR(VLOOKUP($H287,'Profile Size'!$A:$B,2,FALSE),0)
  + IFERROR(VLOOKUP($I287,'Ketebalan Material'!$A:$B,2,FALSE),0),
0)</f>
        <v>650000</v>
      </c>
      <c r="O287">
        <f>IF($M287="PER-M",
  IFERROR(
    IF($G287="Hollow",
       INDEX('Referensi Harga'!$C:$C, MATCH($F287 &amp; "|" &amp; $C287, 'Referensi Harga'!$F:$F, 0)),
    IF($G287="Hollow Stainless",
       INDEX('Referensi Harga'!$D:$D, MATCH($F287 &amp; "|" &amp; $C287, 'Referensi Harga'!$F:$F, 0)),
       INDEX('Referensi Harga'!$E:$E, MATCH($F287 &amp; "|" &amp; $C287, 'Referensi Harga'!$F:$F, 0))
    ))
    + IFERROR(VLOOKUP($H287, 'Profile Size'!$A:$B, 2, FALSE), 0)
    + IFERROR(VLOOKUP($I287, 'Ketebalan Material'!$A:$B, 2, FALSE), 0), 0),
0)</f>
        <v>0</v>
      </c>
      <c r="P287" cm="1">
        <f t="array" ref="P287">IF($M287="PER-LUBANG",
  IFERROR(
     _xlfn.IFS(
        $G287="Hollow",
            INDEX('Referensi Harga'!$C:$C,
                  MATCH($F287&amp;$C287,'Referensi Harga'!$A:$A&amp;'Referensi Harga'!$B:$B,0)),
        $G287="Hollow Stainless",
            INDEX('Referensi Harga'!$D:$D,
                  MATCH($F287&amp;$C287,'Referensi Harga'!$A:$A&amp;'Referensi Harga'!$B:$B,0)),
        $G287="Pipa Stainless",
            INDEX('Referensi Harga'!$E:$E,
                  MATCH($F287&amp;$C287,'Referensi Harga'!$A:$A&amp;'Referensi Harga'!$B:$B,0))
     ),0)
  + IFERROR(VLOOKUP($H287,'Profile Size'!$A:$B,2,FALSE),0)
  + IFERROR(VLOOKUP($I287,'Ketebalan Material'!$A:$B,2,FALSE),0),
0)</f>
        <v>0</v>
      </c>
      <c r="Q287">
        <f>IF($M287="PER-M2",
    IFERROR(
        SUMIFS('Upah Tenaga Ahli'!$C:$C,
               'Upah Tenaga Ahli'!$A:$A,"PER-M2",
               'Upah Tenaga Ahli'!$B:$B,$G287
        ) * $J287 * $K287,
    0),
IF($M287="PER-LUBANG",
    IFERROR(
        SUMIFS('Upah Tenaga Ahli'!$D:$D,
               'Upah Tenaga Ahli'!$A:$A,"PER-LUBANG",
               'Upah Tenaga Ahli'!$B:$B,$G287
        ) * $L287 * $K287,
    0),
IF($M287="PER-M",
    IFERROR(
        SUMIFS('Upah Tenaga Ahli'!$E:$E,
               'Upah Tenaga Ahli'!$A:$A,"PER-M",
               'Upah Tenaga Ahli'!$B:$B,$G287
        ) * $J287 * $K287,
    0),
0)))</f>
        <v>2578000</v>
      </c>
      <c r="R287" t="s">
        <v>19</v>
      </c>
      <c r="S287" t="s">
        <v>23</v>
      </c>
      <c r="T287">
        <f>IF($M287="PER-M2",
   ($N287 * $J287 * $K287)
   + IFERROR(VLOOKUP($R287,Finishing!A:B,2,FALSE),0)
   + IFERROR(VLOOKUP($S287,Kerumitan!A:B,2,FALSE),0),
IF($M287="PER-LUBANG",
   ($P287 * $L287 * $K287)
   + IFERROR(VLOOKUP($R287,Finishing!A:B,2,FALSE),0)
   + IFERROR(VLOOKUP($S287,Kerumitan!A:B,2,FALSE),0),
IF($M287="PER-M",
   ($O287 * $J287 * $K287)
   + IFERROR(VLOOKUP($R287,Finishing!A:B,2,FALSE),0)
   + IFERROR(VLOOKUP($S287,Kerumitan!A:B,2,FALSE),0),
0)))</f>
        <v>16807000</v>
      </c>
    </row>
    <row r="288" spans="1:20" x14ac:dyDescent="0.45">
      <c r="A288" t="s">
        <v>385</v>
      </c>
      <c r="B288" s="5">
        <v>45172</v>
      </c>
      <c r="C288">
        <f t="shared" si="4"/>
        <v>2023</v>
      </c>
      <c r="D288" t="s">
        <v>101</v>
      </c>
      <c r="E288" t="s">
        <v>69</v>
      </c>
      <c r="F288" t="s">
        <v>6</v>
      </c>
      <c r="G288" t="s">
        <v>14</v>
      </c>
      <c r="H288" t="s">
        <v>615</v>
      </c>
      <c r="I288">
        <v>0.8</v>
      </c>
      <c r="J288">
        <v>20.71</v>
      </c>
      <c r="K288">
        <v>2</v>
      </c>
      <c r="L288">
        <v>0</v>
      </c>
      <c r="M288" t="str" cm="1">
        <f t="array" ref="M288">_xlfn.IFS(
   OR($F288="Pagar", $F288="Pintu Gerbang", $F288="Pintu Handerson", $F288="Kanopi"), "PER-M2",
   $F288="Teralis", "PER-LUBANG",
   OR($F288="Railing", $F288="Railing/Balkon"), "PER-M",
   TRUE, ""
)</f>
        <v>PER-M2</v>
      </c>
      <c r="N288" cm="1">
        <f t="array" ref="N288">IF($M288="PER-M2",
  IFERROR(
     _xlfn.IFS(
        $G288="Hollow",
            INDEX('Referensi Harga'!$C:$C,
                  MATCH($F288&amp;$C288,'Referensi Harga'!$A:$A&amp;'Referensi Harga'!$B:$B,0)),
        $G288="Hollow Stainless",
            INDEX('Referensi Harga'!$D:$D,
                  MATCH($F288&amp;$C288,'Referensi Harga'!$A:$A&amp;'Referensi Harga'!$B:$B,0)),
        $G288="Pipa Stainless",
            INDEX('Referensi Harga'!$E:$E,
                  MATCH($F288&amp;$C288,'Referensi Harga'!$A:$A&amp;'Referensi Harga'!$B:$B,0))
     ),0)
  + IFERROR(VLOOKUP($H288,'Profile Size'!$A:$B,2,FALSE),0)
  + IFERROR(VLOOKUP($I288,'Ketebalan Material'!$A:$B,2,FALSE),0),
0)</f>
        <v>800000</v>
      </c>
      <c r="O288">
        <f>IF($M288="PER-M",
  IFERROR(
    IF($G288="Hollow",
       INDEX('Referensi Harga'!$C:$C, MATCH($F288 &amp; "|" &amp; $C288, 'Referensi Harga'!$F:$F, 0)),
    IF($G288="Hollow Stainless",
       INDEX('Referensi Harga'!$D:$D, MATCH($F288 &amp; "|" &amp; $C288, 'Referensi Harga'!$F:$F, 0)),
       INDEX('Referensi Harga'!$E:$E, MATCH($F288 &amp; "|" &amp; $C288, 'Referensi Harga'!$F:$F, 0))
    ))
    + IFERROR(VLOOKUP($H288, 'Profile Size'!$A:$B, 2, FALSE), 0)
    + IFERROR(VLOOKUP($I288, 'Ketebalan Material'!$A:$B, 2, FALSE), 0), 0),
0)</f>
        <v>0</v>
      </c>
      <c r="P288" cm="1">
        <f t="array" ref="P288">IF($M288="PER-LUBANG",
  IFERROR(
     _xlfn.IFS(
        $G288="Hollow",
            INDEX('Referensi Harga'!$C:$C,
                  MATCH($F288&amp;$C288,'Referensi Harga'!$A:$A&amp;'Referensi Harga'!$B:$B,0)),
        $G288="Hollow Stainless",
            INDEX('Referensi Harga'!$D:$D,
                  MATCH($F288&amp;$C288,'Referensi Harga'!$A:$A&amp;'Referensi Harga'!$B:$B,0)),
        $G288="Pipa Stainless",
            INDEX('Referensi Harga'!$E:$E,
                  MATCH($F288&amp;$C288,'Referensi Harga'!$A:$A&amp;'Referensi Harga'!$B:$B,0))
     ),0)
  + IFERROR(VLOOKUP($H288,'Profile Size'!$A:$B,2,FALSE),0)
  + IFERROR(VLOOKUP($I288,'Ketebalan Material'!$A:$B,2,FALSE),0),
0)</f>
        <v>0</v>
      </c>
      <c r="Q288">
        <f>IF($M288="PER-M2",
    IFERROR(
        SUMIFS('Upah Tenaga Ahli'!$C:$C,
               'Upah Tenaga Ahli'!$A:$A,"PER-M2",
               'Upah Tenaga Ahli'!$B:$B,$G288
        ) * $J288 * $K288,
    0),
IF($M288="PER-LUBANG",
    IFERROR(
        SUMIFS('Upah Tenaga Ahli'!$D:$D,
               'Upah Tenaga Ahli'!$A:$A,"PER-LUBANG",
               'Upah Tenaga Ahli'!$B:$B,$G288
        ) * $L288 * $K288,
    0),
IF($M288="PER-M",
    IFERROR(
        SUMIFS('Upah Tenaga Ahli'!$E:$E,
               'Upah Tenaga Ahli'!$A:$A,"PER-M",
               'Upah Tenaga Ahli'!$B:$B,$G288
        ) * $J288 * $K288,
    0),
0)))</f>
        <v>8284000</v>
      </c>
      <c r="R288" t="s">
        <v>617</v>
      </c>
      <c r="S288" t="s">
        <v>25</v>
      </c>
      <c r="T288">
        <f>IF($M288="PER-M2",
   ($N288 * $J288 * $K288)
   + IFERROR(VLOOKUP($R288,Finishing!A:B,2,FALSE),0)
   + IFERROR(VLOOKUP($S288,Kerumitan!A:B,2,FALSE),0),
IF($M288="PER-LUBANG",
   ($P288 * $L288 * $K288)
   + IFERROR(VLOOKUP($R288,Finishing!A:B,2,FALSE),0)
   + IFERROR(VLOOKUP($S288,Kerumitan!A:B,2,FALSE),0),
IF($M288="PER-M",
   ($O288 * $J288 * $K288)
   + IFERROR(VLOOKUP($R288,Finishing!A:B,2,FALSE),0)
   + IFERROR(VLOOKUP($S288,Kerumitan!A:B,2,FALSE),0),
0)))</f>
        <v>33286000</v>
      </c>
    </row>
    <row r="289" spans="1:20" x14ac:dyDescent="0.45">
      <c r="A289" t="s">
        <v>386</v>
      </c>
      <c r="B289" s="5">
        <v>43622</v>
      </c>
      <c r="C289">
        <f t="shared" si="4"/>
        <v>2019</v>
      </c>
      <c r="D289" t="s">
        <v>68</v>
      </c>
      <c r="E289" t="s">
        <v>28</v>
      </c>
      <c r="F289" t="s">
        <v>7</v>
      </c>
      <c r="G289" t="s">
        <v>14</v>
      </c>
      <c r="H289" t="s">
        <v>614</v>
      </c>
      <c r="I289">
        <v>0.8</v>
      </c>
      <c r="J289">
        <v>12.44</v>
      </c>
      <c r="K289">
        <v>1</v>
      </c>
      <c r="L289">
        <v>0</v>
      </c>
      <c r="M289" t="str" cm="1">
        <f t="array" ref="M289">_xlfn.IFS(
   OR($F289="Pagar", $F289="Pintu Gerbang", $F289="Pintu Handerson", $F289="Kanopi"), "PER-M2",
   $F289="Teralis", "PER-LUBANG",
   OR($F289="Railing", $F289="Railing/Balkon"), "PER-M",
   TRUE, ""
)</f>
        <v>PER-M2</v>
      </c>
      <c r="N289" cm="1">
        <f t="array" ref="N289">IF($M289="PER-M2",
  IFERROR(
     _xlfn.IFS(
        $G289="Hollow",
            INDEX('Referensi Harga'!$C:$C,
                  MATCH($F289&amp;$C289,'Referensi Harga'!$A:$A&amp;'Referensi Harga'!$B:$B,0)),
        $G289="Hollow Stainless",
            INDEX('Referensi Harga'!$D:$D,
                  MATCH($F289&amp;$C289,'Referensi Harga'!$A:$A&amp;'Referensi Harga'!$B:$B,0)),
        $G289="Pipa Stainless",
            INDEX('Referensi Harga'!$E:$E,
                  MATCH($F289&amp;$C289,'Referensi Harga'!$A:$A&amp;'Referensi Harga'!$B:$B,0))
     ),0)
  + IFERROR(VLOOKUP($H289,'Profile Size'!$A:$B,2,FALSE),0)
  + IFERROR(VLOOKUP($I289,'Ketebalan Material'!$A:$B,2,FALSE),0),
0)</f>
        <v>950000</v>
      </c>
      <c r="O289">
        <f>IF($M289="PER-M",
  IFERROR(
    IF($G289="Hollow",
       INDEX('Referensi Harga'!$C:$C, MATCH($F289 &amp; "|" &amp; $C289, 'Referensi Harga'!$F:$F, 0)),
    IF($G289="Hollow Stainless",
       INDEX('Referensi Harga'!$D:$D, MATCH($F289 &amp; "|" &amp; $C289, 'Referensi Harga'!$F:$F, 0)),
       INDEX('Referensi Harga'!$E:$E, MATCH($F289 &amp; "|" &amp; $C289, 'Referensi Harga'!$F:$F, 0))
    ))
    + IFERROR(VLOOKUP($H289, 'Profile Size'!$A:$B, 2, FALSE), 0)
    + IFERROR(VLOOKUP($I289, 'Ketebalan Material'!$A:$B, 2, FALSE), 0), 0),
0)</f>
        <v>0</v>
      </c>
      <c r="P289" cm="1">
        <f t="array" ref="P289">IF($M289="PER-LUBANG",
  IFERROR(
     _xlfn.IFS(
        $G289="Hollow",
            INDEX('Referensi Harga'!$C:$C,
                  MATCH($F289&amp;$C289,'Referensi Harga'!$A:$A&amp;'Referensi Harga'!$B:$B,0)),
        $G289="Hollow Stainless",
            INDEX('Referensi Harga'!$D:$D,
                  MATCH($F289&amp;$C289,'Referensi Harga'!$A:$A&amp;'Referensi Harga'!$B:$B,0)),
        $G289="Pipa Stainless",
            INDEX('Referensi Harga'!$E:$E,
                  MATCH($F289&amp;$C289,'Referensi Harga'!$A:$A&amp;'Referensi Harga'!$B:$B,0))
     ),0)
  + IFERROR(VLOOKUP($H289,'Profile Size'!$A:$B,2,FALSE),0)
  + IFERROR(VLOOKUP($I289,'Ketebalan Material'!$A:$B,2,FALSE),0),
0)</f>
        <v>0</v>
      </c>
      <c r="Q289">
        <f>IF($M289="PER-M2",
    IFERROR(
        SUMIFS('Upah Tenaga Ahli'!$C:$C,
               'Upah Tenaga Ahli'!$A:$A,"PER-M2",
               'Upah Tenaga Ahli'!$B:$B,$G289
        ) * $J289 * $K289,
    0),
IF($M289="PER-LUBANG",
    IFERROR(
        SUMIFS('Upah Tenaga Ahli'!$D:$D,
               'Upah Tenaga Ahli'!$A:$A,"PER-LUBANG",
               'Upah Tenaga Ahli'!$B:$B,$G289
        ) * $L289 * $K289,
    0),
IF($M289="PER-M",
    IFERROR(
        SUMIFS('Upah Tenaga Ahli'!$E:$E,
               'Upah Tenaga Ahli'!$A:$A,"PER-M",
               'Upah Tenaga Ahli'!$B:$B,$G289
        ) * $J289 * $K289,
    0),
0)))</f>
        <v>2488000</v>
      </c>
      <c r="R289" t="s">
        <v>617</v>
      </c>
      <c r="S289" t="s">
        <v>24</v>
      </c>
      <c r="T289">
        <f>IF($M289="PER-M2",
   ($N289 * $J289 * $K289)
   + IFERROR(VLOOKUP($R289,Finishing!A:B,2,FALSE),0)
   + IFERROR(VLOOKUP($S289,Kerumitan!A:B,2,FALSE),0),
IF($M289="PER-LUBANG",
   ($P289 * $L289 * $K289)
   + IFERROR(VLOOKUP($R289,Finishing!A:B,2,FALSE),0)
   + IFERROR(VLOOKUP($S289,Kerumitan!A:B,2,FALSE),0),
IF($M289="PER-M",
   ($O289 * $J289 * $K289)
   + IFERROR(VLOOKUP($R289,Finishing!A:B,2,FALSE),0)
   + IFERROR(VLOOKUP($S289,Kerumitan!A:B,2,FALSE),0),
0)))</f>
        <v>11918000</v>
      </c>
    </row>
    <row r="290" spans="1:20" x14ac:dyDescent="0.45">
      <c r="A290" t="s">
        <v>387</v>
      </c>
      <c r="B290" s="5">
        <v>44220</v>
      </c>
      <c r="C290">
        <f t="shared" si="4"/>
        <v>2021</v>
      </c>
      <c r="D290" t="s">
        <v>49</v>
      </c>
      <c r="E290" t="s">
        <v>91</v>
      </c>
      <c r="F290" t="s">
        <v>7</v>
      </c>
      <c r="G290" t="s">
        <v>15</v>
      </c>
      <c r="H290" t="s">
        <v>35</v>
      </c>
      <c r="I290">
        <v>0.8</v>
      </c>
      <c r="J290">
        <v>14.79</v>
      </c>
      <c r="K290">
        <v>1</v>
      </c>
      <c r="L290">
        <v>0</v>
      </c>
      <c r="M290" t="str" cm="1">
        <f t="array" ref="M290">_xlfn.IFS(
   OR($F290="Pagar", $F290="Pintu Gerbang", $F290="Pintu Handerson", $F290="Kanopi"), "PER-M2",
   $F290="Teralis", "PER-LUBANG",
   OR($F290="Railing", $F290="Railing/Balkon"), "PER-M",
   TRUE, ""
)</f>
        <v>PER-M2</v>
      </c>
      <c r="N290" cm="1">
        <f t="array" ref="N290">IF($M290="PER-M2",
  IFERROR(
     _xlfn.IFS(
        $G290="Hollow",
            INDEX('Referensi Harga'!$C:$C,
                  MATCH($F290&amp;$C290,'Referensi Harga'!$A:$A&amp;'Referensi Harga'!$B:$B,0)),
        $G290="Hollow Stainless",
            INDEX('Referensi Harga'!$D:$D,
                  MATCH($F290&amp;$C290,'Referensi Harga'!$A:$A&amp;'Referensi Harga'!$B:$B,0)),
        $G290="Pipa Stainless",
            INDEX('Referensi Harga'!$E:$E,
                  MATCH($F290&amp;$C290,'Referensi Harga'!$A:$A&amp;'Referensi Harga'!$B:$B,0))
     ),0)
  + IFERROR(VLOOKUP($H290,'Profile Size'!$A:$B,2,FALSE),0)
  + IFERROR(VLOOKUP($I290,'Ketebalan Material'!$A:$B,2,FALSE),0),
0)</f>
        <v>1300000</v>
      </c>
      <c r="O290">
        <f>IF($M290="PER-M",
  IFERROR(
    IF($G290="Hollow",
       INDEX('Referensi Harga'!$C:$C, MATCH($F290 &amp; "|" &amp; $C290, 'Referensi Harga'!$F:$F, 0)),
    IF($G290="Hollow Stainless",
       INDEX('Referensi Harga'!$D:$D, MATCH($F290 &amp; "|" &amp; $C290, 'Referensi Harga'!$F:$F, 0)),
       INDEX('Referensi Harga'!$E:$E, MATCH($F290 &amp; "|" &amp; $C290, 'Referensi Harga'!$F:$F, 0))
    ))
    + IFERROR(VLOOKUP($H290, 'Profile Size'!$A:$B, 2, FALSE), 0)
    + IFERROR(VLOOKUP($I290, 'Ketebalan Material'!$A:$B, 2, FALSE), 0), 0),
0)</f>
        <v>0</v>
      </c>
      <c r="P290" cm="1">
        <f t="array" ref="P290">IF($M290="PER-LUBANG",
  IFERROR(
     _xlfn.IFS(
        $G290="Hollow",
            INDEX('Referensi Harga'!$C:$C,
                  MATCH($F290&amp;$C290,'Referensi Harga'!$A:$A&amp;'Referensi Harga'!$B:$B,0)),
        $G290="Hollow Stainless",
            INDEX('Referensi Harga'!$D:$D,
                  MATCH($F290&amp;$C290,'Referensi Harga'!$A:$A&amp;'Referensi Harga'!$B:$B,0)),
        $G290="Pipa Stainless",
            INDEX('Referensi Harga'!$E:$E,
                  MATCH($F290&amp;$C290,'Referensi Harga'!$A:$A&amp;'Referensi Harga'!$B:$B,0))
     ),0)
  + IFERROR(VLOOKUP($H290,'Profile Size'!$A:$B,2,FALSE),0)
  + IFERROR(VLOOKUP($I290,'Ketebalan Material'!$A:$B,2,FALSE),0),
0)</f>
        <v>0</v>
      </c>
      <c r="Q290">
        <f>IF($M290="PER-M2",
    IFERROR(
        SUMIFS('Upah Tenaga Ahli'!$C:$C,
               'Upah Tenaga Ahli'!$A:$A,"PER-M2",
               'Upah Tenaga Ahli'!$B:$B,$G290
        ) * $J290 * $K290,
    0),
IF($M290="PER-LUBANG",
    IFERROR(
        SUMIFS('Upah Tenaga Ahli'!$D:$D,
               'Upah Tenaga Ahli'!$A:$A,"PER-LUBANG",
               'Upah Tenaga Ahli'!$B:$B,$G290
        ) * $L290 * $K290,
    0),
IF($M290="PER-M",
    IFERROR(
        SUMIFS('Upah Tenaga Ahli'!$E:$E,
               'Upah Tenaga Ahli'!$A:$A,"PER-M",
               'Upah Tenaga Ahli'!$B:$B,$G290
        ) * $J290 * $K290,
    0),
0)))</f>
        <v>2218500</v>
      </c>
      <c r="R290" t="s">
        <v>617</v>
      </c>
      <c r="S290" t="s">
        <v>24</v>
      </c>
      <c r="T290">
        <f>IF($M290="PER-M2",
   ($N290 * $J290 * $K290)
   + IFERROR(VLOOKUP($R290,Finishing!A:B,2,FALSE),0)
   + IFERROR(VLOOKUP($S290,Kerumitan!A:B,2,FALSE),0),
IF($M290="PER-LUBANG",
   ($P290 * $L290 * $K290)
   + IFERROR(VLOOKUP($R290,Finishing!A:B,2,FALSE),0)
   + IFERROR(VLOOKUP($S290,Kerumitan!A:B,2,FALSE),0),
IF($M290="PER-M",
   ($O290 * $J290 * $K290)
   + IFERROR(VLOOKUP($R290,Finishing!A:B,2,FALSE),0)
   + IFERROR(VLOOKUP($S290,Kerumitan!A:B,2,FALSE),0),
0)))</f>
        <v>19327000</v>
      </c>
    </row>
    <row r="291" spans="1:20" x14ac:dyDescent="0.45">
      <c r="A291" t="s">
        <v>388</v>
      </c>
      <c r="B291" s="5">
        <v>45785</v>
      </c>
      <c r="C291">
        <f t="shared" si="4"/>
        <v>2025</v>
      </c>
      <c r="D291" t="s">
        <v>156</v>
      </c>
      <c r="E291" t="s">
        <v>44</v>
      </c>
      <c r="F291" t="s">
        <v>4</v>
      </c>
      <c r="G291" t="s">
        <v>14</v>
      </c>
      <c r="H291" t="s">
        <v>615</v>
      </c>
      <c r="I291">
        <v>0.8</v>
      </c>
      <c r="J291">
        <v>8.6199999999999992</v>
      </c>
      <c r="K291">
        <v>1</v>
      </c>
      <c r="L291">
        <v>0</v>
      </c>
      <c r="M291" t="str" cm="1">
        <f t="array" ref="M291">_xlfn.IFS(
   OR($F291="Pagar", $F291="Pintu Gerbang", $F291="Pintu Handerson", $F291="Kanopi"), "PER-M2",
   $F291="Teralis", "PER-LUBANG",
   OR($F291="Railing", $F291="Railing/Balkon"), "PER-M",
   TRUE, ""
)</f>
        <v>PER-M2</v>
      </c>
      <c r="N291" cm="1">
        <f t="array" ref="N291">IF($M291="PER-M2",
  IFERROR(
     _xlfn.IFS(
        $G291="Hollow",
            INDEX('Referensi Harga'!$C:$C,
                  MATCH($F291&amp;$C291,'Referensi Harga'!$A:$A&amp;'Referensi Harga'!$B:$B,0)),
        $G291="Hollow Stainless",
            INDEX('Referensi Harga'!$D:$D,
                  MATCH($F291&amp;$C291,'Referensi Harga'!$A:$A&amp;'Referensi Harga'!$B:$B,0)),
        $G291="Pipa Stainless",
            INDEX('Referensi Harga'!$E:$E,
                  MATCH($F291&amp;$C291,'Referensi Harga'!$A:$A&amp;'Referensi Harga'!$B:$B,0))
     ),0)
  + IFERROR(VLOOKUP($H291,'Profile Size'!$A:$B,2,FALSE),0)
  + IFERROR(VLOOKUP($I291,'Ketebalan Material'!$A:$B,2,FALSE),0),
0)</f>
        <v>1100000</v>
      </c>
      <c r="O291">
        <f>IF($M291="PER-M",
  IFERROR(
    IF($G291="Hollow",
       INDEX('Referensi Harga'!$C:$C, MATCH($F291 &amp; "|" &amp; $C291, 'Referensi Harga'!$F:$F, 0)),
    IF($G291="Hollow Stainless",
       INDEX('Referensi Harga'!$D:$D, MATCH($F291 &amp; "|" &amp; $C291, 'Referensi Harga'!$F:$F, 0)),
       INDEX('Referensi Harga'!$E:$E, MATCH($F291 &amp; "|" &amp; $C291, 'Referensi Harga'!$F:$F, 0))
    ))
    + IFERROR(VLOOKUP($H291, 'Profile Size'!$A:$B, 2, FALSE), 0)
    + IFERROR(VLOOKUP($I291, 'Ketebalan Material'!$A:$B, 2, FALSE), 0), 0),
0)</f>
        <v>0</v>
      </c>
      <c r="P291" cm="1">
        <f t="array" ref="P291">IF($M291="PER-LUBANG",
  IFERROR(
     _xlfn.IFS(
        $G291="Hollow",
            INDEX('Referensi Harga'!$C:$C,
                  MATCH($F291&amp;$C291,'Referensi Harga'!$A:$A&amp;'Referensi Harga'!$B:$B,0)),
        $G291="Hollow Stainless",
            INDEX('Referensi Harga'!$D:$D,
                  MATCH($F291&amp;$C291,'Referensi Harga'!$A:$A&amp;'Referensi Harga'!$B:$B,0)),
        $G291="Pipa Stainless",
            INDEX('Referensi Harga'!$E:$E,
                  MATCH($F291&amp;$C291,'Referensi Harga'!$A:$A&amp;'Referensi Harga'!$B:$B,0))
     ),0)
  + IFERROR(VLOOKUP($H291,'Profile Size'!$A:$B,2,FALSE),0)
  + IFERROR(VLOOKUP($I291,'Ketebalan Material'!$A:$B,2,FALSE),0),
0)</f>
        <v>0</v>
      </c>
      <c r="Q291">
        <f>IF($M291="PER-M2",
    IFERROR(
        SUMIFS('Upah Tenaga Ahli'!$C:$C,
               'Upah Tenaga Ahli'!$A:$A,"PER-M2",
               'Upah Tenaga Ahli'!$B:$B,$G291
        ) * $J291 * $K291,
    0),
IF($M291="PER-LUBANG",
    IFERROR(
        SUMIFS('Upah Tenaga Ahli'!$D:$D,
               'Upah Tenaga Ahli'!$A:$A,"PER-LUBANG",
               'Upah Tenaga Ahli'!$B:$B,$G291
        ) * $L291 * $K291,
    0),
IF($M291="PER-M",
    IFERROR(
        SUMIFS('Upah Tenaga Ahli'!$E:$E,
               'Upah Tenaga Ahli'!$A:$A,"PER-M",
               'Upah Tenaga Ahli'!$B:$B,$G291
        ) * $J291 * $K291,
    0),
0)))</f>
        <v>1723999.9999999998</v>
      </c>
      <c r="R291" t="s">
        <v>617</v>
      </c>
      <c r="S291" t="s">
        <v>23</v>
      </c>
      <c r="T291">
        <f>IF($M291="PER-M2",
   ($N291 * $J291 * $K291)
   + IFERROR(VLOOKUP($R291,Finishing!A:B,2,FALSE),0)
   + IFERROR(VLOOKUP($S291,Kerumitan!A:B,2,FALSE),0),
IF($M291="PER-LUBANG",
   ($P291 * $L291 * $K291)
   + IFERROR(VLOOKUP($R291,Finishing!A:B,2,FALSE),0)
   + IFERROR(VLOOKUP($S291,Kerumitan!A:B,2,FALSE),0),
IF($M291="PER-M",
   ($O291 * $J291 * $K291)
   + IFERROR(VLOOKUP($R291,Finishing!A:B,2,FALSE),0)
   + IFERROR(VLOOKUP($S291,Kerumitan!A:B,2,FALSE),0),
0)))</f>
        <v>9482000</v>
      </c>
    </row>
    <row r="292" spans="1:20" x14ac:dyDescent="0.45">
      <c r="A292" t="s">
        <v>389</v>
      </c>
      <c r="B292" s="5">
        <v>45583</v>
      </c>
      <c r="C292">
        <f t="shared" si="4"/>
        <v>2024</v>
      </c>
      <c r="D292" t="s">
        <v>133</v>
      </c>
      <c r="E292" t="s">
        <v>61</v>
      </c>
      <c r="F292" t="s">
        <v>10</v>
      </c>
      <c r="G292" t="s">
        <v>14</v>
      </c>
      <c r="H292" t="s">
        <v>615</v>
      </c>
      <c r="I292">
        <v>1.2</v>
      </c>
      <c r="J292">
        <v>2.42</v>
      </c>
      <c r="K292">
        <v>1</v>
      </c>
      <c r="L292">
        <v>0</v>
      </c>
      <c r="M292" t="str" cm="1">
        <f t="array" ref="M292">_xlfn.IFS(
   OR($F292="Pagar", $F292="Pintu Gerbang", $F292="Pintu Handerson", $F292="Kanopi"), "PER-M2",
   $F292="Teralis", "PER-LUBANG",
   OR($F292="Railing", $F292="Railing/Balkon"), "PER-M",
   TRUE, ""
)</f>
        <v>PER-M2</v>
      </c>
      <c r="N292" cm="1">
        <f t="array" ref="N292">IF($M292="PER-M2",
  IFERROR(
     _xlfn.IFS(
        $G292="Hollow",
            INDEX('Referensi Harga'!$C:$C,
                  MATCH($F292&amp;$C292,'Referensi Harga'!$A:$A&amp;'Referensi Harga'!$B:$B,0)),
        $G292="Hollow Stainless",
            INDEX('Referensi Harga'!$D:$D,
                  MATCH($F292&amp;$C292,'Referensi Harga'!$A:$A&amp;'Referensi Harga'!$B:$B,0)),
        $G292="Pipa Stainless",
            INDEX('Referensi Harga'!$E:$E,
                  MATCH($F292&amp;$C292,'Referensi Harga'!$A:$A&amp;'Referensi Harga'!$B:$B,0))
     ),0)
  + IFERROR(VLOOKUP($H292,'Profile Size'!$A:$B,2,FALSE),0)
  + IFERROR(VLOOKUP($I292,'Ketebalan Material'!$A:$B,2,FALSE),0),
0)</f>
        <v>1650000</v>
      </c>
      <c r="O292">
        <f>IF($M292="PER-M",
  IFERROR(
    IF($G292="Hollow",
       INDEX('Referensi Harga'!$C:$C, MATCH($F292 &amp; "|" &amp; $C292, 'Referensi Harga'!$F:$F, 0)),
    IF($G292="Hollow Stainless",
       INDEX('Referensi Harga'!$D:$D, MATCH($F292 &amp; "|" &amp; $C292, 'Referensi Harga'!$F:$F, 0)),
       INDEX('Referensi Harga'!$E:$E, MATCH($F292 &amp; "|" &amp; $C292, 'Referensi Harga'!$F:$F, 0))
    ))
    + IFERROR(VLOOKUP($H292, 'Profile Size'!$A:$B, 2, FALSE), 0)
    + IFERROR(VLOOKUP($I292, 'Ketebalan Material'!$A:$B, 2, FALSE), 0), 0),
0)</f>
        <v>0</v>
      </c>
      <c r="P292" cm="1">
        <f t="array" ref="P292">IF($M292="PER-LUBANG",
  IFERROR(
     _xlfn.IFS(
        $G292="Hollow",
            INDEX('Referensi Harga'!$C:$C,
                  MATCH($F292&amp;$C292,'Referensi Harga'!$A:$A&amp;'Referensi Harga'!$B:$B,0)),
        $G292="Hollow Stainless",
            INDEX('Referensi Harga'!$D:$D,
                  MATCH($F292&amp;$C292,'Referensi Harga'!$A:$A&amp;'Referensi Harga'!$B:$B,0)),
        $G292="Pipa Stainless",
            INDEX('Referensi Harga'!$E:$E,
                  MATCH($F292&amp;$C292,'Referensi Harga'!$A:$A&amp;'Referensi Harga'!$B:$B,0))
     ),0)
  + IFERROR(VLOOKUP($H292,'Profile Size'!$A:$B,2,FALSE),0)
  + IFERROR(VLOOKUP($I292,'Ketebalan Material'!$A:$B,2,FALSE),0),
0)</f>
        <v>0</v>
      </c>
      <c r="Q292">
        <f>IF($M292="PER-M2",
    IFERROR(
        SUMIFS('Upah Tenaga Ahli'!$C:$C,
               'Upah Tenaga Ahli'!$A:$A,"PER-M2",
               'Upah Tenaga Ahli'!$B:$B,$G292
        ) * $J292 * $K292,
    0),
IF($M292="PER-LUBANG",
    IFERROR(
        SUMIFS('Upah Tenaga Ahli'!$D:$D,
               'Upah Tenaga Ahli'!$A:$A,"PER-LUBANG",
               'Upah Tenaga Ahli'!$B:$B,$G292
        ) * $L292 * $K292,
    0),
IF($M292="PER-M",
    IFERROR(
        SUMIFS('Upah Tenaga Ahli'!$E:$E,
               'Upah Tenaga Ahli'!$A:$A,"PER-M",
               'Upah Tenaga Ahli'!$B:$B,$G292
        ) * $J292 * $K292,
    0),
0)))</f>
        <v>484000</v>
      </c>
      <c r="R292" t="s">
        <v>617</v>
      </c>
      <c r="S292" t="s">
        <v>23</v>
      </c>
      <c r="T292">
        <f>IF($M292="PER-M2",
   ($N292 * $J292 * $K292)
   + IFERROR(VLOOKUP($R292,Finishing!A:B,2,FALSE),0)
   + IFERROR(VLOOKUP($S292,Kerumitan!A:B,2,FALSE),0),
IF($M292="PER-LUBANG",
   ($P292 * $L292 * $K292)
   + IFERROR(VLOOKUP($R292,Finishing!A:B,2,FALSE),0)
   + IFERROR(VLOOKUP($S292,Kerumitan!A:B,2,FALSE),0),
IF($M292="PER-M",
   ($O292 * $J292 * $K292)
   + IFERROR(VLOOKUP($R292,Finishing!A:B,2,FALSE),0)
   + IFERROR(VLOOKUP($S292,Kerumitan!A:B,2,FALSE),0),
0)))</f>
        <v>3993000</v>
      </c>
    </row>
    <row r="293" spans="1:20" x14ac:dyDescent="0.45">
      <c r="A293" t="s">
        <v>390</v>
      </c>
      <c r="B293" s="5">
        <v>45150</v>
      </c>
      <c r="C293">
        <f t="shared" si="4"/>
        <v>2023</v>
      </c>
      <c r="D293" t="s">
        <v>169</v>
      </c>
      <c r="E293" t="s">
        <v>44</v>
      </c>
      <c r="F293" t="s">
        <v>8</v>
      </c>
      <c r="G293" t="s">
        <v>14</v>
      </c>
      <c r="H293" t="s">
        <v>612</v>
      </c>
      <c r="I293">
        <v>1.2</v>
      </c>
      <c r="J293">
        <v>0</v>
      </c>
      <c r="K293">
        <v>1</v>
      </c>
      <c r="L293">
        <v>22</v>
      </c>
      <c r="M293" t="str" cm="1">
        <f t="array" ref="M293">_xlfn.IFS(
   OR($F293="Pagar", $F293="Pintu Gerbang", $F293="Pintu Handerson", $F293="Kanopi"), "PER-M2",
   $F293="Teralis", "PER-LUBANG",
   OR($F293="Railing", $F293="Railing/Balkon"), "PER-M",
   TRUE, ""
)</f>
        <v>PER-LUBANG</v>
      </c>
      <c r="N293" cm="1">
        <f t="array" ref="N293">IF($M293="PER-M2",
  IFERROR(
     _xlfn.IFS(
        $G293="Hollow",
            INDEX('Referensi Harga'!$C:$C,
                  MATCH($F293&amp;$C293,'Referensi Harga'!$A:$A&amp;'Referensi Harga'!$B:$B,0)),
        $G293="Hollow Stainless",
            INDEX('Referensi Harga'!$D:$D,
                  MATCH($F293&amp;$C293,'Referensi Harga'!$A:$A&amp;'Referensi Harga'!$B:$B,0)),
        $G293="Pipa Stainless",
            INDEX('Referensi Harga'!$E:$E,
                  MATCH($F293&amp;$C293,'Referensi Harga'!$A:$A&amp;'Referensi Harga'!$B:$B,0))
     ),0)
  + IFERROR(VLOOKUP($H293,'Profile Size'!$A:$B,2,FALSE),0)
  + IFERROR(VLOOKUP($I293,'Ketebalan Material'!$A:$B,2,FALSE),0),
0)</f>
        <v>0</v>
      </c>
      <c r="O293">
        <f>IF($M293="PER-M",
  IFERROR(
    IF($G293="Hollow",
       INDEX('Referensi Harga'!$C:$C, MATCH($F293 &amp; "|" &amp; $C293, 'Referensi Harga'!$F:$F, 0)),
    IF($G293="Hollow Stainless",
       INDEX('Referensi Harga'!$D:$D, MATCH($F293 &amp; "|" &amp; $C293, 'Referensi Harga'!$F:$F, 0)),
       INDEX('Referensi Harga'!$E:$E, MATCH($F293 &amp; "|" &amp; $C293, 'Referensi Harga'!$F:$F, 0))
    ))
    + IFERROR(VLOOKUP($H293, 'Profile Size'!$A:$B, 2, FALSE), 0)
    + IFERROR(VLOOKUP($I293, 'Ketebalan Material'!$A:$B, 2, FALSE), 0), 0),
0)</f>
        <v>0</v>
      </c>
      <c r="P293" cm="1">
        <f t="array" ref="P293">IF($M293="PER-LUBANG",
  IFERROR(
     _xlfn.IFS(
        $G293="Hollow",
            INDEX('Referensi Harga'!$C:$C,
                  MATCH($F293&amp;$C293,'Referensi Harga'!$A:$A&amp;'Referensi Harga'!$B:$B,0)),
        $G293="Hollow Stainless",
            INDEX('Referensi Harga'!$D:$D,
                  MATCH($F293&amp;$C293,'Referensi Harga'!$A:$A&amp;'Referensi Harga'!$B:$B,0)),
        $G293="Pipa Stainless",
            INDEX('Referensi Harga'!$E:$E,
                  MATCH($F293&amp;$C293,'Referensi Harga'!$A:$A&amp;'Referensi Harga'!$B:$B,0))
     ),0)
  + IFERROR(VLOOKUP($H293,'Profile Size'!$A:$B,2,FALSE),0)
  + IFERROR(VLOOKUP($I293,'Ketebalan Material'!$A:$B,2,FALSE),0),
0)</f>
        <v>780000</v>
      </c>
      <c r="Q293">
        <f>IF($M293="PER-M2",
    IFERROR(
        SUMIFS('Upah Tenaga Ahli'!$C:$C,
               'Upah Tenaga Ahli'!$A:$A,"PER-M2",
               'Upah Tenaga Ahli'!$B:$B,$G293
        ) * $J293 * $K293,
    0),
IF($M293="PER-LUBANG",
    IFERROR(
        SUMIFS('Upah Tenaga Ahli'!$D:$D,
               'Upah Tenaga Ahli'!$A:$A,"PER-LUBANG",
               'Upah Tenaga Ahli'!$B:$B,$G293
        ) * $L293 * $K293,
    0),
IF($M293="PER-M",
    IFERROR(
        SUMIFS('Upah Tenaga Ahli'!$E:$E,
               'Upah Tenaga Ahli'!$A:$A,"PER-M",
               'Upah Tenaga Ahli'!$B:$B,$G293
        ) * $J293 * $K293,
    0),
0)))</f>
        <v>3300000</v>
      </c>
      <c r="R293" t="s">
        <v>617</v>
      </c>
      <c r="S293" t="s">
        <v>25</v>
      </c>
      <c r="T293">
        <f>IF($M293="PER-M2",
   ($N293 * $J293 * $K293)
   + IFERROR(VLOOKUP($R293,Finishing!A:B,2,FALSE),0)
   + IFERROR(VLOOKUP($S293,Kerumitan!A:B,2,FALSE),0),
IF($M293="PER-LUBANG",
   ($P293 * $L293 * $K293)
   + IFERROR(VLOOKUP($R293,Finishing!A:B,2,FALSE),0)
   + IFERROR(VLOOKUP($S293,Kerumitan!A:B,2,FALSE),0),
IF($M293="PER-M",
   ($O293 * $J293 * $K293)
   + IFERROR(VLOOKUP($R293,Finishing!A:B,2,FALSE),0)
   + IFERROR(VLOOKUP($S293,Kerumitan!A:B,2,FALSE),0),
0)))</f>
        <v>17310000</v>
      </c>
    </row>
    <row r="294" spans="1:20" x14ac:dyDescent="0.45">
      <c r="A294" t="s">
        <v>391</v>
      </c>
      <c r="B294" s="5">
        <v>45195</v>
      </c>
      <c r="C294">
        <f t="shared" si="4"/>
        <v>2023</v>
      </c>
      <c r="D294" t="s">
        <v>49</v>
      </c>
      <c r="E294" t="s">
        <v>105</v>
      </c>
      <c r="F294" t="s">
        <v>625</v>
      </c>
      <c r="G294" t="s">
        <v>15</v>
      </c>
      <c r="H294" t="s">
        <v>33</v>
      </c>
      <c r="I294">
        <v>0.8</v>
      </c>
      <c r="J294">
        <v>3.99</v>
      </c>
      <c r="K294">
        <v>1</v>
      </c>
      <c r="L294">
        <v>0</v>
      </c>
      <c r="M294" t="str" cm="1">
        <f t="array" ref="M294">_xlfn.IFS(
   OR($F294="Pagar", $F294="Pintu Gerbang", $F294="Pintu Handerson", $F294="Kanopi"), "PER-M2",
   $F294="Teralis", "PER-LUBANG",
   OR($F294="Railing", $F294="Railing/Balkon"), "PER-M",
   TRUE, ""
)</f>
        <v>PER-M</v>
      </c>
      <c r="N294" cm="1">
        <f t="array" ref="N294">IF($M294="PER-M2",
  IFERROR(
     _xlfn.IFS(
        $G294="Hollow",
            INDEX('Referensi Harga'!$C:$C,
                  MATCH($F294&amp;$C294,'Referensi Harga'!$A:$A&amp;'Referensi Harga'!$B:$B,0)),
        $G294="Hollow Stainless",
            INDEX('Referensi Harga'!$D:$D,
                  MATCH($F294&amp;$C294,'Referensi Harga'!$A:$A&amp;'Referensi Harga'!$B:$B,0)),
        $G294="Pipa Stainless",
            INDEX('Referensi Harga'!$E:$E,
                  MATCH($F294&amp;$C294,'Referensi Harga'!$A:$A&amp;'Referensi Harga'!$B:$B,0))
     ),0)
  + IFERROR(VLOOKUP($H294,'Profile Size'!$A:$B,2,FALSE),0)
  + IFERROR(VLOOKUP($I294,'Ketebalan Material'!$A:$B,2,FALSE),0),
0)</f>
        <v>0</v>
      </c>
      <c r="O294">
        <f>IF($M294="PER-M",
  IFERROR(
    IF($G294="Hollow",
       INDEX('Referensi Harga'!$C:$C, MATCH($F294 &amp; "|" &amp; $C294, 'Referensi Harga'!$F:$F, 0)),
    IF($G294="Hollow Stainless",
       INDEX('Referensi Harga'!$D:$D, MATCH($F294 &amp; "|" &amp; $C294, 'Referensi Harga'!$F:$F, 0)),
       INDEX('Referensi Harga'!$E:$E, MATCH($F294 &amp; "|" &amp; $C294, 'Referensi Harga'!$F:$F, 0))
    ))
    + IFERROR(VLOOKUP($H294, 'Profile Size'!$A:$B, 2, FALSE), 0)
    + IFERROR(VLOOKUP($I294, 'Ketebalan Material'!$A:$B, 2, FALSE), 0), 0),
0)</f>
        <v>1150000</v>
      </c>
      <c r="P294" cm="1">
        <f t="array" ref="P294">IF($M294="PER-LUBANG",
  IFERROR(
     _xlfn.IFS(
        $G294="Hollow",
            INDEX('Referensi Harga'!$C:$C,
                  MATCH($F294&amp;$C294,'Referensi Harga'!$A:$A&amp;'Referensi Harga'!$B:$B,0)),
        $G294="Hollow Stainless",
            INDEX('Referensi Harga'!$D:$D,
                  MATCH($F294&amp;$C294,'Referensi Harga'!$A:$A&amp;'Referensi Harga'!$B:$B,0)),
        $G294="Pipa Stainless",
            INDEX('Referensi Harga'!$E:$E,
                  MATCH($F294&amp;$C294,'Referensi Harga'!$A:$A&amp;'Referensi Harga'!$B:$B,0))
     ),0)
  + IFERROR(VLOOKUP($H294,'Profile Size'!$A:$B,2,FALSE),0)
  + IFERROR(VLOOKUP($I294,'Ketebalan Material'!$A:$B,2,FALSE),0),
0)</f>
        <v>0</v>
      </c>
      <c r="Q294">
        <f>IF($M294="PER-M2",
    IFERROR(
        SUMIFS('Upah Tenaga Ahli'!$C:$C,
               'Upah Tenaga Ahli'!$A:$A,"PER-M2",
               'Upah Tenaga Ahli'!$B:$B,$G294
        ) * $J294 * $K294,
    0),
IF($M294="PER-LUBANG",
    IFERROR(
        SUMIFS('Upah Tenaga Ahli'!$D:$D,
               'Upah Tenaga Ahli'!$A:$A,"PER-LUBANG",
               'Upah Tenaga Ahli'!$B:$B,$G294
        ) * $L294 * $K294,
    0),
IF($M294="PER-M",
    IFERROR(
        SUMIFS('Upah Tenaga Ahli'!$E:$E,
               'Upah Tenaga Ahli'!$A:$A,"PER-M",
               'Upah Tenaga Ahli'!$B:$B,$G294
        ) * $J294 * $K294,
    0),
0)))</f>
        <v>598500</v>
      </c>
      <c r="R294" t="s">
        <v>617</v>
      </c>
      <c r="S294" t="s">
        <v>24</v>
      </c>
      <c r="T294">
        <f>IF($M294="PER-M2",
   ($N294 * $J294 * $K294)
   + IFERROR(VLOOKUP($R294,Finishing!A:B,2,FALSE),0)
   + IFERROR(VLOOKUP($S294,Kerumitan!A:B,2,FALSE),0),
IF($M294="PER-LUBANG",
   ($P294 * $L294 * $K294)
   + IFERROR(VLOOKUP($R294,Finishing!A:B,2,FALSE),0)
   + IFERROR(VLOOKUP($S294,Kerumitan!A:B,2,FALSE),0),
IF($M294="PER-M",
   ($O294 * $J294 * $K294)
   + IFERROR(VLOOKUP($R294,Finishing!A:B,2,FALSE),0)
   + IFERROR(VLOOKUP($S294,Kerumitan!A:B,2,FALSE),0),
0)))</f>
        <v>4688500</v>
      </c>
    </row>
    <row r="295" spans="1:20" x14ac:dyDescent="0.45">
      <c r="A295" t="s">
        <v>392</v>
      </c>
      <c r="B295" s="5">
        <v>45797</v>
      </c>
      <c r="C295">
        <f t="shared" si="4"/>
        <v>2025</v>
      </c>
      <c r="D295" t="s">
        <v>49</v>
      </c>
      <c r="E295" t="s">
        <v>32</v>
      </c>
      <c r="F295" t="s">
        <v>4</v>
      </c>
      <c r="G295" t="s">
        <v>13</v>
      </c>
      <c r="H295" t="s">
        <v>33</v>
      </c>
      <c r="I295">
        <v>1</v>
      </c>
      <c r="J295">
        <v>20.78</v>
      </c>
      <c r="K295">
        <v>1</v>
      </c>
      <c r="L295">
        <v>0</v>
      </c>
      <c r="M295" t="str" cm="1">
        <f t="array" ref="M295">_xlfn.IFS(
   OR($F295="Pagar", $F295="Pintu Gerbang", $F295="Pintu Handerson", $F295="Kanopi"), "PER-M2",
   $F295="Teralis", "PER-LUBANG",
   OR($F295="Railing", $F295="Railing/Balkon"), "PER-M",
   TRUE, ""
)</f>
        <v>PER-M2</v>
      </c>
      <c r="N295" cm="1">
        <f t="array" ref="N295">IF($M295="PER-M2",
  IFERROR(
     _xlfn.IFS(
        $G295="Hollow",
            INDEX('Referensi Harga'!$C:$C,
                  MATCH($F295&amp;$C295,'Referensi Harga'!$A:$A&amp;'Referensi Harga'!$B:$B,0)),
        $G295="Hollow Stainless",
            INDEX('Referensi Harga'!$D:$D,
                  MATCH($F295&amp;$C295,'Referensi Harga'!$A:$A&amp;'Referensi Harga'!$B:$B,0)),
        $G295="Pipa Stainless",
            INDEX('Referensi Harga'!$E:$E,
                  MATCH($F295&amp;$C295,'Referensi Harga'!$A:$A&amp;'Referensi Harga'!$B:$B,0))
     ),0)
  + IFERROR(VLOOKUP($H295,'Profile Size'!$A:$B,2,FALSE),0)
  + IFERROR(VLOOKUP($I295,'Ketebalan Material'!$A:$B,2,FALSE),0),
0)</f>
        <v>650000</v>
      </c>
      <c r="O295">
        <f>IF($M295="PER-M",
  IFERROR(
    IF($G295="Hollow",
       INDEX('Referensi Harga'!$C:$C, MATCH($F295 &amp; "|" &amp; $C295, 'Referensi Harga'!$F:$F, 0)),
    IF($G295="Hollow Stainless",
       INDEX('Referensi Harga'!$D:$D, MATCH($F295 &amp; "|" &amp; $C295, 'Referensi Harga'!$F:$F, 0)),
       INDEX('Referensi Harga'!$E:$E, MATCH($F295 &amp; "|" &amp; $C295, 'Referensi Harga'!$F:$F, 0))
    ))
    + IFERROR(VLOOKUP($H295, 'Profile Size'!$A:$B, 2, FALSE), 0)
    + IFERROR(VLOOKUP($I295, 'Ketebalan Material'!$A:$B, 2, FALSE), 0), 0),
0)</f>
        <v>0</v>
      </c>
      <c r="P295" cm="1">
        <f t="array" ref="P295">IF($M295="PER-LUBANG",
  IFERROR(
     _xlfn.IFS(
        $G295="Hollow",
            INDEX('Referensi Harga'!$C:$C,
                  MATCH($F295&amp;$C295,'Referensi Harga'!$A:$A&amp;'Referensi Harga'!$B:$B,0)),
        $G295="Hollow Stainless",
            INDEX('Referensi Harga'!$D:$D,
                  MATCH($F295&amp;$C295,'Referensi Harga'!$A:$A&amp;'Referensi Harga'!$B:$B,0)),
        $G295="Pipa Stainless",
            INDEX('Referensi Harga'!$E:$E,
                  MATCH($F295&amp;$C295,'Referensi Harga'!$A:$A&amp;'Referensi Harga'!$B:$B,0))
     ),0)
  + IFERROR(VLOOKUP($H295,'Profile Size'!$A:$B,2,FALSE),0)
  + IFERROR(VLOOKUP($I295,'Ketebalan Material'!$A:$B,2,FALSE),0),
0)</f>
        <v>0</v>
      </c>
      <c r="Q295">
        <f>IF($M295="PER-M2",
    IFERROR(
        SUMIFS('Upah Tenaga Ahli'!$C:$C,
               'Upah Tenaga Ahli'!$A:$A,"PER-M2",
               'Upah Tenaga Ahli'!$B:$B,$G295
        ) * $J295 * $K295,
    0),
IF($M295="PER-LUBANG",
    IFERROR(
        SUMIFS('Upah Tenaga Ahli'!$D:$D,
               'Upah Tenaga Ahli'!$A:$A,"PER-LUBANG",
               'Upah Tenaga Ahli'!$B:$B,$G295
        ) * $L295 * $K295,
    0),
IF($M295="PER-M",
    IFERROR(
        SUMIFS('Upah Tenaga Ahli'!$E:$E,
               'Upah Tenaga Ahli'!$A:$A,"PER-M",
               'Upah Tenaga Ahli'!$B:$B,$G295
        ) * $J295 * $K295,
    0),
0)))</f>
        <v>2078000</v>
      </c>
      <c r="R295" t="s">
        <v>19</v>
      </c>
      <c r="S295" t="s">
        <v>24</v>
      </c>
      <c r="T295">
        <f>IF($M295="PER-M2",
   ($N295 * $J295 * $K295)
   + IFERROR(VLOOKUP($R295,Finishing!A:B,2,FALSE),0)
   + IFERROR(VLOOKUP($S295,Kerumitan!A:B,2,FALSE),0),
IF($M295="PER-LUBANG",
   ($P295 * $L295 * $K295)
   + IFERROR(VLOOKUP($R295,Finishing!A:B,2,FALSE),0)
   + IFERROR(VLOOKUP($S295,Kerumitan!A:B,2,FALSE),0),
IF($M295="PER-M",
   ($O295 * $J295 * $K295)
   + IFERROR(VLOOKUP($R295,Finishing!A:B,2,FALSE),0)
   + IFERROR(VLOOKUP($S295,Kerumitan!A:B,2,FALSE),0),
0)))</f>
        <v>13657000</v>
      </c>
    </row>
    <row r="296" spans="1:20" x14ac:dyDescent="0.45">
      <c r="A296" t="s">
        <v>393</v>
      </c>
      <c r="B296" s="5">
        <v>43889</v>
      </c>
      <c r="C296">
        <f t="shared" si="4"/>
        <v>2020</v>
      </c>
      <c r="D296" t="s">
        <v>103</v>
      </c>
      <c r="E296" t="s">
        <v>38</v>
      </c>
      <c r="F296" t="s">
        <v>6</v>
      </c>
      <c r="G296" t="s">
        <v>14</v>
      </c>
      <c r="H296" t="s">
        <v>615</v>
      </c>
      <c r="I296">
        <v>1</v>
      </c>
      <c r="J296">
        <v>14.19</v>
      </c>
      <c r="K296">
        <v>2</v>
      </c>
      <c r="L296">
        <v>0</v>
      </c>
      <c r="M296" t="str" cm="1">
        <f t="array" ref="M296">_xlfn.IFS(
   OR($F296="Pagar", $F296="Pintu Gerbang", $F296="Pintu Handerson", $F296="Kanopi"), "PER-M2",
   $F296="Teralis", "PER-LUBANG",
   OR($F296="Railing", $F296="Railing/Balkon"), "PER-M",
   TRUE, ""
)</f>
        <v>PER-M2</v>
      </c>
      <c r="N296" cm="1">
        <f t="array" ref="N296">IF($M296="PER-M2",
  IFERROR(
     _xlfn.IFS(
        $G296="Hollow",
            INDEX('Referensi Harga'!$C:$C,
                  MATCH($F296&amp;$C296,'Referensi Harga'!$A:$A&amp;'Referensi Harga'!$B:$B,0)),
        $G296="Hollow Stainless",
            INDEX('Referensi Harga'!$D:$D,
                  MATCH($F296&amp;$C296,'Referensi Harga'!$A:$A&amp;'Referensi Harga'!$B:$B,0)),
        $G296="Pipa Stainless",
            INDEX('Referensi Harga'!$E:$E,
                  MATCH($F296&amp;$C296,'Referensi Harga'!$A:$A&amp;'Referensi Harga'!$B:$B,0))
     ),0)
  + IFERROR(VLOOKUP($H296,'Profile Size'!$A:$B,2,FALSE),0)
  + IFERROR(VLOOKUP($I296,'Ketebalan Material'!$A:$B,2,FALSE),0),
0)</f>
        <v>780000</v>
      </c>
      <c r="O296">
        <f>IF($M296="PER-M",
  IFERROR(
    IF($G296="Hollow",
       INDEX('Referensi Harga'!$C:$C, MATCH($F296 &amp; "|" &amp; $C296, 'Referensi Harga'!$F:$F, 0)),
    IF($G296="Hollow Stainless",
       INDEX('Referensi Harga'!$D:$D, MATCH($F296 &amp; "|" &amp; $C296, 'Referensi Harga'!$F:$F, 0)),
       INDEX('Referensi Harga'!$E:$E, MATCH($F296 &amp; "|" &amp; $C296, 'Referensi Harga'!$F:$F, 0))
    ))
    + IFERROR(VLOOKUP($H296, 'Profile Size'!$A:$B, 2, FALSE), 0)
    + IFERROR(VLOOKUP($I296, 'Ketebalan Material'!$A:$B, 2, FALSE), 0), 0),
0)</f>
        <v>0</v>
      </c>
      <c r="P296" cm="1">
        <f t="array" ref="P296">IF($M296="PER-LUBANG",
  IFERROR(
     _xlfn.IFS(
        $G296="Hollow",
            INDEX('Referensi Harga'!$C:$C,
                  MATCH($F296&amp;$C296,'Referensi Harga'!$A:$A&amp;'Referensi Harga'!$B:$B,0)),
        $G296="Hollow Stainless",
            INDEX('Referensi Harga'!$D:$D,
                  MATCH($F296&amp;$C296,'Referensi Harga'!$A:$A&amp;'Referensi Harga'!$B:$B,0)),
        $G296="Pipa Stainless",
            INDEX('Referensi Harga'!$E:$E,
                  MATCH($F296&amp;$C296,'Referensi Harga'!$A:$A&amp;'Referensi Harga'!$B:$B,0))
     ),0)
  + IFERROR(VLOOKUP($H296,'Profile Size'!$A:$B,2,FALSE),0)
  + IFERROR(VLOOKUP($I296,'Ketebalan Material'!$A:$B,2,FALSE),0),
0)</f>
        <v>0</v>
      </c>
      <c r="Q296">
        <f>IF($M296="PER-M2",
    IFERROR(
        SUMIFS('Upah Tenaga Ahli'!$C:$C,
               'Upah Tenaga Ahli'!$A:$A,"PER-M2",
               'Upah Tenaga Ahli'!$B:$B,$G296
        ) * $J296 * $K296,
    0),
IF($M296="PER-LUBANG",
    IFERROR(
        SUMIFS('Upah Tenaga Ahli'!$D:$D,
               'Upah Tenaga Ahli'!$A:$A,"PER-LUBANG",
               'Upah Tenaga Ahli'!$B:$B,$G296
        ) * $L296 * $K296,
    0),
IF($M296="PER-M",
    IFERROR(
        SUMIFS('Upah Tenaga Ahli'!$E:$E,
               'Upah Tenaga Ahli'!$A:$A,"PER-M",
               'Upah Tenaga Ahli'!$B:$B,$G296
        ) * $J296 * $K296,
    0),
0)))</f>
        <v>5676000</v>
      </c>
      <c r="R296" t="s">
        <v>617</v>
      </c>
      <c r="S296" t="s">
        <v>25</v>
      </c>
      <c r="T296">
        <f>IF($M296="PER-M2",
   ($N296 * $J296 * $K296)
   + IFERROR(VLOOKUP($R296,Finishing!A:B,2,FALSE),0)
   + IFERROR(VLOOKUP($S296,Kerumitan!A:B,2,FALSE),0),
IF($M296="PER-LUBANG",
   ($P296 * $L296 * $K296)
   + IFERROR(VLOOKUP($R296,Finishing!A:B,2,FALSE),0)
   + IFERROR(VLOOKUP($S296,Kerumitan!A:B,2,FALSE),0),
IF($M296="PER-M",
   ($O296 * $J296 * $K296)
   + IFERROR(VLOOKUP($R296,Finishing!A:B,2,FALSE),0)
   + IFERROR(VLOOKUP($S296,Kerumitan!A:B,2,FALSE),0),
0)))</f>
        <v>22286400</v>
      </c>
    </row>
    <row r="297" spans="1:20" x14ac:dyDescent="0.45">
      <c r="A297" t="s">
        <v>394</v>
      </c>
      <c r="B297" s="5">
        <v>45790</v>
      </c>
      <c r="C297">
        <f t="shared" si="4"/>
        <v>2025</v>
      </c>
      <c r="D297" t="s">
        <v>65</v>
      </c>
      <c r="E297" t="s">
        <v>41</v>
      </c>
      <c r="F297" t="s">
        <v>4</v>
      </c>
      <c r="G297" t="s">
        <v>15</v>
      </c>
      <c r="H297" t="s">
        <v>46</v>
      </c>
      <c r="I297">
        <v>0.8</v>
      </c>
      <c r="J297">
        <v>9.41</v>
      </c>
      <c r="K297">
        <v>1</v>
      </c>
      <c r="L297">
        <v>0</v>
      </c>
      <c r="M297" t="str" cm="1">
        <f t="array" ref="M297">_xlfn.IFS(
   OR($F297="Pagar", $F297="Pintu Gerbang", $F297="Pintu Handerson", $F297="Kanopi"), "PER-M2",
   $F297="Teralis", "PER-LUBANG",
   OR($F297="Railing", $F297="Railing/Balkon"), "PER-M",
   TRUE, ""
)</f>
        <v>PER-M2</v>
      </c>
      <c r="N297" cm="1">
        <f t="array" ref="N297">IF($M297="PER-M2",
  IFERROR(
     _xlfn.IFS(
        $G297="Hollow",
            INDEX('Referensi Harga'!$C:$C,
                  MATCH($F297&amp;$C297,'Referensi Harga'!$A:$A&amp;'Referensi Harga'!$B:$B,0)),
        $G297="Hollow Stainless",
            INDEX('Referensi Harga'!$D:$D,
                  MATCH($F297&amp;$C297,'Referensi Harga'!$A:$A&amp;'Referensi Harga'!$B:$B,0)),
        $G297="Pipa Stainless",
            INDEX('Referensi Harga'!$E:$E,
                  MATCH($F297&amp;$C297,'Referensi Harga'!$A:$A&amp;'Referensi Harga'!$B:$B,0))
     ),0)
  + IFERROR(VLOOKUP($H297,'Profile Size'!$A:$B,2,FALSE),0)
  + IFERROR(VLOOKUP($I297,'Ketebalan Material'!$A:$B,2,FALSE),0),
0)</f>
        <v>1250000</v>
      </c>
      <c r="O297">
        <f>IF($M297="PER-M",
  IFERROR(
    IF($G297="Hollow",
       INDEX('Referensi Harga'!$C:$C, MATCH($F297 &amp; "|" &amp; $C297, 'Referensi Harga'!$F:$F, 0)),
    IF($G297="Hollow Stainless",
       INDEX('Referensi Harga'!$D:$D, MATCH($F297 &amp; "|" &amp; $C297, 'Referensi Harga'!$F:$F, 0)),
       INDEX('Referensi Harga'!$E:$E, MATCH($F297 &amp; "|" &amp; $C297, 'Referensi Harga'!$F:$F, 0))
    ))
    + IFERROR(VLOOKUP($H297, 'Profile Size'!$A:$B, 2, FALSE), 0)
    + IFERROR(VLOOKUP($I297, 'Ketebalan Material'!$A:$B, 2, FALSE), 0), 0),
0)</f>
        <v>0</v>
      </c>
      <c r="P297" cm="1">
        <f t="array" ref="P297">IF($M297="PER-LUBANG",
  IFERROR(
     _xlfn.IFS(
        $G297="Hollow",
            INDEX('Referensi Harga'!$C:$C,
                  MATCH($F297&amp;$C297,'Referensi Harga'!$A:$A&amp;'Referensi Harga'!$B:$B,0)),
        $G297="Hollow Stainless",
            INDEX('Referensi Harga'!$D:$D,
                  MATCH($F297&amp;$C297,'Referensi Harga'!$A:$A&amp;'Referensi Harga'!$B:$B,0)),
        $G297="Pipa Stainless",
            INDEX('Referensi Harga'!$E:$E,
                  MATCH($F297&amp;$C297,'Referensi Harga'!$A:$A&amp;'Referensi Harga'!$B:$B,0))
     ),0)
  + IFERROR(VLOOKUP($H297,'Profile Size'!$A:$B,2,FALSE),0)
  + IFERROR(VLOOKUP($I297,'Ketebalan Material'!$A:$B,2,FALSE),0),
0)</f>
        <v>0</v>
      </c>
      <c r="Q297">
        <f>IF($M297="PER-M2",
    IFERROR(
        SUMIFS('Upah Tenaga Ahli'!$C:$C,
               'Upah Tenaga Ahli'!$A:$A,"PER-M2",
               'Upah Tenaga Ahli'!$B:$B,$G297
        ) * $J297 * $K297,
    0),
IF($M297="PER-LUBANG",
    IFERROR(
        SUMIFS('Upah Tenaga Ahli'!$D:$D,
               'Upah Tenaga Ahli'!$A:$A,"PER-LUBANG",
               'Upah Tenaga Ahli'!$B:$B,$G297
        ) * $L297 * $K297,
    0),
IF($M297="PER-M",
    IFERROR(
        SUMIFS('Upah Tenaga Ahli'!$E:$E,
               'Upah Tenaga Ahli'!$A:$A,"PER-M",
               'Upah Tenaga Ahli'!$B:$B,$G297
        ) * $J297 * $K297,
    0),
0)))</f>
        <v>1411500</v>
      </c>
      <c r="R297" t="s">
        <v>617</v>
      </c>
      <c r="S297" t="s">
        <v>23</v>
      </c>
      <c r="T297">
        <f>IF($M297="PER-M2",
   ($N297 * $J297 * $K297)
   + IFERROR(VLOOKUP($R297,Finishing!A:B,2,FALSE),0)
   + IFERROR(VLOOKUP($S297,Kerumitan!A:B,2,FALSE),0),
IF($M297="PER-LUBANG",
   ($P297 * $L297 * $K297)
   + IFERROR(VLOOKUP($R297,Finishing!A:B,2,FALSE),0)
   + IFERROR(VLOOKUP($S297,Kerumitan!A:B,2,FALSE),0),
IF($M297="PER-M",
   ($O297 * $J297 * $K297)
   + IFERROR(VLOOKUP($R297,Finishing!A:B,2,FALSE),0)
   + IFERROR(VLOOKUP($S297,Kerumitan!A:B,2,FALSE),0),
0)))</f>
        <v>11762500</v>
      </c>
    </row>
    <row r="298" spans="1:20" x14ac:dyDescent="0.45">
      <c r="A298" t="s">
        <v>395</v>
      </c>
      <c r="B298" s="5">
        <v>44777</v>
      </c>
      <c r="C298">
        <f t="shared" si="4"/>
        <v>2022</v>
      </c>
      <c r="D298" t="s">
        <v>96</v>
      </c>
      <c r="E298" t="s">
        <v>38</v>
      </c>
      <c r="F298" t="s">
        <v>7</v>
      </c>
      <c r="G298" t="s">
        <v>13</v>
      </c>
      <c r="H298" t="s">
        <v>33</v>
      </c>
      <c r="I298">
        <v>1</v>
      </c>
      <c r="J298">
        <v>7.07</v>
      </c>
      <c r="K298">
        <v>1</v>
      </c>
      <c r="L298">
        <v>0</v>
      </c>
      <c r="M298" t="str" cm="1">
        <f t="array" ref="M298">_xlfn.IFS(
   OR($F298="Pagar", $F298="Pintu Gerbang", $F298="Pintu Handerson", $F298="Kanopi"), "PER-M2",
   $F298="Teralis", "PER-LUBANG",
   OR($F298="Railing", $F298="Railing/Balkon"), "PER-M",
   TRUE, ""
)</f>
        <v>PER-M2</v>
      </c>
      <c r="N298" cm="1">
        <f t="array" ref="N298">IF($M298="PER-M2",
  IFERROR(
     _xlfn.IFS(
        $G298="Hollow",
            INDEX('Referensi Harga'!$C:$C,
                  MATCH($F298&amp;$C298,'Referensi Harga'!$A:$A&amp;'Referensi Harga'!$B:$B,0)),
        $G298="Hollow Stainless",
            INDEX('Referensi Harga'!$D:$D,
                  MATCH($F298&amp;$C298,'Referensi Harga'!$A:$A&amp;'Referensi Harga'!$B:$B,0)),
        $G298="Pipa Stainless",
            INDEX('Referensi Harga'!$E:$E,
                  MATCH($F298&amp;$C298,'Referensi Harga'!$A:$A&amp;'Referensi Harga'!$B:$B,0))
     ),0)
  + IFERROR(VLOOKUP($H298,'Profile Size'!$A:$B,2,FALSE),0)
  + IFERROR(VLOOKUP($I298,'Ketebalan Material'!$A:$B,2,FALSE),0),
0)</f>
        <v>700000</v>
      </c>
      <c r="O298">
        <f>IF($M298="PER-M",
  IFERROR(
    IF($G298="Hollow",
       INDEX('Referensi Harga'!$C:$C, MATCH($F298 &amp; "|" &amp; $C298, 'Referensi Harga'!$F:$F, 0)),
    IF($G298="Hollow Stainless",
       INDEX('Referensi Harga'!$D:$D, MATCH($F298 &amp; "|" &amp; $C298, 'Referensi Harga'!$F:$F, 0)),
       INDEX('Referensi Harga'!$E:$E, MATCH($F298 &amp; "|" &amp; $C298, 'Referensi Harga'!$F:$F, 0))
    ))
    + IFERROR(VLOOKUP($H298, 'Profile Size'!$A:$B, 2, FALSE), 0)
    + IFERROR(VLOOKUP($I298, 'Ketebalan Material'!$A:$B, 2, FALSE), 0), 0),
0)</f>
        <v>0</v>
      </c>
      <c r="P298" cm="1">
        <f t="array" ref="P298">IF($M298="PER-LUBANG",
  IFERROR(
     _xlfn.IFS(
        $G298="Hollow",
            INDEX('Referensi Harga'!$C:$C,
                  MATCH($F298&amp;$C298,'Referensi Harga'!$A:$A&amp;'Referensi Harga'!$B:$B,0)),
        $G298="Hollow Stainless",
            INDEX('Referensi Harga'!$D:$D,
                  MATCH($F298&amp;$C298,'Referensi Harga'!$A:$A&amp;'Referensi Harga'!$B:$B,0)),
        $G298="Pipa Stainless",
            INDEX('Referensi Harga'!$E:$E,
                  MATCH($F298&amp;$C298,'Referensi Harga'!$A:$A&amp;'Referensi Harga'!$B:$B,0))
     ),0)
  + IFERROR(VLOOKUP($H298,'Profile Size'!$A:$B,2,FALSE),0)
  + IFERROR(VLOOKUP($I298,'Ketebalan Material'!$A:$B,2,FALSE),0),
0)</f>
        <v>0</v>
      </c>
      <c r="Q298">
        <f>IF($M298="PER-M2",
    IFERROR(
        SUMIFS('Upah Tenaga Ahli'!$C:$C,
               'Upah Tenaga Ahli'!$A:$A,"PER-M2",
               'Upah Tenaga Ahli'!$B:$B,$G298
        ) * $J298 * $K298,
    0),
IF($M298="PER-LUBANG",
    IFERROR(
        SUMIFS('Upah Tenaga Ahli'!$D:$D,
               'Upah Tenaga Ahli'!$A:$A,"PER-LUBANG",
               'Upah Tenaga Ahli'!$B:$B,$G298
        ) * $L298 * $K298,
    0),
IF($M298="PER-M",
    IFERROR(
        SUMIFS('Upah Tenaga Ahli'!$E:$E,
               'Upah Tenaga Ahli'!$A:$A,"PER-M",
               'Upah Tenaga Ahli'!$B:$B,$G298
        ) * $J298 * $K298,
    0),
0)))</f>
        <v>707000</v>
      </c>
      <c r="R298" t="s">
        <v>18</v>
      </c>
      <c r="S298" t="s">
        <v>25</v>
      </c>
      <c r="T298">
        <f>IF($M298="PER-M2",
   ($N298 * $J298 * $K298)
   + IFERROR(VLOOKUP($R298,Finishing!A:B,2,FALSE),0)
   + IFERROR(VLOOKUP($S298,Kerumitan!A:B,2,FALSE),0),
IF($M298="PER-LUBANG",
   ($P298 * $L298 * $K298)
   + IFERROR(VLOOKUP($R298,Finishing!A:B,2,FALSE),0)
   + IFERROR(VLOOKUP($S298,Kerumitan!A:B,2,FALSE),0),
IF($M298="PER-M",
   ($O298 * $J298 * $K298)
   + IFERROR(VLOOKUP($R298,Finishing!A:B,2,FALSE),0)
   + IFERROR(VLOOKUP($S298,Kerumitan!A:B,2,FALSE),0),
0)))</f>
        <v>5099000</v>
      </c>
    </row>
    <row r="299" spans="1:20" x14ac:dyDescent="0.45">
      <c r="A299" t="s">
        <v>396</v>
      </c>
      <c r="B299" s="5">
        <v>45492</v>
      </c>
      <c r="C299">
        <f t="shared" si="4"/>
        <v>2024</v>
      </c>
      <c r="D299" t="s">
        <v>37</v>
      </c>
      <c r="E299" t="s">
        <v>28</v>
      </c>
      <c r="F299" t="s">
        <v>4</v>
      </c>
      <c r="G299" t="s">
        <v>13</v>
      </c>
      <c r="H299" t="s">
        <v>46</v>
      </c>
      <c r="I299">
        <v>0.8</v>
      </c>
      <c r="J299">
        <v>16.600000000000001</v>
      </c>
      <c r="K299">
        <v>1</v>
      </c>
      <c r="L299">
        <v>0</v>
      </c>
      <c r="M299" t="str" cm="1">
        <f t="array" ref="M299">_xlfn.IFS(
   OR($F299="Pagar", $F299="Pintu Gerbang", $F299="Pintu Handerson", $F299="Kanopi"), "PER-M2",
   $F299="Teralis", "PER-LUBANG",
   OR($F299="Railing", $F299="Railing/Balkon"), "PER-M",
   TRUE, ""
)</f>
        <v>PER-M2</v>
      </c>
      <c r="N299" cm="1">
        <f t="array" ref="N299">IF($M299="PER-M2",
  IFERROR(
     _xlfn.IFS(
        $G299="Hollow",
            INDEX('Referensi Harga'!$C:$C,
                  MATCH($F299&amp;$C299,'Referensi Harga'!$A:$A&amp;'Referensi Harga'!$B:$B,0)),
        $G299="Hollow Stainless",
            INDEX('Referensi Harga'!$D:$D,
                  MATCH($F299&amp;$C299,'Referensi Harga'!$A:$A&amp;'Referensi Harga'!$B:$B,0)),
        $G299="Pipa Stainless",
            INDEX('Referensi Harga'!$E:$E,
                  MATCH($F299&amp;$C299,'Referensi Harga'!$A:$A&amp;'Referensi Harga'!$B:$B,0))
     ),0)
  + IFERROR(VLOOKUP($H299,'Profile Size'!$A:$B,2,FALSE),0)
  + IFERROR(VLOOKUP($I299,'Ketebalan Material'!$A:$B,2,FALSE),0),
0)</f>
        <v>600000</v>
      </c>
      <c r="O299">
        <f>IF($M299="PER-M",
  IFERROR(
    IF($G299="Hollow",
       INDEX('Referensi Harga'!$C:$C, MATCH($F299 &amp; "|" &amp; $C299, 'Referensi Harga'!$F:$F, 0)),
    IF($G299="Hollow Stainless",
       INDEX('Referensi Harga'!$D:$D, MATCH($F299 &amp; "|" &amp; $C299, 'Referensi Harga'!$F:$F, 0)),
       INDEX('Referensi Harga'!$E:$E, MATCH($F299 &amp; "|" &amp; $C299, 'Referensi Harga'!$F:$F, 0))
    ))
    + IFERROR(VLOOKUP($H299, 'Profile Size'!$A:$B, 2, FALSE), 0)
    + IFERROR(VLOOKUP($I299, 'Ketebalan Material'!$A:$B, 2, FALSE), 0), 0),
0)</f>
        <v>0</v>
      </c>
      <c r="P299" cm="1">
        <f t="array" ref="P299">IF($M299="PER-LUBANG",
  IFERROR(
     _xlfn.IFS(
        $G299="Hollow",
            INDEX('Referensi Harga'!$C:$C,
                  MATCH($F299&amp;$C299,'Referensi Harga'!$A:$A&amp;'Referensi Harga'!$B:$B,0)),
        $G299="Hollow Stainless",
            INDEX('Referensi Harga'!$D:$D,
                  MATCH($F299&amp;$C299,'Referensi Harga'!$A:$A&amp;'Referensi Harga'!$B:$B,0)),
        $G299="Pipa Stainless",
            INDEX('Referensi Harga'!$E:$E,
                  MATCH($F299&amp;$C299,'Referensi Harga'!$A:$A&amp;'Referensi Harga'!$B:$B,0))
     ),0)
  + IFERROR(VLOOKUP($H299,'Profile Size'!$A:$B,2,FALSE),0)
  + IFERROR(VLOOKUP($I299,'Ketebalan Material'!$A:$B,2,FALSE),0),
0)</f>
        <v>0</v>
      </c>
      <c r="Q299">
        <f>IF($M299="PER-M2",
    IFERROR(
        SUMIFS('Upah Tenaga Ahli'!$C:$C,
               'Upah Tenaga Ahli'!$A:$A,"PER-M2",
               'Upah Tenaga Ahli'!$B:$B,$G299
        ) * $J299 * $K299,
    0),
IF($M299="PER-LUBANG",
    IFERROR(
        SUMIFS('Upah Tenaga Ahli'!$D:$D,
               'Upah Tenaga Ahli'!$A:$A,"PER-LUBANG",
               'Upah Tenaga Ahli'!$B:$B,$G299
        ) * $L299 * $K299,
    0),
IF($M299="PER-M",
    IFERROR(
        SUMIFS('Upah Tenaga Ahli'!$E:$E,
               'Upah Tenaga Ahli'!$A:$A,"PER-M",
               'Upah Tenaga Ahli'!$B:$B,$G299
        ) * $J299 * $K299,
    0),
0)))</f>
        <v>1660000.0000000002</v>
      </c>
      <c r="R299" t="s">
        <v>19</v>
      </c>
      <c r="S299" t="s">
        <v>25</v>
      </c>
      <c r="T299">
        <f>IF($M299="PER-M2",
   ($N299 * $J299 * $K299)
   + IFERROR(VLOOKUP($R299,Finishing!A:B,2,FALSE),0)
   + IFERROR(VLOOKUP($S299,Kerumitan!A:B,2,FALSE),0),
IF($M299="PER-LUBANG",
   ($P299 * $L299 * $K299)
   + IFERROR(VLOOKUP($R299,Finishing!A:B,2,FALSE),0)
   + IFERROR(VLOOKUP($S299,Kerumitan!A:B,2,FALSE),0),
IF($M299="PER-M",
   ($O299 * $J299 * $K299)
   + IFERROR(VLOOKUP($R299,Finishing!A:B,2,FALSE),0)
   + IFERROR(VLOOKUP($S299,Kerumitan!A:B,2,FALSE),0),
0)))</f>
        <v>10160000</v>
      </c>
    </row>
    <row r="300" spans="1:20" x14ac:dyDescent="0.45">
      <c r="A300" t="s">
        <v>397</v>
      </c>
      <c r="B300" s="5">
        <v>45250</v>
      </c>
      <c r="C300">
        <f t="shared" si="4"/>
        <v>2023</v>
      </c>
      <c r="D300" t="s">
        <v>63</v>
      </c>
      <c r="E300" t="s">
        <v>38</v>
      </c>
      <c r="F300" t="s">
        <v>625</v>
      </c>
      <c r="G300" t="s">
        <v>15</v>
      </c>
      <c r="H300" t="s">
        <v>33</v>
      </c>
      <c r="I300">
        <v>1.2</v>
      </c>
      <c r="J300">
        <v>8.58</v>
      </c>
      <c r="K300">
        <v>3</v>
      </c>
      <c r="L300">
        <v>0</v>
      </c>
      <c r="M300" t="str" cm="1">
        <f t="array" ref="M300">_xlfn.IFS(
   OR($F300="Pagar", $F300="Pintu Gerbang", $F300="Pintu Handerson", $F300="Kanopi"), "PER-M2",
   $F300="Teralis", "PER-LUBANG",
   OR($F300="Railing", $F300="Railing/Balkon"), "PER-M",
   TRUE, ""
)</f>
        <v>PER-M</v>
      </c>
      <c r="N300" cm="1">
        <f t="array" ref="N300">IF($M300="PER-M2",
  IFERROR(
     _xlfn.IFS(
        $G300="Hollow",
            INDEX('Referensi Harga'!$C:$C,
                  MATCH($F300&amp;$C300,'Referensi Harga'!$A:$A&amp;'Referensi Harga'!$B:$B,0)),
        $G300="Hollow Stainless",
            INDEX('Referensi Harga'!$D:$D,
                  MATCH($F300&amp;$C300,'Referensi Harga'!$A:$A&amp;'Referensi Harga'!$B:$B,0)),
        $G300="Pipa Stainless",
            INDEX('Referensi Harga'!$E:$E,
                  MATCH($F300&amp;$C300,'Referensi Harga'!$A:$A&amp;'Referensi Harga'!$B:$B,0))
     ),0)
  + IFERROR(VLOOKUP($H300,'Profile Size'!$A:$B,2,FALSE),0)
  + IFERROR(VLOOKUP($I300,'Ketebalan Material'!$A:$B,2,FALSE),0),
0)</f>
        <v>0</v>
      </c>
      <c r="O300">
        <f>IF($M300="PER-M",
  IFERROR(
    IF($G300="Hollow",
       INDEX('Referensi Harga'!$C:$C, MATCH($F300 &amp; "|" &amp; $C300, 'Referensi Harga'!$F:$F, 0)),
    IF($G300="Hollow Stainless",
       INDEX('Referensi Harga'!$D:$D, MATCH($F300 &amp; "|" &amp; $C300, 'Referensi Harga'!$F:$F, 0)),
       INDEX('Referensi Harga'!$E:$E, MATCH($F300 &amp; "|" &amp; $C300, 'Referensi Harga'!$F:$F, 0))
    ))
    + IFERROR(VLOOKUP($H300, 'Profile Size'!$A:$B, 2, FALSE), 0)
    + IFERROR(VLOOKUP($I300, 'Ketebalan Material'!$A:$B, 2, FALSE), 0), 0),
0)</f>
        <v>1250000</v>
      </c>
      <c r="P300" cm="1">
        <f t="array" ref="P300">IF($M300="PER-LUBANG",
  IFERROR(
     _xlfn.IFS(
        $G300="Hollow",
            INDEX('Referensi Harga'!$C:$C,
                  MATCH($F300&amp;$C300,'Referensi Harga'!$A:$A&amp;'Referensi Harga'!$B:$B,0)),
        $G300="Hollow Stainless",
            INDEX('Referensi Harga'!$D:$D,
                  MATCH($F300&amp;$C300,'Referensi Harga'!$A:$A&amp;'Referensi Harga'!$B:$B,0)),
        $G300="Pipa Stainless",
            INDEX('Referensi Harga'!$E:$E,
                  MATCH($F300&amp;$C300,'Referensi Harga'!$A:$A&amp;'Referensi Harga'!$B:$B,0))
     ),0)
  + IFERROR(VLOOKUP($H300,'Profile Size'!$A:$B,2,FALSE),0)
  + IFERROR(VLOOKUP($I300,'Ketebalan Material'!$A:$B,2,FALSE),0),
0)</f>
        <v>0</v>
      </c>
      <c r="Q300">
        <f>IF($M300="PER-M2",
    IFERROR(
        SUMIFS('Upah Tenaga Ahli'!$C:$C,
               'Upah Tenaga Ahli'!$A:$A,"PER-M2",
               'Upah Tenaga Ahli'!$B:$B,$G300
        ) * $J300 * $K300,
    0),
IF($M300="PER-LUBANG",
    IFERROR(
        SUMIFS('Upah Tenaga Ahli'!$D:$D,
               'Upah Tenaga Ahli'!$A:$A,"PER-LUBANG",
               'Upah Tenaga Ahli'!$B:$B,$G300
        ) * $L300 * $K300,
    0),
IF($M300="PER-M",
    IFERROR(
        SUMIFS('Upah Tenaga Ahli'!$E:$E,
               'Upah Tenaga Ahli'!$A:$A,"PER-M",
               'Upah Tenaga Ahli'!$B:$B,$G300
        ) * $J300 * $K300,
    0),
0)))</f>
        <v>3861000</v>
      </c>
      <c r="R300" t="s">
        <v>617</v>
      </c>
      <c r="S300" t="s">
        <v>23</v>
      </c>
      <c r="T300">
        <f>IF($M300="PER-M2",
   ($N300 * $J300 * $K300)
   + IFERROR(VLOOKUP($R300,Finishing!A:B,2,FALSE),0)
   + IFERROR(VLOOKUP($S300,Kerumitan!A:B,2,FALSE),0),
IF($M300="PER-LUBANG",
   ($P300 * $L300 * $K300)
   + IFERROR(VLOOKUP($R300,Finishing!A:B,2,FALSE),0)
   + IFERROR(VLOOKUP($S300,Kerumitan!A:B,2,FALSE),0),
IF($M300="PER-M",
   ($O300 * $J300 * $K300)
   + IFERROR(VLOOKUP($R300,Finishing!A:B,2,FALSE),0)
   + IFERROR(VLOOKUP($S300,Kerumitan!A:B,2,FALSE),0),
0)))</f>
        <v>32175000</v>
      </c>
    </row>
    <row r="301" spans="1:20" x14ac:dyDescent="0.45">
      <c r="A301" t="s">
        <v>398</v>
      </c>
      <c r="B301" s="5">
        <v>45560</v>
      </c>
      <c r="C301">
        <f t="shared" si="4"/>
        <v>2024</v>
      </c>
      <c r="D301" t="s">
        <v>112</v>
      </c>
      <c r="E301" t="s">
        <v>91</v>
      </c>
      <c r="F301" t="s">
        <v>6</v>
      </c>
      <c r="G301" t="s">
        <v>15</v>
      </c>
      <c r="H301" t="s">
        <v>33</v>
      </c>
      <c r="I301">
        <v>0.8</v>
      </c>
      <c r="J301">
        <v>20.36</v>
      </c>
      <c r="K301">
        <v>2</v>
      </c>
      <c r="L301">
        <v>0</v>
      </c>
      <c r="M301" t="str" cm="1">
        <f t="array" ref="M301">_xlfn.IFS(
   OR($F301="Pagar", $F301="Pintu Gerbang", $F301="Pintu Handerson", $F301="Kanopi"), "PER-M2",
   $F301="Teralis", "PER-LUBANG",
   OR($F301="Railing", $F301="Railing/Balkon"), "PER-M",
   TRUE, ""
)</f>
        <v>PER-M2</v>
      </c>
      <c r="N301" cm="1">
        <f t="array" ref="N301">IF($M301="PER-M2",
  IFERROR(
     _xlfn.IFS(
        $G301="Hollow",
            INDEX('Referensi Harga'!$C:$C,
                  MATCH($F301&amp;$C301,'Referensi Harga'!$A:$A&amp;'Referensi Harga'!$B:$B,0)),
        $G301="Hollow Stainless",
            INDEX('Referensi Harga'!$D:$D,
                  MATCH($F301&amp;$C301,'Referensi Harga'!$A:$A&amp;'Referensi Harga'!$B:$B,0)),
        $G301="Pipa Stainless",
            INDEX('Referensi Harga'!$E:$E,
                  MATCH($F301&amp;$C301,'Referensi Harga'!$A:$A&amp;'Referensi Harga'!$B:$B,0))
     ),0)
  + IFERROR(VLOOKUP($H301,'Profile Size'!$A:$B,2,FALSE),0)
  + IFERROR(VLOOKUP($I301,'Ketebalan Material'!$A:$B,2,FALSE),0),
0)</f>
        <v>800000</v>
      </c>
      <c r="O301">
        <f>IF($M301="PER-M",
  IFERROR(
    IF($G301="Hollow",
       INDEX('Referensi Harga'!$C:$C, MATCH($F301 &amp; "|" &amp; $C301, 'Referensi Harga'!$F:$F, 0)),
    IF($G301="Hollow Stainless",
       INDEX('Referensi Harga'!$D:$D, MATCH($F301 &amp; "|" &amp; $C301, 'Referensi Harga'!$F:$F, 0)),
       INDEX('Referensi Harga'!$E:$E, MATCH($F301 &amp; "|" &amp; $C301, 'Referensi Harga'!$F:$F, 0))
    ))
    + IFERROR(VLOOKUP($H301, 'Profile Size'!$A:$B, 2, FALSE), 0)
    + IFERROR(VLOOKUP($I301, 'Ketebalan Material'!$A:$B, 2, FALSE), 0), 0),
0)</f>
        <v>0</v>
      </c>
      <c r="P301" cm="1">
        <f t="array" ref="P301">IF($M301="PER-LUBANG",
  IFERROR(
     _xlfn.IFS(
        $G301="Hollow",
            INDEX('Referensi Harga'!$C:$C,
                  MATCH($F301&amp;$C301,'Referensi Harga'!$A:$A&amp;'Referensi Harga'!$B:$B,0)),
        $G301="Hollow Stainless",
            INDEX('Referensi Harga'!$D:$D,
                  MATCH($F301&amp;$C301,'Referensi Harga'!$A:$A&amp;'Referensi Harga'!$B:$B,0)),
        $G301="Pipa Stainless",
            INDEX('Referensi Harga'!$E:$E,
                  MATCH($F301&amp;$C301,'Referensi Harga'!$A:$A&amp;'Referensi Harga'!$B:$B,0))
     ),0)
  + IFERROR(VLOOKUP($H301,'Profile Size'!$A:$B,2,FALSE),0)
  + IFERROR(VLOOKUP($I301,'Ketebalan Material'!$A:$B,2,FALSE),0),
0)</f>
        <v>0</v>
      </c>
      <c r="Q301">
        <f>IF($M301="PER-M2",
    IFERROR(
        SUMIFS('Upah Tenaga Ahli'!$C:$C,
               'Upah Tenaga Ahli'!$A:$A,"PER-M2",
               'Upah Tenaga Ahli'!$B:$B,$G301
        ) * $J301 * $K301,
    0),
IF($M301="PER-LUBANG",
    IFERROR(
        SUMIFS('Upah Tenaga Ahli'!$D:$D,
               'Upah Tenaga Ahli'!$A:$A,"PER-LUBANG",
               'Upah Tenaga Ahli'!$B:$B,$G301
        ) * $L301 * $K301,
    0),
IF($M301="PER-M",
    IFERROR(
        SUMIFS('Upah Tenaga Ahli'!$E:$E,
               'Upah Tenaga Ahli'!$A:$A,"PER-M",
               'Upah Tenaga Ahli'!$B:$B,$G301
        ) * $J301 * $K301,
    0),
0)))</f>
        <v>6108000</v>
      </c>
      <c r="R301" t="s">
        <v>617</v>
      </c>
      <c r="S301" t="s">
        <v>23</v>
      </c>
      <c r="T301">
        <f>IF($M301="PER-M2",
   ($N301 * $J301 * $K301)
   + IFERROR(VLOOKUP($R301,Finishing!A:B,2,FALSE),0)
   + IFERROR(VLOOKUP($S301,Kerumitan!A:B,2,FALSE),0),
IF($M301="PER-LUBANG",
   ($P301 * $L301 * $K301)
   + IFERROR(VLOOKUP($R301,Finishing!A:B,2,FALSE),0)
   + IFERROR(VLOOKUP($S301,Kerumitan!A:B,2,FALSE),0),
IF($M301="PER-M",
   ($O301 * $J301 * $K301)
   + IFERROR(VLOOKUP($R301,Finishing!A:B,2,FALSE),0)
   + IFERROR(VLOOKUP($S301,Kerumitan!A:B,2,FALSE),0),
0)))</f>
        <v>32576000</v>
      </c>
    </row>
    <row r="302" spans="1:20" x14ac:dyDescent="0.45">
      <c r="A302" t="s">
        <v>399</v>
      </c>
      <c r="B302" s="5">
        <v>45270</v>
      </c>
      <c r="C302">
        <f t="shared" si="4"/>
        <v>2023</v>
      </c>
      <c r="D302" t="s">
        <v>59</v>
      </c>
      <c r="E302" t="s">
        <v>41</v>
      </c>
      <c r="F302" t="s">
        <v>6</v>
      </c>
      <c r="G302" t="s">
        <v>13</v>
      </c>
      <c r="H302" t="s">
        <v>35</v>
      </c>
      <c r="I302">
        <v>1</v>
      </c>
      <c r="J302">
        <v>15.29</v>
      </c>
      <c r="K302">
        <v>1</v>
      </c>
      <c r="L302">
        <v>0</v>
      </c>
      <c r="M302" t="str" cm="1">
        <f t="array" ref="M302">_xlfn.IFS(
   OR($F302="Pagar", $F302="Pintu Gerbang", $F302="Pintu Handerson", $F302="Kanopi"), "PER-M2",
   $F302="Teralis", "PER-LUBANG",
   OR($F302="Railing", $F302="Railing/Balkon"), "PER-M",
   TRUE, ""
)</f>
        <v>PER-M2</v>
      </c>
      <c r="N302" cm="1">
        <f t="array" ref="N302">IF($M302="PER-M2",
  IFERROR(
     _xlfn.IFS(
        $G302="Hollow",
            INDEX('Referensi Harga'!$C:$C,
                  MATCH($F302&amp;$C302,'Referensi Harga'!$A:$A&amp;'Referensi Harga'!$B:$B,0)),
        $G302="Hollow Stainless",
            INDEX('Referensi Harga'!$D:$D,
                  MATCH($F302&amp;$C302,'Referensi Harga'!$A:$A&amp;'Referensi Harga'!$B:$B,0)),
        $G302="Pipa Stainless",
            INDEX('Referensi Harga'!$E:$E,
                  MATCH($F302&amp;$C302,'Referensi Harga'!$A:$A&amp;'Referensi Harga'!$B:$B,0))
     ),0)
  + IFERROR(VLOOKUP($H302,'Profile Size'!$A:$B,2,FALSE),0)
  + IFERROR(VLOOKUP($I302,'Ketebalan Material'!$A:$B,2,FALSE),0),
0)</f>
        <v>570000</v>
      </c>
      <c r="O302">
        <f>IF($M302="PER-M",
  IFERROR(
    IF($G302="Hollow",
       INDEX('Referensi Harga'!$C:$C, MATCH($F302 &amp; "|" &amp; $C302, 'Referensi Harga'!$F:$F, 0)),
    IF($G302="Hollow Stainless",
       INDEX('Referensi Harga'!$D:$D, MATCH($F302 &amp; "|" &amp; $C302, 'Referensi Harga'!$F:$F, 0)),
       INDEX('Referensi Harga'!$E:$E, MATCH($F302 &amp; "|" &amp; $C302, 'Referensi Harga'!$F:$F, 0))
    ))
    + IFERROR(VLOOKUP($H302, 'Profile Size'!$A:$B, 2, FALSE), 0)
    + IFERROR(VLOOKUP($I302, 'Ketebalan Material'!$A:$B, 2, FALSE), 0), 0),
0)</f>
        <v>0</v>
      </c>
      <c r="P302" cm="1">
        <f t="array" ref="P302">IF($M302="PER-LUBANG",
  IFERROR(
     _xlfn.IFS(
        $G302="Hollow",
            INDEX('Referensi Harga'!$C:$C,
                  MATCH($F302&amp;$C302,'Referensi Harga'!$A:$A&amp;'Referensi Harga'!$B:$B,0)),
        $G302="Hollow Stainless",
            INDEX('Referensi Harga'!$D:$D,
                  MATCH($F302&amp;$C302,'Referensi Harga'!$A:$A&amp;'Referensi Harga'!$B:$B,0)),
        $G302="Pipa Stainless",
            INDEX('Referensi Harga'!$E:$E,
                  MATCH($F302&amp;$C302,'Referensi Harga'!$A:$A&amp;'Referensi Harga'!$B:$B,0))
     ),0)
  + IFERROR(VLOOKUP($H302,'Profile Size'!$A:$B,2,FALSE),0)
  + IFERROR(VLOOKUP($I302,'Ketebalan Material'!$A:$B,2,FALSE),0),
0)</f>
        <v>0</v>
      </c>
      <c r="Q302">
        <f>IF($M302="PER-M2",
    IFERROR(
        SUMIFS('Upah Tenaga Ahli'!$C:$C,
               'Upah Tenaga Ahli'!$A:$A,"PER-M2",
               'Upah Tenaga Ahli'!$B:$B,$G302
        ) * $J302 * $K302,
    0),
IF($M302="PER-LUBANG",
    IFERROR(
        SUMIFS('Upah Tenaga Ahli'!$D:$D,
               'Upah Tenaga Ahli'!$A:$A,"PER-LUBANG",
               'Upah Tenaga Ahli'!$B:$B,$G302
        ) * $L302 * $K302,
    0),
IF($M302="PER-M",
    IFERROR(
        SUMIFS('Upah Tenaga Ahli'!$E:$E,
               'Upah Tenaga Ahli'!$A:$A,"PER-M",
               'Upah Tenaga Ahli'!$B:$B,$G302
        ) * $J302 * $K302,
    0),
0)))</f>
        <v>1529000</v>
      </c>
      <c r="R302" t="s">
        <v>18</v>
      </c>
      <c r="S302" t="s">
        <v>25</v>
      </c>
      <c r="T302">
        <f>IF($M302="PER-M2",
   ($N302 * $J302 * $K302)
   + IFERROR(VLOOKUP($R302,Finishing!A:B,2,FALSE),0)
   + IFERROR(VLOOKUP($S302,Kerumitan!A:B,2,FALSE),0),
IF($M302="PER-LUBANG",
   ($P302 * $L302 * $K302)
   + IFERROR(VLOOKUP($R302,Finishing!A:B,2,FALSE),0)
   + IFERROR(VLOOKUP($S302,Kerumitan!A:B,2,FALSE),0),
IF($M302="PER-M",
   ($O302 * $J302 * $K302)
   + IFERROR(VLOOKUP($R302,Finishing!A:B,2,FALSE),0)
   + IFERROR(VLOOKUP($S302,Kerumitan!A:B,2,FALSE),0),
0)))</f>
        <v>8865300</v>
      </c>
    </row>
    <row r="303" spans="1:20" x14ac:dyDescent="0.45">
      <c r="A303" t="s">
        <v>400</v>
      </c>
      <c r="B303" s="5">
        <v>44341</v>
      </c>
      <c r="C303">
        <f t="shared" si="4"/>
        <v>2021</v>
      </c>
      <c r="D303" t="s">
        <v>27</v>
      </c>
      <c r="E303" t="s">
        <v>54</v>
      </c>
      <c r="F303" t="s">
        <v>8</v>
      </c>
      <c r="G303" t="s">
        <v>14</v>
      </c>
      <c r="H303" t="s">
        <v>612</v>
      </c>
      <c r="I303">
        <v>0.8</v>
      </c>
      <c r="J303">
        <v>0</v>
      </c>
      <c r="K303">
        <v>1</v>
      </c>
      <c r="L303">
        <v>14</v>
      </c>
      <c r="M303" t="str" cm="1">
        <f t="array" ref="M303">_xlfn.IFS(
   OR($F303="Pagar", $F303="Pintu Gerbang", $F303="Pintu Handerson", $F303="Kanopi"), "PER-M2",
   $F303="Teralis", "PER-LUBANG",
   OR($F303="Railing", $F303="Railing/Balkon"), "PER-M",
   TRUE, ""
)</f>
        <v>PER-LUBANG</v>
      </c>
      <c r="N303" cm="1">
        <f t="array" ref="N303">IF($M303="PER-M2",
  IFERROR(
     _xlfn.IFS(
        $G303="Hollow",
            INDEX('Referensi Harga'!$C:$C,
                  MATCH($F303&amp;$C303,'Referensi Harga'!$A:$A&amp;'Referensi Harga'!$B:$B,0)),
        $G303="Hollow Stainless",
            INDEX('Referensi Harga'!$D:$D,
                  MATCH($F303&amp;$C303,'Referensi Harga'!$A:$A&amp;'Referensi Harga'!$B:$B,0)),
        $G303="Pipa Stainless",
            INDEX('Referensi Harga'!$E:$E,
                  MATCH($F303&amp;$C303,'Referensi Harga'!$A:$A&amp;'Referensi Harga'!$B:$B,0))
     ),0)
  + IFERROR(VLOOKUP($H303,'Profile Size'!$A:$B,2,FALSE),0)
  + IFERROR(VLOOKUP($I303,'Ketebalan Material'!$A:$B,2,FALSE),0),
0)</f>
        <v>0</v>
      </c>
      <c r="O303">
        <f>IF($M303="PER-M",
  IFERROR(
    IF($G303="Hollow",
       INDEX('Referensi Harga'!$C:$C, MATCH($F303 &amp; "|" &amp; $C303, 'Referensi Harga'!$F:$F, 0)),
    IF($G303="Hollow Stainless",
       INDEX('Referensi Harga'!$D:$D, MATCH($F303 &amp; "|" &amp; $C303, 'Referensi Harga'!$F:$F, 0)),
       INDEX('Referensi Harga'!$E:$E, MATCH($F303 &amp; "|" &amp; $C303, 'Referensi Harga'!$F:$F, 0))
    ))
    + IFERROR(VLOOKUP($H303, 'Profile Size'!$A:$B, 2, FALSE), 0)
    + IFERROR(VLOOKUP($I303, 'Ketebalan Material'!$A:$B, 2, FALSE), 0), 0),
0)</f>
        <v>0</v>
      </c>
      <c r="P303" cm="1">
        <f t="array" ref="P303">IF($M303="PER-LUBANG",
  IFERROR(
     _xlfn.IFS(
        $G303="Hollow",
            INDEX('Referensi Harga'!$C:$C,
                  MATCH($F303&amp;$C303,'Referensi Harga'!$A:$A&amp;'Referensi Harga'!$B:$B,0)),
        $G303="Hollow Stainless",
            INDEX('Referensi Harga'!$D:$D,
                  MATCH($F303&amp;$C303,'Referensi Harga'!$A:$A&amp;'Referensi Harga'!$B:$B,0)),
        $G303="Pipa Stainless",
            INDEX('Referensi Harga'!$E:$E,
                  MATCH($F303&amp;$C303,'Referensi Harga'!$A:$A&amp;'Referensi Harga'!$B:$B,0))
     ),0)
  + IFERROR(VLOOKUP($H303,'Profile Size'!$A:$B,2,FALSE),0)
  + IFERROR(VLOOKUP($I303,'Ketebalan Material'!$A:$B,2,FALSE),0),
0)</f>
        <v>640000</v>
      </c>
      <c r="Q303">
        <f>IF($M303="PER-M2",
    IFERROR(
        SUMIFS('Upah Tenaga Ahli'!$C:$C,
               'Upah Tenaga Ahli'!$A:$A,"PER-M2",
               'Upah Tenaga Ahli'!$B:$B,$G303
        ) * $J303 * $K303,
    0),
IF($M303="PER-LUBANG",
    IFERROR(
        SUMIFS('Upah Tenaga Ahli'!$D:$D,
               'Upah Tenaga Ahli'!$A:$A,"PER-LUBANG",
               'Upah Tenaga Ahli'!$B:$B,$G303
        ) * $L303 * $K303,
    0),
IF($M303="PER-M",
    IFERROR(
        SUMIFS('Upah Tenaga Ahli'!$E:$E,
               'Upah Tenaga Ahli'!$A:$A,"PER-M",
               'Upah Tenaga Ahli'!$B:$B,$G303
        ) * $J303 * $K303,
    0),
0)))</f>
        <v>2100000</v>
      </c>
      <c r="R303" t="s">
        <v>617</v>
      </c>
      <c r="S303" t="s">
        <v>24</v>
      </c>
      <c r="T303">
        <f>IF($M303="PER-M2",
   ($N303 * $J303 * $K303)
   + IFERROR(VLOOKUP($R303,Finishing!A:B,2,FALSE),0)
   + IFERROR(VLOOKUP($S303,Kerumitan!A:B,2,FALSE),0),
IF($M303="PER-LUBANG",
   ($P303 * $L303 * $K303)
   + IFERROR(VLOOKUP($R303,Finishing!A:B,2,FALSE),0)
   + IFERROR(VLOOKUP($S303,Kerumitan!A:B,2,FALSE),0),
IF($M303="PER-M",
   ($O303 * $J303 * $K303)
   + IFERROR(VLOOKUP($R303,Finishing!A:B,2,FALSE),0)
   + IFERROR(VLOOKUP($S303,Kerumitan!A:B,2,FALSE),0),
0)))</f>
        <v>9060000</v>
      </c>
    </row>
    <row r="304" spans="1:20" x14ac:dyDescent="0.45">
      <c r="A304" t="s">
        <v>401</v>
      </c>
      <c r="B304" s="5">
        <v>45839</v>
      </c>
      <c r="C304">
        <f t="shared" si="4"/>
        <v>2025</v>
      </c>
      <c r="D304" t="s">
        <v>110</v>
      </c>
      <c r="E304" t="s">
        <v>105</v>
      </c>
      <c r="F304" t="s">
        <v>7</v>
      </c>
      <c r="G304" t="s">
        <v>13</v>
      </c>
      <c r="H304" t="s">
        <v>35</v>
      </c>
      <c r="I304">
        <v>1.2</v>
      </c>
      <c r="J304">
        <v>13.08</v>
      </c>
      <c r="K304">
        <v>1</v>
      </c>
      <c r="L304">
        <v>0</v>
      </c>
      <c r="M304" t="str" cm="1">
        <f t="array" ref="M304">_xlfn.IFS(
   OR($F304="Pagar", $F304="Pintu Gerbang", $F304="Pintu Handerson", $F304="Kanopi"), "PER-M2",
   $F304="Teralis", "PER-LUBANG",
   OR($F304="Railing", $F304="Railing/Balkon"), "PER-M",
   TRUE, ""
)</f>
        <v>PER-M2</v>
      </c>
      <c r="N304" cm="1">
        <f t="array" ref="N304">IF($M304="PER-M2",
  IFERROR(
     _xlfn.IFS(
        $G304="Hollow",
            INDEX('Referensi Harga'!$C:$C,
                  MATCH($F304&amp;$C304,'Referensi Harga'!$A:$A&amp;'Referensi Harga'!$B:$B,0)),
        $G304="Hollow Stainless",
            INDEX('Referensi Harga'!$D:$D,
                  MATCH($F304&amp;$C304,'Referensi Harga'!$A:$A&amp;'Referensi Harga'!$B:$B,0)),
        $G304="Pipa Stainless",
            INDEX('Referensi Harga'!$E:$E,
                  MATCH($F304&amp;$C304,'Referensi Harga'!$A:$A&amp;'Referensi Harga'!$B:$B,0))
     ),0)
  + IFERROR(VLOOKUP($H304,'Profile Size'!$A:$B,2,FALSE),0)
  + IFERROR(VLOOKUP($I304,'Ketebalan Material'!$A:$B,2,FALSE),0),
0)</f>
        <v>950000</v>
      </c>
      <c r="O304">
        <f>IF($M304="PER-M",
  IFERROR(
    IF($G304="Hollow",
       INDEX('Referensi Harga'!$C:$C, MATCH($F304 &amp; "|" &amp; $C304, 'Referensi Harga'!$F:$F, 0)),
    IF($G304="Hollow Stainless",
       INDEX('Referensi Harga'!$D:$D, MATCH($F304 &amp; "|" &amp; $C304, 'Referensi Harga'!$F:$F, 0)),
       INDEX('Referensi Harga'!$E:$E, MATCH($F304 &amp; "|" &amp; $C304, 'Referensi Harga'!$F:$F, 0))
    ))
    + IFERROR(VLOOKUP($H304, 'Profile Size'!$A:$B, 2, FALSE), 0)
    + IFERROR(VLOOKUP($I304, 'Ketebalan Material'!$A:$B, 2, FALSE), 0), 0),
0)</f>
        <v>0</v>
      </c>
      <c r="P304" cm="1">
        <f t="array" ref="P304">IF($M304="PER-LUBANG",
  IFERROR(
     _xlfn.IFS(
        $G304="Hollow",
            INDEX('Referensi Harga'!$C:$C,
                  MATCH($F304&amp;$C304,'Referensi Harga'!$A:$A&amp;'Referensi Harga'!$B:$B,0)),
        $G304="Hollow Stainless",
            INDEX('Referensi Harga'!$D:$D,
                  MATCH($F304&amp;$C304,'Referensi Harga'!$A:$A&amp;'Referensi Harga'!$B:$B,0)),
        $G304="Pipa Stainless",
            INDEX('Referensi Harga'!$E:$E,
                  MATCH($F304&amp;$C304,'Referensi Harga'!$A:$A&amp;'Referensi Harga'!$B:$B,0))
     ),0)
  + IFERROR(VLOOKUP($H304,'Profile Size'!$A:$B,2,FALSE),0)
  + IFERROR(VLOOKUP($I304,'Ketebalan Material'!$A:$B,2,FALSE),0),
0)</f>
        <v>0</v>
      </c>
      <c r="Q304">
        <f>IF($M304="PER-M2",
    IFERROR(
        SUMIFS('Upah Tenaga Ahli'!$C:$C,
               'Upah Tenaga Ahli'!$A:$A,"PER-M2",
               'Upah Tenaga Ahli'!$B:$B,$G304
        ) * $J304 * $K304,
    0),
IF($M304="PER-LUBANG",
    IFERROR(
        SUMIFS('Upah Tenaga Ahli'!$D:$D,
               'Upah Tenaga Ahli'!$A:$A,"PER-LUBANG",
               'Upah Tenaga Ahli'!$B:$B,$G304
        ) * $L304 * $K304,
    0),
IF($M304="PER-M",
    IFERROR(
        SUMIFS('Upah Tenaga Ahli'!$E:$E,
               'Upah Tenaga Ahli'!$A:$A,"PER-M",
               'Upah Tenaga Ahli'!$B:$B,$G304
        ) * $J304 * $K304,
    0),
0)))</f>
        <v>1308000</v>
      </c>
      <c r="R304" t="s">
        <v>19</v>
      </c>
      <c r="S304" t="s">
        <v>23</v>
      </c>
      <c r="T304">
        <f>IF($M304="PER-M2",
   ($N304 * $J304 * $K304)
   + IFERROR(VLOOKUP($R304,Finishing!A:B,2,FALSE),0)
   + IFERROR(VLOOKUP($S304,Kerumitan!A:B,2,FALSE),0),
IF($M304="PER-LUBANG",
   ($P304 * $L304 * $K304)
   + IFERROR(VLOOKUP($R304,Finishing!A:B,2,FALSE),0)
   + IFERROR(VLOOKUP($S304,Kerumitan!A:B,2,FALSE),0),
IF($M304="PER-M",
   ($O304 * $J304 * $K304)
   + IFERROR(VLOOKUP($R304,Finishing!A:B,2,FALSE),0)
   + IFERROR(VLOOKUP($S304,Kerumitan!A:B,2,FALSE),0),
0)))</f>
        <v>12476000</v>
      </c>
    </row>
    <row r="305" spans="1:20" x14ac:dyDescent="0.45">
      <c r="A305" t="s">
        <v>402</v>
      </c>
      <c r="B305" s="5">
        <v>44133</v>
      </c>
      <c r="C305">
        <f t="shared" si="4"/>
        <v>2020</v>
      </c>
      <c r="D305" t="s">
        <v>123</v>
      </c>
      <c r="E305" t="s">
        <v>87</v>
      </c>
      <c r="F305" t="s">
        <v>625</v>
      </c>
      <c r="G305" t="s">
        <v>14</v>
      </c>
      <c r="H305" t="s">
        <v>614</v>
      </c>
      <c r="I305">
        <v>1.2</v>
      </c>
      <c r="J305">
        <v>9.0299999999999994</v>
      </c>
      <c r="K305">
        <v>1</v>
      </c>
      <c r="L305">
        <v>0</v>
      </c>
      <c r="M305" t="str" cm="1">
        <f t="array" ref="M305">_xlfn.IFS(
   OR($F305="Pagar", $F305="Pintu Gerbang", $F305="Pintu Handerson", $F305="Kanopi"), "PER-M2",
   $F305="Teralis", "PER-LUBANG",
   OR($F305="Railing", $F305="Railing/Balkon"), "PER-M",
   TRUE, ""
)</f>
        <v>PER-M</v>
      </c>
      <c r="N305" cm="1">
        <f t="array" ref="N305">IF($M305="PER-M2",
  IFERROR(
     _xlfn.IFS(
        $G305="Hollow",
            INDEX('Referensi Harga'!$C:$C,
                  MATCH($F305&amp;$C305,'Referensi Harga'!$A:$A&amp;'Referensi Harga'!$B:$B,0)),
        $G305="Hollow Stainless",
            INDEX('Referensi Harga'!$D:$D,
                  MATCH($F305&amp;$C305,'Referensi Harga'!$A:$A&amp;'Referensi Harga'!$B:$B,0)),
        $G305="Pipa Stainless",
            INDEX('Referensi Harga'!$E:$E,
                  MATCH($F305&amp;$C305,'Referensi Harga'!$A:$A&amp;'Referensi Harga'!$B:$B,0))
     ),0)
  + IFERROR(VLOOKUP($H305,'Profile Size'!$A:$B,2,FALSE),0)
  + IFERROR(VLOOKUP($I305,'Ketebalan Material'!$A:$B,2,FALSE),0),
0)</f>
        <v>0</v>
      </c>
      <c r="O305">
        <f>IF($M305="PER-M",
  IFERROR(
    IF($G305="Hollow",
       INDEX('Referensi Harga'!$C:$C, MATCH($F305 &amp; "|" &amp; $C305, 'Referensi Harga'!$F:$F, 0)),
    IF($G305="Hollow Stainless",
       INDEX('Referensi Harga'!$D:$D, MATCH($F305 &amp; "|" &amp; $C305, 'Referensi Harga'!$F:$F, 0)),
       INDEX('Referensi Harga'!$E:$E, MATCH($F305 &amp; "|" &amp; $C305, 'Referensi Harga'!$F:$F, 0))
    ))
    + IFERROR(VLOOKUP($H305, 'Profile Size'!$A:$B, 2, FALSE), 0)
    + IFERROR(VLOOKUP($I305, 'Ketebalan Material'!$A:$B, 2, FALSE), 0), 0),
0)</f>
        <v>980000</v>
      </c>
      <c r="P305" cm="1">
        <f t="array" ref="P305">IF($M305="PER-LUBANG",
  IFERROR(
     _xlfn.IFS(
        $G305="Hollow",
            INDEX('Referensi Harga'!$C:$C,
                  MATCH($F305&amp;$C305,'Referensi Harga'!$A:$A&amp;'Referensi Harga'!$B:$B,0)),
        $G305="Hollow Stainless",
            INDEX('Referensi Harga'!$D:$D,
                  MATCH($F305&amp;$C305,'Referensi Harga'!$A:$A&amp;'Referensi Harga'!$B:$B,0)),
        $G305="Pipa Stainless",
            INDEX('Referensi Harga'!$E:$E,
                  MATCH($F305&amp;$C305,'Referensi Harga'!$A:$A&amp;'Referensi Harga'!$B:$B,0))
     ),0)
  + IFERROR(VLOOKUP($H305,'Profile Size'!$A:$B,2,FALSE),0)
  + IFERROR(VLOOKUP($I305,'Ketebalan Material'!$A:$B,2,FALSE),0),
0)</f>
        <v>0</v>
      </c>
      <c r="Q305">
        <f>IF($M305="PER-M2",
    IFERROR(
        SUMIFS('Upah Tenaga Ahli'!$C:$C,
               'Upah Tenaga Ahli'!$A:$A,"PER-M2",
               'Upah Tenaga Ahli'!$B:$B,$G305
        ) * $J305 * $K305,
    0),
IF($M305="PER-LUBANG",
    IFERROR(
        SUMIFS('Upah Tenaga Ahli'!$D:$D,
               'Upah Tenaga Ahli'!$A:$A,"PER-LUBANG",
               'Upah Tenaga Ahli'!$B:$B,$G305
        ) * $L305 * $K305,
    0),
IF($M305="PER-M",
    IFERROR(
        SUMIFS('Upah Tenaga Ahli'!$E:$E,
               'Upah Tenaga Ahli'!$A:$A,"PER-M",
               'Upah Tenaga Ahli'!$B:$B,$G305
        ) * $J305 * $K305,
    0),
0)))</f>
        <v>1805999.9999999998</v>
      </c>
      <c r="R305" t="s">
        <v>617</v>
      </c>
      <c r="S305" t="s">
        <v>23</v>
      </c>
      <c r="T305">
        <f>IF($M305="PER-M2",
   ($N305 * $J305 * $K305)
   + IFERROR(VLOOKUP($R305,Finishing!A:B,2,FALSE),0)
   + IFERROR(VLOOKUP($S305,Kerumitan!A:B,2,FALSE),0),
IF($M305="PER-LUBANG",
   ($P305 * $L305 * $K305)
   + IFERROR(VLOOKUP($R305,Finishing!A:B,2,FALSE),0)
   + IFERROR(VLOOKUP($S305,Kerumitan!A:B,2,FALSE),0),
IF($M305="PER-M",
   ($O305 * $J305 * $K305)
   + IFERROR(VLOOKUP($R305,Finishing!A:B,2,FALSE),0)
   + IFERROR(VLOOKUP($S305,Kerumitan!A:B,2,FALSE),0),
0)))</f>
        <v>8849400</v>
      </c>
    </row>
    <row r="306" spans="1:20" x14ac:dyDescent="0.45">
      <c r="A306" t="s">
        <v>403</v>
      </c>
      <c r="B306" s="5">
        <v>44803</v>
      </c>
      <c r="C306">
        <f t="shared" si="4"/>
        <v>2022</v>
      </c>
      <c r="D306" t="s">
        <v>71</v>
      </c>
      <c r="E306" t="s">
        <v>54</v>
      </c>
      <c r="F306" t="s">
        <v>625</v>
      </c>
      <c r="G306" t="s">
        <v>14</v>
      </c>
      <c r="H306" t="s">
        <v>615</v>
      </c>
      <c r="I306">
        <v>1</v>
      </c>
      <c r="J306">
        <v>6.64</v>
      </c>
      <c r="K306">
        <v>3</v>
      </c>
      <c r="L306">
        <v>0</v>
      </c>
      <c r="M306" t="str" cm="1">
        <f t="array" ref="M306">_xlfn.IFS(
   OR($F306="Pagar", $F306="Pintu Gerbang", $F306="Pintu Handerson", $F306="Kanopi"), "PER-M2",
   $F306="Teralis", "PER-LUBANG",
   OR($F306="Railing", $F306="Railing/Balkon"), "PER-M",
   TRUE, ""
)</f>
        <v>PER-M</v>
      </c>
      <c r="N306" cm="1">
        <f t="array" ref="N306">IF($M306="PER-M2",
  IFERROR(
     _xlfn.IFS(
        $G306="Hollow",
            INDEX('Referensi Harga'!$C:$C,
                  MATCH($F306&amp;$C306,'Referensi Harga'!$A:$A&amp;'Referensi Harga'!$B:$B,0)),
        $G306="Hollow Stainless",
            INDEX('Referensi Harga'!$D:$D,
                  MATCH($F306&amp;$C306,'Referensi Harga'!$A:$A&amp;'Referensi Harga'!$B:$B,0)),
        $G306="Pipa Stainless",
            INDEX('Referensi Harga'!$E:$E,
                  MATCH($F306&amp;$C306,'Referensi Harga'!$A:$A&amp;'Referensi Harga'!$B:$B,0))
     ),0)
  + IFERROR(VLOOKUP($H306,'Profile Size'!$A:$B,2,FALSE),0)
  + IFERROR(VLOOKUP($I306,'Ketebalan Material'!$A:$B,2,FALSE),0),
0)</f>
        <v>0</v>
      </c>
      <c r="O306">
        <f>IF($M306="PER-M",
  IFERROR(
    IF($G306="Hollow",
       INDEX('Referensi Harga'!$C:$C, MATCH($F306 &amp; "|" &amp; $C306, 'Referensi Harga'!$F:$F, 0)),
    IF($G306="Hollow Stainless",
       INDEX('Referensi Harga'!$D:$D, MATCH($F306 &amp; "|" &amp; $C306, 'Referensi Harga'!$F:$F, 0)),
       INDEX('Referensi Harga'!$E:$E, MATCH($F306 &amp; "|" &amp; $C306, 'Referensi Harga'!$F:$F, 0))
    ))
    + IFERROR(VLOOKUP($H306, 'Profile Size'!$A:$B, 2, FALSE), 0)
    + IFERROR(VLOOKUP($I306, 'Ketebalan Material'!$A:$B, 2, FALSE), 0), 0),
0)</f>
        <v>1070000</v>
      </c>
      <c r="P306" cm="1">
        <f t="array" ref="P306">IF($M306="PER-LUBANG",
  IFERROR(
     _xlfn.IFS(
        $G306="Hollow",
            INDEX('Referensi Harga'!$C:$C,
                  MATCH($F306&amp;$C306,'Referensi Harga'!$A:$A&amp;'Referensi Harga'!$B:$B,0)),
        $G306="Hollow Stainless",
            INDEX('Referensi Harga'!$D:$D,
                  MATCH($F306&amp;$C306,'Referensi Harga'!$A:$A&amp;'Referensi Harga'!$B:$B,0)),
        $G306="Pipa Stainless",
            INDEX('Referensi Harga'!$E:$E,
                  MATCH($F306&amp;$C306,'Referensi Harga'!$A:$A&amp;'Referensi Harga'!$B:$B,0))
     ),0)
  + IFERROR(VLOOKUP($H306,'Profile Size'!$A:$B,2,FALSE),0)
  + IFERROR(VLOOKUP($I306,'Ketebalan Material'!$A:$B,2,FALSE),0),
0)</f>
        <v>0</v>
      </c>
      <c r="Q306">
        <f>IF($M306="PER-M2",
    IFERROR(
        SUMIFS('Upah Tenaga Ahli'!$C:$C,
               'Upah Tenaga Ahli'!$A:$A,"PER-M2",
               'Upah Tenaga Ahli'!$B:$B,$G306
        ) * $J306 * $K306,
    0),
IF($M306="PER-LUBANG",
    IFERROR(
        SUMIFS('Upah Tenaga Ahli'!$D:$D,
               'Upah Tenaga Ahli'!$A:$A,"PER-LUBANG",
               'Upah Tenaga Ahli'!$B:$B,$G306
        ) * $L306 * $K306,
    0),
IF($M306="PER-M",
    IFERROR(
        SUMIFS('Upah Tenaga Ahli'!$E:$E,
               'Upah Tenaga Ahli'!$A:$A,"PER-M",
               'Upah Tenaga Ahli'!$B:$B,$G306
        ) * $J306 * $K306,
    0),
0)))</f>
        <v>3984000</v>
      </c>
      <c r="R306" t="s">
        <v>617</v>
      </c>
      <c r="S306" t="s">
        <v>23</v>
      </c>
      <c r="T306">
        <f>IF($M306="PER-M2",
   ($N306 * $J306 * $K306)
   + IFERROR(VLOOKUP($R306,Finishing!A:B,2,FALSE),0)
   + IFERROR(VLOOKUP($S306,Kerumitan!A:B,2,FALSE),0),
IF($M306="PER-LUBANG",
   ($P306 * $L306 * $K306)
   + IFERROR(VLOOKUP($R306,Finishing!A:B,2,FALSE),0)
   + IFERROR(VLOOKUP($S306,Kerumitan!A:B,2,FALSE),0),
IF($M306="PER-M",
   ($O306 * $J306 * $K306)
   + IFERROR(VLOOKUP($R306,Finishing!A:B,2,FALSE),0)
   + IFERROR(VLOOKUP($S306,Kerumitan!A:B,2,FALSE),0),
0)))</f>
        <v>21314400</v>
      </c>
    </row>
    <row r="307" spans="1:20" x14ac:dyDescent="0.45">
      <c r="A307" t="s">
        <v>404</v>
      </c>
      <c r="B307" s="5">
        <v>45637</v>
      </c>
      <c r="C307">
        <f t="shared" si="4"/>
        <v>2024</v>
      </c>
      <c r="D307" t="s">
        <v>68</v>
      </c>
      <c r="E307" t="s">
        <v>87</v>
      </c>
      <c r="F307" t="s">
        <v>6</v>
      </c>
      <c r="G307" t="s">
        <v>14</v>
      </c>
      <c r="H307" t="s">
        <v>615</v>
      </c>
      <c r="I307">
        <v>0.8</v>
      </c>
      <c r="J307">
        <v>21.31</v>
      </c>
      <c r="K307">
        <v>2</v>
      </c>
      <c r="L307">
        <v>0</v>
      </c>
      <c r="M307" t="str" cm="1">
        <f t="array" ref="M307">_xlfn.IFS(
   OR($F307="Pagar", $F307="Pintu Gerbang", $F307="Pintu Handerson", $F307="Kanopi"), "PER-M2",
   $F307="Teralis", "PER-LUBANG",
   OR($F307="Railing", $F307="Railing/Balkon"), "PER-M",
   TRUE, ""
)</f>
        <v>PER-M2</v>
      </c>
      <c r="N307" cm="1">
        <f t="array" ref="N307">IF($M307="PER-M2",
  IFERROR(
     _xlfn.IFS(
        $G307="Hollow",
            INDEX('Referensi Harga'!$C:$C,
                  MATCH($F307&amp;$C307,'Referensi Harga'!$A:$A&amp;'Referensi Harga'!$B:$B,0)),
        $G307="Hollow Stainless",
            INDEX('Referensi Harga'!$D:$D,
                  MATCH($F307&amp;$C307,'Referensi Harga'!$A:$A&amp;'Referensi Harga'!$B:$B,0)),
        $G307="Pipa Stainless",
            INDEX('Referensi Harga'!$E:$E,
                  MATCH($F307&amp;$C307,'Referensi Harga'!$A:$A&amp;'Referensi Harga'!$B:$B,0))
     ),0)
  + IFERROR(VLOOKUP($H307,'Profile Size'!$A:$B,2,FALSE),0)
  + IFERROR(VLOOKUP($I307,'Ketebalan Material'!$A:$B,2,FALSE),0),
0)</f>
        <v>800000</v>
      </c>
      <c r="O307">
        <f>IF($M307="PER-M",
  IFERROR(
    IF($G307="Hollow",
       INDEX('Referensi Harga'!$C:$C, MATCH($F307 &amp; "|" &amp; $C307, 'Referensi Harga'!$F:$F, 0)),
    IF($G307="Hollow Stainless",
       INDEX('Referensi Harga'!$D:$D, MATCH($F307 &amp; "|" &amp; $C307, 'Referensi Harga'!$F:$F, 0)),
       INDEX('Referensi Harga'!$E:$E, MATCH($F307 &amp; "|" &amp; $C307, 'Referensi Harga'!$F:$F, 0))
    ))
    + IFERROR(VLOOKUP($H307, 'Profile Size'!$A:$B, 2, FALSE), 0)
    + IFERROR(VLOOKUP($I307, 'Ketebalan Material'!$A:$B, 2, FALSE), 0), 0),
0)</f>
        <v>0</v>
      </c>
      <c r="P307" cm="1">
        <f t="array" ref="P307">IF($M307="PER-LUBANG",
  IFERROR(
     _xlfn.IFS(
        $G307="Hollow",
            INDEX('Referensi Harga'!$C:$C,
                  MATCH($F307&amp;$C307,'Referensi Harga'!$A:$A&amp;'Referensi Harga'!$B:$B,0)),
        $G307="Hollow Stainless",
            INDEX('Referensi Harga'!$D:$D,
                  MATCH($F307&amp;$C307,'Referensi Harga'!$A:$A&amp;'Referensi Harga'!$B:$B,0)),
        $G307="Pipa Stainless",
            INDEX('Referensi Harga'!$E:$E,
                  MATCH($F307&amp;$C307,'Referensi Harga'!$A:$A&amp;'Referensi Harga'!$B:$B,0))
     ),0)
  + IFERROR(VLOOKUP($H307,'Profile Size'!$A:$B,2,FALSE),0)
  + IFERROR(VLOOKUP($I307,'Ketebalan Material'!$A:$B,2,FALSE),0),
0)</f>
        <v>0</v>
      </c>
      <c r="Q307">
        <f>IF($M307="PER-M2",
    IFERROR(
        SUMIFS('Upah Tenaga Ahli'!$C:$C,
               'Upah Tenaga Ahli'!$A:$A,"PER-M2",
               'Upah Tenaga Ahli'!$B:$B,$G307
        ) * $J307 * $K307,
    0),
IF($M307="PER-LUBANG",
    IFERROR(
        SUMIFS('Upah Tenaga Ahli'!$D:$D,
               'Upah Tenaga Ahli'!$A:$A,"PER-LUBANG",
               'Upah Tenaga Ahli'!$B:$B,$G307
        ) * $L307 * $K307,
    0),
IF($M307="PER-M",
    IFERROR(
        SUMIFS('Upah Tenaga Ahli'!$E:$E,
               'Upah Tenaga Ahli'!$A:$A,"PER-M",
               'Upah Tenaga Ahli'!$B:$B,$G307
        ) * $J307 * $K307,
    0),
0)))</f>
        <v>8524000</v>
      </c>
      <c r="R307" t="s">
        <v>617</v>
      </c>
      <c r="S307" t="s">
        <v>23</v>
      </c>
      <c r="T307">
        <f>IF($M307="PER-M2",
   ($N307 * $J307 * $K307)
   + IFERROR(VLOOKUP($R307,Finishing!A:B,2,FALSE),0)
   + IFERROR(VLOOKUP($S307,Kerumitan!A:B,2,FALSE),0),
IF($M307="PER-LUBANG",
   ($P307 * $L307 * $K307)
   + IFERROR(VLOOKUP($R307,Finishing!A:B,2,FALSE),0)
   + IFERROR(VLOOKUP($S307,Kerumitan!A:B,2,FALSE),0),
IF($M307="PER-M",
   ($O307 * $J307 * $K307)
   + IFERROR(VLOOKUP($R307,Finishing!A:B,2,FALSE),0)
   + IFERROR(VLOOKUP($S307,Kerumitan!A:B,2,FALSE),0),
0)))</f>
        <v>34096000</v>
      </c>
    </row>
    <row r="308" spans="1:20" x14ac:dyDescent="0.45">
      <c r="A308" t="s">
        <v>405</v>
      </c>
      <c r="B308" s="5">
        <v>44946</v>
      </c>
      <c r="C308">
        <f t="shared" si="4"/>
        <v>2023</v>
      </c>
      <c r="D308" t="s">
        <v>59</v>
      </c>
      <c r="E308" t="s">
        <v>57</v>
      </c>
      <c r="F308" t="s">
        <v>10</v>
      </c>
      <c r="G308" t="s">
        <v>15</v>
      </c>
      <c r="H308" t="s">
        <v>35</v>
      </c>
      <c r="I308">
        <v>1.2</v>
      </c>
      <c r="J308">
        <v>2.75</v>
      </c>
      <c r="K308">
        <v>2</v>
      </c>
      <c r="L308">
        <v>0</v>
      </c>
      <c r="M308" t="str" cm="1">
        <f t="array" ref="M308">_xlfn.IFS(
   OR($F308="Pagar", $F308="Pintu Gerbang", $F308="Pintu Handerson", $F308="Kanopi"), "PER-M2",
   $F308="Teralis", "PER-LUBANG",
   OR($F308="Railing", $F308="Railing/Balkon"), "PER-M",
   TRUE, ""
)</f>
        <v>PER-M2</v>
      </c>
      <c r="N308" cm="1">
        <f t="array" ref="N308">IF($M308="PER-M2",
  IFERROR(
     _xlfn.IFS(
        $G308="Hollow",
            INDEX('Referensi Harga'!$C:$C,
                  MATCH($F308&amp;$C308,'Referensi Harga'!$A:$A&amp;'Referensi Harga'!$B:$B,0)),
        $G308="Hollow Stainless",
            INDEX('Referensi Harga'!$D:$D,
                  MATCH($F308&amp;$C308,'Referensi Harga'!$A:$A&amp;'Referensi Harga'!$B:$B,0)),
        $G308="Pipa Stainless",
            INDEX('Referensi Harga'!$E:$E,
                  MATCH($F308&amp;$C308,'Referensi Harga'!$A:$A&amp;'Referensi Harga'!$B:$B,0))
     ),0)
  + IFERROR(VLOOKUP($H308,'Profile Size'!$A:$B,2,FALSE),0)
  + IFERROR(VLOOKUP($I308,'Ketebalan Material'!$A:$B,2,FALSE),0),
0)</f>
        <v>1700000</v>
      </c>
      <c r="O308">
        <f>IF($M308="PER-M",
  IFERROR(
    IF($G308="Hollow",
       INDEX('Referensi Harga'!$C:$C, MATCH($F308 &amp; "|" &amp; $C308, 'Referensi Harga'!$F:$F, 0)),
    IF($G308="Hollow Stainless",
       INDEX('Referensi Harga'!$D:$D, MATCH($F308 &amp; "|" &amp; $C308, 'Referensi Harga'!$F:$F, 0)),
       INDEX('Referensi Harga'!$E:$E, MATCH($F308 &amp; "|" &amp; $C308, 'Referensi Harga'!$F:$F, 0))
    ))
    + IFERROR(VLOOKUP($H308, 'Profile Size'!$A:$B, 2, FALSE), 0)
    + IFERROR(VLOOKUP($I308, 'Ketebalan Material'!$A:$B, 2, FALSE), 0), 0),
0)</f>
        <v>0</v>
      </c>
      <c r="P308" cm="1">
        <f t="array" ref="P308">IF($M308="PER-LUBANG",
  IFERROR(
     _xlfn.IFS(
        $G308="Hollow",
            INDEX('Referensi Harga'!$C:$C,
                  MATCH($F308&amp;$C308,'Referensi Harga'!$A:$A&amp;'Referensi Harga'!$B:$B,0)),
        $G308="Hollow Stainless",
            INDEX('Referensi Harga'!$D:$D,
                  MATCH($F308&amp;$C308,'Referensi Harga'!$A:$A&amp;'Referensi Harga'!$B:$B,0)),
        $G308="Pipa Stainless",
            INDEX('Referensi Harga'!$E:$E,
                  MATCH($F308&amp;$C308,'Referensi Harga'!$A:$A&amp;'Referensi Harga'!$B:$B,0))
     ),0)
  + IFERROR(VLOOKUP($H308,'Profile Size'!$A:$B,2,FALSE),0)
  + IFERROR(VLOOKUP($I308,'Ketebalan Material'!$A:$B,2,FALSE),0),
0)</f>
        <v>0</v>
      </c>
      <c r="Q308">
        <f>IF($M308="PER-M2",
    IFERROR(
        SUMIFS('Upah Tenaga Ahli'!$C:$C,
               'Upah Tenaga Ahli'!$A:$A,"PER-M2",
               'Upah Tenaga Ahli'!$B:$B,$G308
        ) * $J308 * $K308,
    0),
IF($M308="PER-LUBANG",
    IFERROR(
        SUMIFS('Upah Tenaga Ahli'!$D:$D,
               'Upah Tenaga Ahli'!$A:$A,"PER-LUBANG",
               'Upah Tenaga Ahli'!$B:$B,$G308
        ) * $L308 * $K308,
    0),
IF($M308="PER-M",
    IFERROR(
        SUMIFS('Upah Tenaga Ahli'!$E:$E,
               'Upah Tenaga Ahli'!$A:$A,"PER-M",
               'Upah Tenaga Ahli'!$B:$B,$G308
        ) * $J308 * $K308,
    0),
0)))</f>
        <v>825000</v>
      </c>
      <c r="R308" t="s">
        <v>617</v>
      </c>
      <c r="S308" t="s">
        <v>23</v>
      </c>
      <c r="T308">
        <f>IF($M308="PER-M2",
   ($N308 * $J308 * $K308)
   + IFERROR(VLOOKUP($R308,Finishing!A:B,2,FALSE),0)
   + IFERROR(VLOOKUP($S308,Kerumitan!A:B,2,FALSE),0),
IF($M308="PER-LUBANG",
   ($P308 * $L308 * $K308)
   + IFERROR(VLOOKUP($R308,Finishing!A:B,2,FALSE),0)
   + IFERROR(VLOOKUP($S308,Kerumitan!A:B,2,FALSE),0),
IF($M308="PER-M",
   ($O308 * $J308 * $K308)
   + IFERROR(VLOOKUP($R308,Finishing!A:B,2,FALSE),0)
   + IFERROR(VLOOKUP($S308,Kerumitan!A:B,2,FALSE),0),
0)))</f>
        <v>9350000</v>
      </c>
    </row>
    <row r="309" spans="1:20" x14ac:dyDescent="0.45">
      <c r="A309" t="s">
        <v>406</v>
      </c>
      <c r="B309" s="5">
        <v>44986</v>
      </c>
      <c r="C309">
        <f t="shared" si="4"/>
        <v>2023</v>
      </c>
      <c r="D309" t="s">
        <v>139</v>
      </c>
      <c r="E309" t="s">
        <v>61</v>
      </c>
      <c r="F309" t="s">
        <v>4</v>
      </c>
      <c r="G309" t="s">
        <v>13</v>
      </c>
      <c r="H309" t="s">
        <v>46</v>
      </c>
      <c r="I309">
        <v>1.2</v>
      </c>
      <c r="J309">
        <v>27.56</v>
      </c>
      <c r="K309">
        <v>1</v>
      </c>
      <c r="L309">
        <v>0</v>
      </c>
      <c r="M309" t="str" cm="1">
        <f t="array" ref="M309">_xlfn.IFS(
   OR($F309="Pagar", $F309="Pintu Gerbang", $F309="Pintu Handerson", $F309="Kanopi"), "PER-M2",
   $F309="Teralis", "PER-LUBANG",
   OR($F309="Railing", $F309="Railing/Balkon"), "PER-M",
   TRUE, ""
)</f>
        <v>PER-M2</v>
      </c>
      <c r="N309" cm="1">
        <f t="array" ref="N309">IF($M309="PER-M2",
  IFERROR(
     _xlfn.IFS(
        $G309="Hollow",
            INDEX('Referensi Harga'!$C:$C,
                  MATCH($F309&amp;$C309,'Referensi Harga'!$A:$A&amp;'Referensi Harga'!$B:$B,0)),
        $G309="Hollow Stainless",
            INDEX('Referensi Harga'!$D:$D,
                  MATCH($F309&amp;$C309,'Referensi Harga'!$A:$A&amp;'Referensi Harga'!$B:$B,0)),
        $G309="Pipa Stainless",
            INDEX('Referensi Harga'!$E:$E,
                  MATCH($F309&amp;$C309,'Referensi Harga'!$A:$A&amp;'Referensi Harga'!$B:$B,0))
     ),0)
  + IFERROR(VLOOKUP($H309,'Profile Size'!$A:$B,2,FALSE),0)
  + IFERROR(VLOOKUP($I309,'Ketebalan Material'!$A:$B,2,FALSE),0),
0)</f>
        <v>700000</v>
      </c>
      <c r="O309">
        <f>IF($M309="PER-M",
  IFERROR(
    IF($G309="Hollow",
       INDEX('Referensi Harga'!$C:$C, MATCH($F309 &amp; "|" &amp; $C309, 'Referensi Harga'!$F:$F, 0)),
    IF($G309="Hollow Stainless",
       INDEX('Referensi Harga'!$D:$D, MATCH($F309 &amp; "|" &amp; $C309, 'Referensi Harga'!$F:$F, 0)),
       INDEX('Referensi Harga'!$E:$E, MATCH($F309 &amp; "|" &amp; $C309, 'Referensi Harga'!$F:$F, 0))
    ))
    + IFERROR(VLOOKUP($H309, 'Profile Size'!$A:$B, 2, FALSE), 0)
    + IFERROR(VLOOKUP($I309, 'Ketebalan Material'!$A:$B, 2, FALSE), 0), 0),
0)</f>
        <v>0</v>
      </c>
      <c r="P309" cm="1">
        <f t="array" ref="P309">IF($M309="PER-LUBANG",
  IFERROR(
     _xlfn.IFS(
        $G309="Hollow",
            INDEX('Referensi Harga'!$C:$C,
                  MATCH($F309&amp;$C309,'Referensi Harga'!$A:$A&amp;'Referensi Harga'!$B:$B,0)),
        $G309="Hollow Stainless",
            INDEX('Referensi Harga'!$D:$D,
                  MATCH($F309&amp;$C309,'Referensi Harga'!$A:$A&amp;'Referensi Harga'!$B:$B,0)),
        $G309="Pipa Stainless",
            INDEX('Referensi Harga'!$E:$E,
                  MATCH($F309&amp;$C309,'Referensi Harga'!$A:$A&amp;'Referensi Harga'!$B:$B,0))
     ),0)
  + IFERROR(VLOOKUP($H309,'Profile Size'!$A:$B,2,FALSE),0)
  + IFERROR(VLOOKUP($I309,'Ketebalan Material'!$A:$B,2,FALSE),0),
0)</f>
        <v>0</v>
      </c>
      <c r="Q309">
        <f>IF($M309="PER-M2",
    IFERROR(
        SUMIFS('Upah Tenaga Ahli'!$C:$C,
               'Upah Tenaga Ahli'!$A:$A,"PER-M2",
               'Upah Tenaga Ahli'!$B:$B,$G309
        ) * $J309 * $K309,
    0),
IF($M309="PER-LUBANG",
    IFERROR(
        SUMIFS('Upah Tenaga Ahli'!$D:$D,
               'Upah Tenaga Ahli'!$A:$A,"PER-LUBANG",
               'Upah Tenaga Ahli'!$B:$B,$G309
        ) * $L309 * $K309,
    0),
IF($M309="PER-M",
    IFERROR(
        SUMIFS('Upah Tenaga Ahli'!$E:$E,
               'Upah Tenaga Ahli'!$A:$A,"PER-M",
               'Upah Tenaga Ahli'!$B:$B,$G309
        ) * $J309 * $K309,
    0),
0)))</f>
        <v>2756000</v>
      </c>
      <c r="R309" t="s">
        <v>19</v>
      </c>
      <c r="S309" t="s">
        <v>23</v>
      </c>
      <c r="T309">
        <f>IF($M309="PER-M2",
   ($N309 * $J309 * $K309)
   + IFERROR(VLOOKUP($R309,Finishing!A:B,2,FALSE),0)
   + IFERROR(VLOOKUP($S309,Kerumitan!A:B,2,FALSE),0),
IF($M309="PER-LUBANG",
   ($P309 * $L309 * $K309)
   + IFERROR(VLOOKUP($R309,Finishing!A:B,2,FALSE),0)
   + IFERROR(VLOOKUP($S309,Kerumitan!A:B,2,FALSE),0),
IF($M309="PER-M",
   ($O309 * $J309 * $K309)
   + IFERROR(VLOOKUP($R309,Finishing!A:B,2,FALSE),0)
   + IFERROR(VLOOKUP($S309,Kerumitan!A:B,2,FALSE),0),
0)))</f>
        <v>19342000</v>
      </c>
    </row>
    <row r="310" spans="1:20" x14ac:dyDescent="0.45">
      <c r="A310" t="s">
        <v>407</v>
      </c>
      <c r="B310" s="5">
        <v>45161</v>
      </c>
      <c r="C310">
        <f t="shared" si="4"/>
        <v>2023</v>
      </c>
      <c r="D310" t="s">
        <v>93</v>
      </c>
      <c r="E310" t="s">
        <v>28</v>
      </c>
      <c r="F310" t="s">
        <v>10</v>
      </c>
      <c r="G310" t="s">
        <v>13</v>
      </c>
      <c r="H310" t="s">
        <v>33</v>
      </c>
      <c r="I310">
        <v>0.8</v>
      </c>
      <c r="J310">
        <v>4.6900000000000004</v>
      </c>
      <c r="K310">
        <v>1</v>
      </c>
      <c r="L310">
        <v>0</v>
      </c>
      <c r="M310" t="str" cm="1">
        <f t="array" ref="M310">_xlfn.IFS(
   OR($F310="Pagar", $F310="Pintu Gerbang", $F310="Pintu Handerson", $F310="Kanopi"), "PER-M2",
   $F310="Teralis", "PER-LUBANG",
   OR($F310="Railing", $F310="Railing/Balkon"), "PER-M",
   TRUE, ""
)</f>
        <v>PER-M2</v>
      </c>
      <c r="N310" cm="1">
        <f t="array" ref="N310">IF($M310="PER-M2",
  IFERROR(
     _xlfn.IFS(
        $G310="Hollow",
            INDEX('Referensi Harga'!$C:$C,
                  MATCH($F310&amp;$C310,'Referensi Harga'!$A:$A&amp;'Referensi Harga'!$B:$B,0)),
        $G310="Hollow Stainless",
            INDEX('Referensi Harga'!$D:$D,
                  MATCH($F310&amp;$C310,'Referensi Harga'!$A:$A&amp;'Referensi Harga'!$B:$B,0)),
        $G310="Pipa Stainless",
            INDEX('Referensi Harga'!$E:$E,
                  MATCH($F310&amp;$C310,'Referensi Harga'!$A:$A&amp;'Referensi Harga'!$B:$B,0))
     ),0)
  + IFERROR(VLOOKUP($H310,'Profile Size'!$A:$B,2,FALSE),0)
  + IFERROR(VLOOKUP($I310,'Ketebalan Material'!$A:$B,2,FALSE),0),
0)</f>
        <v>850000</v>
      </c>
      <c r="O310">
        <f>IF($M310="PER-M",
  IFERROR(
    IF($G310="Hollow",
       INDEX('Referensi Harga'!$C:$C, MATCH($F310 &amp; "|" &amp; $C310, 'Referensi Harga'!$F:$F, 0)),
    IF($G310="Hollow Stainless",
       INDEX('Referensi Harga'!$D:$D, MATCH($F310 &amp; "|" &amp; $C310, 'Referensi Harga'!$F:$F, 0)),
       INDEX('Referensi Harga'!$E:$E, MATCH($F310 &amp; "|" &amp; $C310, 'Referensi Harga'!$F:$F, 0))
    ))
    + IFERROR(VLOOKUP($H310, 'Profile Size'!$A:$B, 2, FALSE), 0)
    + IFERROR(VLOOKUP($I310, 'Ketebalan Material'!$A:$B, 2, FALSE), 0), 0),
0)</f>
        <v>0</v>
      </c>
      <c r="P310" cm="1">
        <f t="array" ref="P310">IF($M310="PER-LUBANG",
  IFERROR(
     _xlfn.IFS(
        $G310="Hollow",
            INDEX('Referensi Harga'!$C:$C,
                  MATCH($F310&amp;$C310,'Referensi Harga'!$A:$A&amp;'Referensi Harga'!$B:$B,0)),
        $G310="Hollow Stainless",
            INDEX('Referensi Harga'!$D:$D,
                  MATCH($F310&amp;$C310,'Referensi Harga'!$A:$A&amp;'Referensi Harga'!$B:$B,0)),
        $G310="Pipa Stainless",
            INDEX('Referensi Harga'!$E:$E,
                  MATCH($F310&amp;$C310,'Referensi Harga'!$A:$A&amp;'Referensi Harga'!$B:$B,0))
     ),0)
  + IFERROR(VLOOKUP($H310,'Profile Size'!$A:$B,2,FALSE),0)
  + IFERROR(VLOOKUP($I310,'Ketebalan Material'!$A:$B,2,FALSE),0),
0)</f>
        <v>0</v>
      </c>
      <c r="Q310">
        <f>IF($M310="PER-M2",
    IFERROR(
        SUMIFS('Upah Tenaga Ahli'!$C:$C,
               'Upah Tenaga Ahli'!$A:$A,"PER-M2",
               'Upah Tenaga Ahli'!$B:$B,$G310
        ) * $J310 * $K310,
    0),
IF($M310="PER-LUBANG",
    IFERROR(
        SUMIFS('Upah Tenaga Ahli'!$D:$D,
               'Upah Tenaga Ahli'!$A:$A,"PER-LUBANG",
               'Upah Tenaga Ahli'!$B:$B,$G310
        ) * $L310 * $K310,
    0),
IF($M310="PER-M",
    IFERROR(
        SUMIFS('Upah Tenaga Ahli'!$E:$E,
               'Upah Tenaga Ahli'!$A:$A,"PER-M",
               'Upah Tenaga Ahli'!$B:$B,$G310
        ) * $J310 * $K310,
    0),
0)))</f>
        <v>469000.00000000006</v>
      </c>
      <c r="R310" t="s">
        <v>20</v>
      </c>
      <c r="S310" t="s">
        <v>23</v>
      </c>
      <c r="T310">
        <f>IF($M310="PER-M2",
   ($N310 * $J310 * $K310)
   + IFERROR(VLOOKUP($R310,Finishing!A:B,2,FALSE),0)
   + IFERROR(VLOOKUP($S310,Kerumitan!A:B,2,FALSE),0),
IF($M310="PER-LUBANG",
   ($P310 * $L310 * $K310)
   + IFERROR(VLOOKUP($R310,Finishing!A:B,2,FALSE),0)
   + IFERROR(VLOOKUP($S310,Kerumitan!A:B,2,FALSE),0),
IF($M310="PER-M",
   ($O310 * $J310 * $K310)
   + IFERROR(VLOOKUP($R310,Finishing!A:B,2,FALSE),0)
   + IFERROR(VLOOKUP($S310,Kerumitan!A:B,2,FALSE),0),
0)))</f>
        <v>4136500.0000000005</v>
      </c>
    </row>
    <row r="311" spans="1:20" x14ac:dyDescent="0.45">
      <c r="A311" t="s">
        <v>408</v>
      </c>
      <c r="B311" s="5">
        <v>44509</v>
      </c>
      <c r="C311">
        <f t="shared" si="4"/>
        <v>2021</v>
      </c>
      <c r="D311" t="s">
        <v>86</v>
      </c>
      <c r="E311" t="s">
        <v>44</v>
      </c>
      <c r="F311" t="s">
        <v>6</v>
      </c>
      <c r="G311" t="s">
        <v>13</v>
      </c>
      <c r="H311" t="s">
        <v>46</v>
      </c>
      <c r="I311">
        <v>1.2</v>
      </c>
      <c r="J311">
        <v>24.11</v>
      </c>
      <c r="K311">
        <v>1</v>
      </c>
      <c r="L311">
        <v>0</v>
      </c>
      <c r="M311" t="str" cm="1">
        <f t="array" ref="M311">_xlfn.IFS(
   OR($F311="Pagar", $F311="Pintu Gerbang", $F311="Pintu Handerson", $F311="Kanopi"), "PER-M2",
   $F311="Teralis", "PER-LUBANG",
   OR($F311="Railing", $F311="Railing/Balkon"), "PER-M",
   TRUE, ""
)</f>
        <v>PER-M2</v>
      </c>
      <c r="N311" cm="1">
        <f t="array" ref="N311">IF($M311="PER-M2",
  IFERROR(
     _xlfn.IFS(
        $G311="Hollow",
            INDEX('Referensi Harga'!$C:$C,
                  MATCH($F311&amp;$C311,'Referensi Harga'!$A:$A&amp;'Referensi Harga'!$B:$B,0)),
        $G311="Hollow Stainless",
            INDEX('Referensi Harga'!$D:$D,
                  MATCH($F311&amp;$C311,'Referensi Harga'!$A:$A&amp;'Referensi Harga'!$B:$B,0)),
        $G311="Pipa Stainless",
            INDEX('Referensi Harga'!$E:$E,
                  MATCH($F311&amp;$C311,'Referensi Harga'!$A:$A&amp;'Referensi Harga'!$B:$B,0))
     ),0)
  + IFERROR(VLOOKUP($H311,'Profile Size'!$A:$B,2,FALSE),0)
  + IFERROR(VLOOKUP($I311,'Ketebalan Material'!$A:$B,2,FALSE),0),
0)</f>
        <v>500000</v>
      </c>
      <c r="O311">
        <f>IF($M311="PER-M",
  IFERROR(
    IF($G311="Hollow",
       INDEX('Referensi Harga'!$C:$C, MATCH($F311 &amp; "|" &amp; $C311, 'Referensi Harga'!$F:$F, 0)),
    IF($G311="Hollow Stainless",
       INDEX('Referensi Harga'!$D:$D, MATCH($F311 &amp; "|" &amp; $C311, 'Referensi Harga'!$F:$F, 0)),
       INDEX('Referensi Harga'!$E:$E, MATCH($F311 &amp; "|" &amp; $C311, 'Referensi Harga'!$F:$F, 0))
    ))
    + IFERROR(VLOOKUP($H311, 'Profile Size'!$A:$B, 2, FALSE), 0)
    + IFERROR(VLOOKUP($I311, 'Ketebalan Material'!$A:$B, 2, FALSE), 0), 0),
0)</f>
        <v>0</v>
      </c>
      <c r="P311" cm="1">
        <f t="array" ref="P311">IF($M311="PER-LUBANG",
  IFERROR(
     _xlfn.IFS(
        $G311="Hollow",
            INDEX('Referensi Harga'!$C:$C,
                  MATCH($F311&amp;$C311,'Referensi Harga'!$A:$A&amp;'Referensi Harga'!$B:$B,0)),
        $G311="Hollow Stainless",
            INDEX('Referensi Harga'!$D:$D,
                  MATCH($F311&amp;$C311,'Referensi Harga'!$A:$A&amp;'Referensi Harga'!$B:$B,0)),
        $G311="Pipa Stainless",
            INDEX('Referensi Harga'!$E:$E,
                  MATCH($F311&amp;$C311,'Referensi Harga'!$A:$A&amp;'Referensi Harga'!$B:$B,0))
     ),0)
  + IFERROR(VLOOKUP($H311,'Profile Size'!$A:$B,2,FALSE),0)
  + IFERROR(VLOOKUP($I311,'Ketebalan Material'!$A:$B,2,FALSE),0),
0)</f>
        <v>0</v>
      </c>
      <c r="Q311">
        <f>IF($M311="PER-M2",
    IFERROR(
        SUMIFS('Upah Tenaga Ahli'!$C:$C,
               'Upah Tenaga Ahli'!$A:$A,"PER-M2",
               'Upah Tenaga Ahli'!$B:$B,$G311
        ) * $J311 * $K311,
    0),
IF($M311="PER-LUBANG",
    IFERROR(
        SUMIFS('Upah Tenaga Ahli'!$D:$D,
               'Upah Tenaga Ahli'!$A:$A,"PER-LUBANG",
               'Upah Tenaga Ahli'!$B:$B,$G311
        ) * $L311 * $K311,
    0),
IF($M311="PER-M",
    IFERROR(
        SUMIFS('Upah Tenaga Ahli'!$E:$E,
               'Upah Tenaga Ahli'!$A:$A,"PER-M",
               'Upah Tenaga Ahli'!$B:$B,$G311
        ) * $J311 * $K311,
    0),
0)))</f>
        <v>2411000</v>
      </c>
      <c r="R311" t="s">
        <v>19</v>
      </c>
      <c r="S311" t="s">
        <v>24</v>
      </c>
      <c r="T311">
        <f>IF($M311="PER-M2",
   ($N311 * $J311 * $K311)
   + IFERROR(VLOOKUP($R311,Finishing!A:B,2,FALSE),0)
   + IFERROR(VLOOKUP($S311,Kerumitan!A:B,2,FALSE),0),
IF($M311="PER-LUBANG",
   ($P311 * $L311 * $K311)
   + IFERROR(VLOOKUP($R311,Finishing!A:B,2,FALSE),0)
   + IFERROR(VLOOKUP($S311,Kerumitan!A:B,2,FALSE),0),
IF($M311="PER-M",
   ($O311 * $J311 * $K311)
   + IFERROR(VLOOKUP($R311,Finishing!A:B,2,FALSE),0)
   + IFERROR(VLOOKUP($S311,Kerumitan!A:B,2,FALSE),0),
0)))</f>
        <v>12205000</v>
      </c>
    </row>
    <row r="312" spans="1:20" x14ac:dyDescent="0.45">
      <c r="A312" t="s">
        <v>409</v>
      </c>
      <c r="B312" s="5">
        <v>44463</v>
      </c>
      <c r="C312">
        <f t="shared" si="4"/>
        <v>2021</v>
      </c>
      <c r="D312" t="s">
        <v>73</v>
      </c>
      <c r="E312" t="s">
        <v>38</v>
      </c>
      <c r="F312" t="s">
        <v>7</v>
      </c>
      <c r="G312" t="s">
        <v>13</v>
      </c>
      <c r="H312" t="s">
        <v>33</v>
      </c>
      <c r="I312">
        <v>1.2</v>
      </c>
      <c r="J312">
        <v>6.31</v>
      </c>
      <c r="K312">
        <v>1</v>
      </c>
      <c r="L312">
        <v>0</v>
      </c>
      <c r="M312" t="str" cm="1">
        <f t="array" ref="M312">_xlfn.IFS(
   OR($F312="Pagar", $F312="Pintu Gerbang", $F312="Pintu Handerson", $F312="Kanopi"), "PER-M2",
   $F312="Teralis", "PER-LUBANG",
   OR($F312="Railing", $F312="Railing/Balkon"), "PER-M",
   TRUE, ""
)</f>
        <v>PER-M2</v>
      </c>
      <c r="N312" cm="1">
        <f t="array" ref="N312">IF($M312="PER-M2",
  IFERROR(
     _xlfn.IFS(
        $G312="Hollow",
            INDEX('Referensi Harga'!$C:$C,
                  MATCH($F312&amp;$C312,'Referensi Harga'!$A:$A&amp;'Referensi Harga'!$B:$B,0)),
        $G312="Hollow Stainless",
            INDEX('Referensi Harga'!$D:$D,
                  MATCH($F312&amp;$C312,'Referensi Harga'!$A:$A&amp;'Referensi Harga'!$B:$B,0)),
        $G312="Pipa Stainless",
            INDEX('Referensi Harga'!$E:$E,
                  MATCH($F312&amp;$C312,'Referensi Harga'!$A:$A&amp;'Referensi Harga'!$B:$B,0))
     ),0)
  + IFERROR(VLOOKUP($H312,'Profile Size'!$A:$B,2,FALSE),0)
  + IFERROR(VLOOKUP($I312,'Ketebalan Material'!$A:$B,2,FALSE),0),
0)</f>
        <v>700000</v>
      </c>
      <c r="O312">
        <f>IF($M312="PER-M",
  IFERROR(
    IF($G312="Hollow",
       INDEX('Referensi Harga'!$C:$C, MATCH($F312 &amp; "|" &amp; $C312, 'Referensi Harga'!$F:$F, 0)),
    IF($G312="Hollow Stainless",
       INDEX('Referensi Harga'!$D:$D, MATCH($F312 &amp; "|" &amp; $C312, 'Referensi Harga'!$F:$F, 0)),
       INDEX('Referensi Harga'!$E:$E, MATCH($F312 &amp; "|" &amp; $C312, 'Referensi Harga'!$F:$F, 0))
    ))
    + IFERROR(VLOOKUP($H312, 'Profile Size'!$A:$B, 2, FALSE), 0)
    + IFERROR(VLOOKUP($I312, 'Ketebalan Material'!$A:$B, 2, FALSE), 0), 0),
0)</f>
        <v>0</v>
      </c>
      <c r="P312" cm="1">
        <f t="array" ref="P312">IF($M312="PER-LUBANG",
  IFERROR(
     _xlfn.IFS(
        $G312="Hollow",
            INDEX('Referensi Harga'!$C:$C,
                  MATCH($F312&amp;$C312,'Referensi Harga'!$A:$A&amp;'Referensi Harga'!$B:$B,0)),
        $G312="Hollow Stainless",
            INDEX('Referensi Harga'!$D:$D,
                  MATCH($F312&amp;$C312,'Referensi Harga'!$A:$A&amp;'Referensi Harga'!$B:$B,0)),
        $G312="Pipa Stainless",
            INDEX('Referensi Harga'!$E:$E,
                  MATCH($F312&amp;$C312,'Referensi Harga'!$A:$A&amp;'Referensi Harga'!$B:$B,0))
     ),0)
  + IFERROR(VLOOKUP($H312,'Profile Size'!$A:$B,2,FALSE),0)
  + IFERROR(VLOOKUP($I312,'Ketebalan Material'!$A:$B,2,FALSE),0),
0)</f>
        <v>0</v>
      </c>
      <c r="Q312">
        <f>IF($M312="PER-M2",
    IFERROR(
        SUMIFS('Upah Tenaga Ahli'!$C:$C,
               'Upah Tenaga Ahli'!$A:$A,"PER-M2",
               'Upah Tenaga Ahli'!$B:$B,$G312
        ) * $J312 * $K312,
    0),
IF($M312="PER-LUBANG",
    IFERROR(
        SUMIFS('Upah Tenaga Ahli'!$D:$D,
               'Upah Tenaga Ahli'!$A:$A,"PER-LUBANG",
               'Upah Tenaga Ahli'!$B:$B,$G312
        ) * $L312 * $K312,
    0),
IF($M312="PER-M",
    IFERROR(
        SUMIFS('Upah Tenaga Ahli'!$E:$E,
               'Upah Tenaga Ahli'!$A:$A,"PER-M",
               'Upah Tenaga Ahli'!$B:$B,$G312
        ) * $J312 * $K312,
    0),
0)))</f>
        <v>631000</v>
      </c>
      <c r="R312" t="s">
        <v>19</v>
      </c>
      <c r="S312" t="s">
        <v>23</v>
      </c>
      <c r="T312">
        <f>IF($M312="PER-M2",
   ($N312 * $J312 * $K312)
   + IFERROR(VLOOKUP($R312,Finishing!A:B,2,FALSE),0)
   + IFERROR(VLOOKUP($S312,Kerumitan!A:B,2,FALSE),0),
IF($M312="PER-LUBANG",
   ($P312 * $L312 * $K312)
   + IFERROR(VLOOKUP($R312,Finishing!A:B,2,FALSE),0)
   + IFERROR(VLOOKUP($S312,Kerumitan!A:B,2,FALSE),0),
IF($M312="PER-M",
   ($O312 * $J312 * $K312)
   + IFERROR(VLOOKUP($R312,Finishing!A:B,2,FALSE),0)
   + IFERROR(VLOOKUP($S312,Kerumitan!A:B,2,FALSE),0),
0)))</f>
        <v>4467000</v>
      </c>
    </row>
    <row r="313" spans="1:20" x14ac:dyDescent="0.45">
      <c r="A313" t="s">
        <v>410</v>
      </c>
      <c r="B313" s="5">
        <v>45404</v>
      </c>
      <c r="C313">
        <f t="shared" si="4"/>
        <v>2024</v>
      </c>
      <c r="D313" t="s">
        <v>133</v>
      </c>
      <c r="E313" t="s">
        <v>121</v>
      </c>
      <c r="F313" t="s">
        <v>8</v>
      </c>
      <c r="G313" t="s">
        <v>14</v>
      </c>
      <c r="H313" t="s">
        <v>612</v>
      </c>
      <c r="I313">
        <v>1.2</v>
      </c>
      <c r="J313">
        <v>0</v>
      </c>
      <c r="K313">
        <v>1</v>
      </c>
      <c r="L313">
        <v>4</v>
      </c>
      <c r="M313" t="str" cm="1">
        <f t="array" ref="M313">_xlfn.IFS(
   OR($F313="Pagar", $F313="Pintu Gerbang", $F313="Pintu Handerson", $F313="Kanopi"), "PER-M2",
   $F313="Teralis", "PER-LUBANG",
   OR($F313="Railing", $F313="Railing/Balkon"), "PER-M",
   TRUE, ""
)</f>
        <v>PER-LUBANG</v>
      </c>
      <c r="N313" cm="1">
        <f t="array" ref="N313">IF($M313="PER-M2",
  IFERROR(
     _xlfn.IFS(
        $G313="Hollow",
            INDEX('Referensi Harga'!$C:$C,
                  MATCH($F313&amp;$C313,'Referensi Harga'!$A:$A&amp;'Referensi Harga'!$B:$B,0)),
        $G313="Hollow Stainless",
            INDEX('Referensi Harga'!$D:$D,
                  MATCH($F313&amp;$C313,'Referensi Harga'!$A:$A&amp;'Referensi Harga'!$B:$B,0)),
        $G313="Pipa Stainless",
            INDEX('Referensi Harga'!$E:$E,
                  MATCH($F313&amp;$C313,'Referensi Harga'!$A:$A&amp;'Referensi Harga'!$B:$B,0))
     ),0)
  + IFERROR(VLOOKUP($H313,'Profile Size'!$A:$B,2,FALSE),0)
  + IFERROR(VLOOKUP($I313,'Ketebalan Material'!$A:$B,2,FALSE),0),
0)</f>
        <v>0</v>
      </c>
      <c r="O313">
        <f>IF($M313="PER-M",
  IFERROR(
    IF($G313="Hollow",
       INDEX('Referensi Harga'!$C:$C, MATCH($F313 &amp; "|" &amp; $C313, 'Referensi Harga'!$F:$F, 0)),
    IF($G313="Hollow Stainless",
       INDEX('Referensi Harga'!$D:$D, MATCH($F313 &amp; "|" &amp; $C313, 'Referensi Harga'!$F:$F, 0)),
       INDEX('Referensi Harga'!$E:$E, MATCH($F313 &amp; "|" &amp; $C313, 'Referensi Harga'!$F:$F, 0))
    ))
    + IFERROR(VLOOKUP($H313, 'Profile Size'!$A:$B, 2, FALSE), 0)
    + IFERROR(VLOOKUP($I313, 'Ketebalan Material'!$A:$B, 2, FALSE), 0), 0),
0)</f>
        <v>0</v>
      </c>
      <c r="P313" cm="1">
        <f t="array" ref="P313">IF($M313="PER-LUBANG",
  IFERROR(
     _xlfn.IFS(
        $G313="Hollow",
            INDEX('Referensi Harga'!$C:$C,
                  MATCH($F313&amp;$C313,'Referensi Harga'!$A:$A&amp;'Referensi Harga'!$B:$B,0)),
        $G313="Hollow Stainless",
            INDEX('Referensi Harga'!$D:$D,
                  MATCH($F313&amp;$C313,'Referensi Harga'!$A:$A&amp;'Referensi Harga'!$B:$B,0)),
        $G313="Pipa Stainless",
            INDEX('Referensi Harga'!$E:$E,
                  MATCH($F313&amp;$C313,'Referensi Harga'!$A:$A&amp;'Referensi Harga'!$B:$B,0))
     ),0)
  + IFERROR(VLOOKUP($H313,'Profile Size'!$A:$B,2,FALSE),0)
  + IFERROR(VLOOKUP($I313,'Ketebalan Material'!$A:$B,2,FALSE),0),
0)</f>
        <v>800000</v>
      </c>
      <c r="Q313">
        <f>IF($M313="PER-M2",
    IFERROR(
        SUMIFS('Upah Tenaga Ahli'!$C:$C,
               'Upah Tenaga Ahli'!$A:$A,"PER-M2",
               'Upah Tenaga Ahli'!$B:$B,$G313
        ) * $J313 * $K313,
    0),
IF($M313="PER-LUBANG",
    IFERROR(
        SUMIFS('Upah Tenaga Ahli'!$D:$D,
               'Upah Tenaga Ahli'!$A:$A,"PER-LUBANG",
               'Upah Tenaga Ahli'!$B:$B,$G313
        ) * $L313 * $K313,
    0),
IF($M313="PER-M",
    IFERROR(
        SUMIFS('Upah Tenaga Ahli'!$E:$E,
               'Upah Tenaga Ahli'!$A:$A,"PER-M",
               'Upah Tenaga Ahli'!$B:$B,$G313
        ) * $J313 * $K313,
    0),
0)))</f>
        <v>600000</v>
      </c>
      <c r="R313" t="s">
        <v>617</v>
      </c>
      <c r="S313" t="s">
        <v>23</v>
      </c>
      <c r="T313">
        <f>IF($M313="PER-M2",
   ($N313 * $J313 * $K313)
   + IFERROR(VLOOKUP($R313,Finishing!A:B,2,FALSE),0)
   + IFERROR(VLOOKUP($S313,Kerumitan!A:B,2,FALSE),0),
IF($M313="PER-LUBANG",
   ($P313 * $L313 * $K313)
   + IFERROR(VLOOKUP($R313,Finishing!A:B,2,FALSE),0)
   + IFERROR(VLOOKUP($S313,Kerumitan!A:B,2,FALSE),0),
IF($M313="PER-M",
   ($O313 * $J313 * $K313)
   + IFERROR(VLOOKUP($R313,Finishing!A:B,2,FALSE),0)
   + IFERROR(VLOOKUP($S313,Kerumitan!A:B,2,FALSE),0),
0)))</f>
        <v>3200000</v>
      </c>
    </row>
    <row r="314" spans="1:20" x14ac:dyDescent="0.45">
      <c r="A314" t="s">
        <v>411</v>
      </c>
      <c r="B314" s="5">
        <v>43477</v>
      </c>
      <c r="C314">
        <f t="shared" si="4"/>
        <v>2019</v>
      </c>
      <c r="D314" t="s">
        <v>49</v>
      </c>
      <c r="E314" t="s">
        <v>41</v>
      </c>
      <c r="F314" t="s">
        <v>7</v>
      </c>
      <c r="G314" t="s">
        <v>13</v>
      </c>
      <c r="H314" t="s">
        <v>46</v>
      </c>
      <c r="I314">
        <v>1</v>
      </c>
      <c r="J314">
        <v>6.56</v>
      </c>
      <c r="K314">
        <v>1</v>
      </c>
      <c r="L314">
        <v>0</v>
      </c>
      <c r="M314" t="str" cm="1">
        <f t="array" ref="M314">_xlfn.IFS(
   OR($F314="Pagar", $F314="Pintu Gerbang", $F314="Pintu Handerson", $F314="Kanopi"), "PER-M2",
   $F314="Teralis", "PER-LUBANG",
   OR($F314="Railing", $F314="Railing/Balkon"), "PER-M",
   TRUE, ""
)</f>
        <v>PER-M2</v>
      </c>
      <c r="N314" cm="1">
        <f t="array" ref="N314">IF($M314="PER-M2",
  IFERROR(
     _xlfn.IFS(
        $G314="Hollow",
            INDEX('Referensi Harga'!$C:$C,
                  MATCH($F314&amp;$C314,'Referensi Harga'!$A:$A&amp;'Referensi Harga'!$B:$B,0)),
        $G314="Hollow Stainless",
            INDEX('Referensi Harga'!$D:$D,
                  MATCH($F314&amp;$C314,'Referensi Harga'!$A:$A&amp;'Referensi Harga'!$B:$B,0)),
        $G314="Pipa Stainless",
            INDEX('Referensi Harga'!$E:$E,
                  MATCH($F314&amp;$C314,'Referensi Harga'!$A:$A&amp;'Referensi Harga'!$B:$B,0))
     ),0)
  + IFERROR(VLOOKUP($H314,'Profile Size'!$A:$B,2,FALSE),0)
  + IFERROR(VLOOKUP($I314,'Ketebalan Material'!$A:$B,2,FALSE),0),
0)</f>
        <v>650000</v>
      </c>
      <c r="O314">
        <f>IF($M314="PER-M",
  IFERROR(
    IF($G314="Hollow",
       INDEX('Referensi Harga'!$C:$C, MATCH($F314 &amp; "|" &amp; $C314, 'Referensi Harga'!$F:$F, 0)),
    IF($G314="Hollow Stainless",
       INDEX('Referensi Harga'!$D:$D, MATCH($F314 &amp; "|" &amp; $C314, 'Referensi Harga'!$F:$F, 0)),
       INDEX('Referensi Harga'!$E:$E, MATCH($F314 &amp; "|" &amp; $C314, 'Referensi Harga'!$F:$F, 0))
    ))
    + IFERROR(VLOOKUP($H314, 'Profile Size'!$A:$B, 2, FALSE), 0)
    + IFERROR(VLOOKUP($I314, 'Ketebalan Material'!$A:$B, 2, FALSE), 0), 0),
0)</f>
        <v>0</v>
      </c>
      <c r="P314" cm="1">
        <f t="array" ref="P314">IF($M314="PER-LUBANG",
  IFERROR(
     _xlfn.IFS(
        $G314="Hollow",
            INDEX('Referensi Harga'!$C:$C,
                  MATCH($F314&amp;$C314,'Referensi Harga'!$A:$A&amp;'Referensi Harga'!$B:$B,0)),
        $G314="Hollow Stainless",
            INDEX('Referensi Harga'!$D:$D,
                  MATCH($F314&amp;$C314,'Referensi Harga'!$A:$A&amp;'Referensi Harga'!$B:$B,0)),
        $G314="Pipa Stainless",
            INDEX('Referensi Harga'!$E:$E,
                  MATCH($F314&amp;$C314,'Referensi Harga'!$A:$A&amp;'Referensi Harga'!$B:$B,0))
     ),0)
  + IFERROR(VLOOKUP($H314,'Profile Size'!$A:$B,2,FALSE),0)
  + IFERROR(VLOOKUP($I314,'Ketebalan Material'!$A:$B,2,FALSE),0),
0)</f>
        <v>0</v>
      </c>
      <c r="Q314">
        <f>IF($M314="PER-M2",
    IFERROR(
        SUMIFS('Upah Tenaga Ahli'!$C:$C,
               'Upah Tenaga Ahli'!$A:$A,"PER-M2",
               'Upah Tenaga Ahli'!$B:$B,$G314
        ) * $J314 * $K314,
    0),
IF($M314="PER-LUBANG",
    IFERROR(
        SUMIFS('Upah Tenaga Ahli'!$D:$D,
               'Upah Tenaga Ahli'!$A:$A,"PER-LUBANG",
               'Upah Tenaga Ahli'!$B:$B,$G314
        ) * $L314 * $K314,
    0),
IF($M314="PER-M",
    IFERROR(
        SUMIFS('Upah Tenaga Ahli'!$E:$E,
               'Upah Tenaga Ahli'!$A:$A,"PER-M",
               'Upah Tenaga Ahli'!$B:$B,$G314
        ) * $J314 * $K314,
    0),
0)))</f>
        <v>656000</v>
      </c>
      <c r="R314" t="s">
        <v>18</v>
      </c>
      <c r="S314" t="s">
        <v>23</v>
      </c>
      <c r="T314">
        <f>IF($M314="PER-M2",
   ($N314 * $J314 * $K314)
   + IFERROR(VLOOKUP($R314,Finishing!A:B,2,FALSE),0)
   + IFERROR(VLOOKUP($S314,Kerumitan!A:B,2,FALSE),0),
IF($M314="PER-LUBANG",
   ($P314 * $L314 * $K314)
   + IFERROR(VLOOKUP($R314,Finishing!A:B,2,FALSE),0)
   + IFERROR(VLOOKUP($S314,Kerumitan!A:B,2,FALSE),0),
IF($M314="PER-M",
   ($O314 * $J314 * $K314)
   + IFERROR(VLOOKUP($R314,Finishing!A:B,2,FALSE),0)
   + IFERROR(VLOOKUP($S314,Kerumitan!A:B,2,FALSE),0),
0)))</f>
        <v>4264000</v>
      </c>
    </row>
    <row r="315" spans="1:20" x14ac:dyDescent="0.45">
      <c r="A315" t="s">
        <v>412</v>
      </c>
      <c r="B315" s="5">
        <v>45470</v>
      </c>
      <c r="C315">
        <f t="shared" si="4"/>
        <v>2024</v>
      </c>
      <c r="D315" t="s">
        <v>71</v>
      </c>
      <c r="E315" t="s">
        <v>121</v>
      </c>
      <c r="F315" t="s">
        <v>625</v>
      </c>
      <c r="G315" t="s">
        <v>13</v>
      </c>
      <c r="H315" t="s">
        <v>33</v>
      </c>
      <c r="I315">
        <v>1.2</v>
      </c>
      <c r="J315">
        <v>7.94</v>
      </c>
      <c r="K315">
        <v>3</v>
      </c>
      <c r="L315">
        <v>0</v>
      </c>
      <c r="M315" t="str" cm="1">
        <f t="array" ref="M315">_xlfn.IFS(
   OR($F315="Pagar", $F315="Pintu Gerbang", $F315="Pintu Handerson", $F315="Kanopi"), "PER-M2",
   $F315="Teralis", "PER-LUBANG",
   OR($F315="Railing", $F315="Railing/Balkon"), "PER-M",
   TRUE, ""
)</f>
        <v>PER-M</v>
      </c>
      <c r="N315" cm="1">
        <f t="array" ref="N315">IF($M315="PER-M2",
  IFERROR(
     _xlfn.IFS(
        $G315="Hollow",
            INDEX('Referensi Harga'!$C:$C,
                  MATCH($F315&amp;$C315,'Referensi Harga'!$A:$A&amp;'Referensi Harga'!$B:$B,0)),
        $G315="Hollow Stainless",
            INDEX('Referensi Harga'!$D:$D,
                  MATCH($F315&amp;$C315,'Referensi Harga'!$A:$A&amp;'Referensi Harga'!$B:$B,0)),
        $G315="Pipa Stainless",
            INDEX('Referensi Harga'!$E:$E,
                  MATCH($F315&amp;$C315,'Referensi Harga'!$A:$A&amp;'Referensi Harga'!$B:$B,0))
     ),0)
  + IFERROR(VLOOKUP($H315,'Profile Size'!$A:$B,2,FALSE),0)
  + IFERROR(VLOOKUP($I315,'Ketebalan Material'!$A:$B,2,FALSE),0),
0)</f>
        <v>0</v>
      </c>
      <c r="O315">
        <f>IF($M315="PER-M",
  IFERROR(
    IF($G315="Hollow",
       INDEX('Referensi Harga'!$C:$C, MATCH($F315 &amp; "|" &amp; $C315, 'Referensi Harga'!$F:$F, 0)),
    IF($G315="Hollow Stainless",
       INDEX('Referensi Harga'!$D:$D, MATCH($F315 &amp; "|" &amp; $C315, 'Referensi Harga'!$F:$F, 0)),
       INDEX('Referensi Harga'!$E:$E, MATCH($F315 &amp; "|" &amp; $C315, 'Referensi Harga'!$F:$F, 0))
    ))
    + IFERROR(VLOOKUP($H315, 'Profile Size'!$A:$B, 2, FALSE), 0)
    + IFERROR(VLOOKUP($I315, 'Ketebalan Material'!$A:$B, 2, FALSE), 0), 0),
0)</f>
        <v>600000</v>
      </c>
      <c r="P315" cm="1">
        <f t="array" ref="P315">IF($M315="PER-LUBANG",
  IFERROR(
     _xlfn.IFS(
        $G315="Hollow",
            INDEX('Referensi Harga'!$C:$C,
                  MATCH($F315&amp;$C315,'Referensi Harga'!$A:$A&amp;'Referensi Harga'!$B:$B,0)),
        $G315="Hollow Stainless",
            INDEX('Referensi Harga'!$D:$D,
                  MATCH($F315&amp;$C315,'Referensi Harga'!$A:$A&amp;'Referensi Harga'!$B:$B,0)),
        $G315="Pipa Stainless",
            INDEX('Referensi Harga'!$E:$E,
                  MATCH($F315&amp;$C315,'Referensi Harga'!$A:$A&amp;'Referensi Harga'!$B:$B,0))
     ),0)
  + IFERROR(VLOOKUP($H315,'Profile Size'!$A:$B,2,FALSE),0)
  + IFERROR(VLOOKUP($I315,'Ketebalan Material'!$A:$B,2,FALSE),0),
0)</f>
        <v>0</v>
      </c>
      <c r="Q315">
        <f>IF($M315="PER-M2",
    IFERROR(
        SUMIFS('Upah Tenaga Ahli'!$C:$C,
               'Upah Tenaga Ahli'!$A:$A,"PER-M2",
               'Upah Tenaga Ahli'!$B:$B,$G315
        ) * $J315 * $K315,
    0),
IF($M315="PER-LUBANG",
    IFERROR(
        SUMIFS('Upah Tenaga Ahli'!$D:$D,
               'Upah Tenaga Ahli'!$A:$A,"PER-LUBANG",
               'Upah Tenaga Ahli'!$B:$B,$G315
        ) * $L315 * $K315,
    0),
IF($M315="PER-M",
    IFERROR(
        SUMIFS('Upah Tenaga Ahli'!$E:$E,
               'Upah Tenaga Ahli'!$A:$A,"PER-M",
               'Upah Tenaga Ahli'!$B:$B,$G315
        ) * $J315 * $K315,
    0),
0)))</f>
        <v>2382000</v>
      </c>
      <c r="R315" t="s">
        <v>19</v>
      </c>
      <c r="S315" t="s">
        <v>24</v>
      </c>
      <c r="T315">
        <f>IF($M315="PER-M2",
   ($N315 * $J315 * $K315)
   + IFERROR(VLOOKUP($R315,Finishing!A:B,2,FALSE),0)
   + IFERROR(VLOOKUP($S315,Kerumitan!A:B,2,FALSE),0),
IF($M315="PER-LUBANG",
   ($P315 * $L315 * $K315)
   + IFERROR(VLOOKUP($R315,Finishing!A:B,2,FALSE),0)
   + IFERROR(VLOOKUP($S315,Kerumitan!A:B,2,FALSE),0),
IF($M315="PER-M",
   ($O315 * $J315 * $K315)
   + IFERROR(VLOOKUP($R315,Finishing!A:B,2,FALSE),0)
   + IFERROR(VLOOKUP($S315,Kerumitan!A:B,2,FALSE),0),
0)))</f>
        <v>14442000</v>
      </c>
    </row>
    <row r="316" spans="1:20" x14ac:dyDescent="0.45">
      <c r="A316" t="s">
        <v>413</v>
      </c>
      <c r="B316" s="5">
        <v>44741</v>
      </c>
      <c r="C316">
        <f t="shared" si="4"/>
        <v>2022</v>
      </c>
      <c r="D316" t="s">
        <v>143</v>
      </c>
      <c r="E316" t="s">
        <v>121</v>
      </c>
      <c r="F316" t="s">
        <v>7</v>
      </c>
      <c r="G316" t="s">
        <v>14</v>
      </c>
      <c r="H316" t="s">
        <v>615</v>
      </c>
      <c r="I316">
        <v>1.2</v>
      </c>
      <c r="J316">
        <v>5.64</v>
      </c>
      <c r="K316">
        <v>1</v>
      </c>
      <c r="L316">
        <v>0</v>
      </c>
      <c r="M316" t="str" cm="1">
        <f t="array" ref="M316">_xlfn.IFS(
   OR($F316="Pagar", $F316="Pintu Gerbang", $F316="Pintu Handerson", $F316="Kanopi"), "PER-M2",
   $F316="Teralis", "PER-LUBANG",
   OR($F316="Railing", $F316="Railing/Balkon"), "PER-M",
   TRUE, ""
)</f>
        <v>PER-M2</v>
      </c>
      <c r="N316" cm="1">
        <f t="array" ref="N316">IF($M316="PER-M2",
  IFERROR(
     _xlfn.IFS(
        $G316="Hollow",
            INDEX('Referensi Harga'!$C:$C,
                  MATCH($F316&amp;$C316,'Referensi Harga'!$A:$A&amp;'Referensi Harga'!$B:$B,0)),
        $G316="Hollow Stainless",
            INDEX('Referensi Harga'!$D:$D,
                  MATCH($F316&amp;$C316,'Referensi Harga'!$A:$A&amp;'Referensi Harga'!$B:$B,0)),
        $G316="Pipa Stainless",
            INDEX('Referensi Harga'!$E:$E,
                  MATCH($F316&amp;$C316,'Referensi Harga'!$A:$A&amp;'Referensi Harga'!$B:$B,0))
     ),0)
  + IFERROR(VLOOKUP($H316,'Profile Size'!$A:$B,2,FALSE),0)
  + IFERROR(VLOOKUP($I316,'Ketebalan Material'!$A:$B,2,FALSE),0),
0)</f>
        <v>1300000</v>
      </c>
      <c r="O316">
        <f>IF($M316="PER-M",
  IFERROR(
    IF($G316="Hollow",
       INDEX('Referensi Harga'!$C:$C, MATCH($F316 &amp; "|" &amp; $C316, 'Referensi Harga'!$F:$F, 0)),
    IF($G316="Hollow Stainless",
       INDEX('Referensi Harga'!$D:$D, MATCH($F316 &amp; "|" &amp; $C316, 'Referensi Harga'!$F:$F, 0)),
       INDEX('Referensi Harga'!$E:$E, MATCH($F316 &amp; "|" &amp; $C316, 'Referensi Harga'!$F:$F, 0))
    ))
    + IFERROR(VLOOKUP($H316, 'Profile Size'!$A:$B, 2, FALSE), 0)
    + IFERROR(VLOOKUP($I316, 'Ketebalan Material'!$A:$B, 2, FALSE), 0), 0),
0)</f>
        <v>0</v>
      </c>
      <c r="P316" cm="1">
        <f t="array" ref="P316">IF($M316="PER-LUBANG",
  IFERROR(
     _xlfn.IFS(
        $G316="Hollow",
            INDEX('Referensi Harga'!$C:$C,
                  MATCH($F316&amp;$C316,'Referensi Harga'!$A:$A&amp;'Referensi Harga'!$B:$B,0)),
        $G316="Hollow Stainless",
            INDEX('Referensi Harga'!$D:$D,
                  MATCH($F316&amp;$C316,'Referensi Harga'!$A:$A&amp;'Referensi Harga'!$B:$B,0)),
        $G316="Pipa Stainless",
            INDEX('Referensi Harga'!$E:$E,
                  MATCH($F316&amp;$C316,'Referensi Harga'!$A:$A&amp;'Referensi Harga'!$B:$B,0))
     ),0)
  + IFERROR(VLOOKUP($H316,'Profile Size'!$A:$B,2,FALSE),0)
  + IFERROR(VLOOKUP($I316,'Ketebalan Material'!$A:$B,2,FALSE),0),
0)</f>
        <v>0</v>
      </c>
      <c r="Q316">
        <f>IF($M316="PER-M2",
    IFERROR(
        SUMIFS('Upah Tenaga Ahli'!$C:$C,
               'Upah Tenaga Ahli'!$A:$A,"PER-M2",
               'Upah Tenaga Ahli'!$B:$B,$G316
        ) * $J316 * $K316,
    0),
IF($M316="PER-LUBANG",
    IFERROR(
        SUMIFS('Upah Tenaga Ahli'!$D:$D,
               'Upah Tenaga Ahli'!$A:$A,"PER-LUBANG",
               'Upah Tenaga Ahli'!$B:$B,$G316
        ) * $L316 * $K316,
    0),
IF($M316="PER-M",
    IFERROR(
        SUMIFS('Upah Tenaga Ahli'!$E:$E,
               'Upah Tenaga Ahli'!$A:$A,"PER-M",
               'Upah Tenaga Ahli'!$B:$B,$G316
        ) * $J316 * $K316,
    0),
0)))</f>
        <v>1128000</v>
      </c>
      <c r="R316" t="s">
        <v>617</v>
      </c>
      <c r="S316" t="s">
        <v>23</v>
      </c>
      <c r="T316">
        <f>IF($M316="PER-M2",
   ($N316 * $J316 * $K316)
   + IFERROR(VLOOKUP($R316,Finishing!A:B,2,FALSE),0)
   + IFERROR(VLOOKUP($S316,Kerumitan!A:B,2,FALSE),0),
IF($M316="PER-LUBANG",
   ($P316 * $L316 * $K316)
   + IFERROR(VLOOKUP($R316,Finishing!A:B,2,FALSE),0)
   + IFERROR(VLOOKUP($S316,Kerumitan!A:B,2,FALSE),0),
IF($M316="PER-M",
   ($O316 * $J316 * $K316)
   + IFERROR(VLOOKUP($R316,Finishing!A:B,2,FALSE),0)
   + IFERROR(VLOOKUP($S316,Kerumitan!A:B,2,FALSE),0),
0)))</f>
        <v>7332000</v>
      </c>
    </row>
    <row r="317" spans="1:20" x14ac:dyDescent="0.45">
      <c r="A317" t="s">
        <v>414</v>
      </c>
      <c r="B317" s="5">
        <v>45783</v>
      </c>
      <c r="C317">
        <f t="shared" si="4"/>
        <v>2025</v>
      </c>
      <c r="D317" t="s">
        <v>81</v>
      </c>
      <c r="E317" t="s">
        <v>28</v>
      </c>
      <c r="F317" t="s">
        <v>625</v>
      </c>
      <c r="G317" t="s">
        <v>13</v>
      </c>
      <c r="H317" t="s">
        <v>46</v>
      </c>
      <c r="I317">
        <v>1</v>
      </c>
      <c r="J317">
        <v>2.52</v>
      </c>
      <c r="K317">
        <v>3</v>
      </c>
      <c r="L317">
        <v>0</v>
      </c>
      <c r="M317" t="str" cm="1">
        <f t="array" ref="M317">_xlfn.IFS(
   OR($F317="Pagar", $F317="Pintu Gerbang", $F317="Pintu Handerson", $F317="Kanopi"), "PER-M2",
   $F317="Teralis", "PER-LUBANG",
   OR($F317="Railing", $F317="Railing/Balkon"), "PER-M",
   TRUE, ""
)</f>
        <v>PER-M</v>
      </c>
      <c r="N317" cm="1">
        <f t="array" ref="N317">IF($M317="PER-M2",
  IFERROR(
     _xlfn.IFS(
        $G317="Hollow",
            INDEX('Referensi Harga'!$C:$C,
                  MATCH($F317&amp;$C317,'Referensi Harga'!$A:$A&amp;'Referensi Harga'!$B:$B,0)),
        $G317="Hollow Stainless",
            INDEX('Referensi Harga'!$D:$D,
                  MATCH($F317&amp;$C317,'Referensi Harga'!$A:$A&amp;'Referensi Harga'!$B:$B,0)),
        $G317="Pipa Stainless",
            INDEX('Referensi Harga'!$E:$E,
                  MATCH($F317&amp;$C317,'Referensi Harga'!$A:$A&amp;'Referensi Harga'!$B:$B,0))
     ),0)
  + IFERROR(VLOOKUP($H317,'Profile Size'!$A:$B,2,FALSE),0)
  + IFERROR(VLOOKUP($I317,'Ketebalan Material'!$A:$B,2,FALSE),0),
0)</f>
        <v>0</v>
      </c>
      <c r="O317">
        <f>IF($M317="PER-M",
  IFERROR(
    IF($G317="Hollow",
       INDEX('Referensi Harga'!$C:$C, MATCH($F317 &amp; "|" &amp; $C317, 'Referensi Harga'!$F:$F, 0)),
    IF($G317="Hollow Stainless",
       INDEX('Referensi Harga'!$D:$D, MATCH($F317 &amp; "|" &amp; $C317, 'Referensi Harga'!$F:$F, 0)),
       INDEX('Referensi Harga'!$E:$E, MATCH($F317 &amp; "|" &amp; $C317, 'Referensi Harga'!$F:$F, 0))
    ))
    + IFERROR(VLOOKUP($H317, 'Profile Size'!$A:$B, 2, FALSE), 0)
    + IFERROR(VLOOKUP($I317, 'Ketebalan Material'!$A:$B, 2, FALSE), 0), 0),
0)</f>
        <v>600000</v>
      </c>
      <c r="P317" cm="1">
        <f t="array" ref="P317">IF($M317="PER-LUBANG",
  IFERROR(
     _xlfn.IFS(
        $G317="Hollow",
            INDEX('Referensi Harga'!$C:$C,
                  MATCH($F317&amp;$C317,'Referensi Harga'!$A:$A&amp;'Referensi Harga'!$B:$B,0)),
        $G317="Hollow Stainless",
            INDEX('Referensi Harga'!$D:$D,
                  MATCH($F317&amp;$C317,'Referensi Harga'!$A:$A&amp;'Referensi Harga'!$B:$B,0)),
        $G317="Pipa Stainless",
            INDEX('Referensi Harga'!$E:$E,
                  MATCH($F317&amp;$C317,'Referensi Harga'!$A:$A&amp;'Referensi Harga'!$B:$B,0))
     ),0)
  + IFERROR(VLOOKUP($H317,'Profile Size'!$A:$B,2,FALSE),0)
  + IFERROR(VLOOKUP($I317,'Ketebalan Material'!$A:$B,2,FALSE),0),
0)</f>
        <v>0</v>
      </c>
      <c r="Q317">
        <f>IF($M317="PER-M2",
    IFERROR(
        SUMIFS('Upah Tenaga Ahli'!$C:$C,
               'Upah Tenaga Ahli'!$A:$A,"PER-M2",
               'Upah Tenaga Ahli'!$B:$B,$G317
        ) * $J317 * $K317,
    0),
IF($M317="PER-LUBANG",
    IFERROR(
        SUMIFS('Upah Tenaga Ahli'!$D:$D,
               'Upah Tenaga Ahli'!$A:$A,"PER-LUBANG",
               'Upah Tenaga Ahli'!$B:$B,$G317
        ) * $L317 * $K317,
    0),
IF($M317="PER-M",
    IFERROR(
        SUMIFS('Upah Tenaga Ahli'!$E:$E,
               'Upah Tenaga Ahli'!$A:$A,"PER-M",
               'Upah Tenaga Ahli'!$B:$B,$G317
        ) * $J317 * $K317,
    0),
0)))</f>
        <v>756000</v>
      </c>
      <c r="R317" t="s">
        <v>19</v>
      </c>
      <c r="S317" t="s">
        <v>23</v>
      </c>
      <c r="T317">
        <f>IF($M317="PER-M2",
   ($N317 * $J317 * $K317)
   + IFERROR(VLOOKUP($R317,Finishing!A:B,2,FALSE),0)
   + IFERROR(VLOOKUP($S317,Kerumitan!A:B,2,FALSE),0),
IF($M317="PER-LUBANG",
   ($P317 * $L317 * $K317)
   + IFERROR(VLOOKUP($R317,Finishing!A:B,2,FALSE),0)
   + IFERROR(VLOOKUP($S317,Kerumitan!A:B,2,FALSE),0),
IF($M317="PER-M",
   ($O317 * $J317 * $K317)
   + IFERROR(VLOOKUP($R317,Finishing!A:B,2,FALSE),0)
   + IFERROR(VLOOKUP($S317,Kerumitan!A:B,2,FALSE),0),
0)))</f>
        <v>4586000</v>
      </c>
    </row>
    <row r="318" spans="1:20" x14ac:dyDescent="0.45">
      <c r="A318" t="s">
        <v>415</v>
      </c>
      <c r="B318" s="5">
        <v>45574</v>
      </c>
      <c r="C318">
        <f t="shared" si="4"/>
        <v>2024</v>
      </c>
      <c r="D318" t="s">
        <v>93</v>
      </c>
      <c r="E318" t="s">
        <v>105</v>
      </c>
      <c r="F318" t="s">
        <v>625</v>
      </c>
      <c r="G318" t="s">
        <v>13</v>
      </c>
      <c r="H318" t="s">
        <v>33</v>
      </c>
      <c r="I318">
        <v>1</v>
      </c>
      <c r="J318">
        <v>6.57</v>
      </c>
      <c r="K318">
        <v>2</v>
      </c>
      <c r="L318">
        <v>0</v>
      </c>
      <c r="M318" t="str" cm="1">
        <f t="array" ref="M318">_xlfn.IFS(
   OR($F318="Pagar", $F318="Pintu Gerbang", $F318="Pintu Handerson", $F318="Kanopi"), "PER-M2",
   $F318="Teralis", "PER-LUBANG",
   OR($F318="Railing", $F318="Railing/Balkon"), "PER-M",
   TRUE, ""
)</f>
        <v>PER-M</v>
      </c>
      <c r="N318" cm="1">
        <f t="array" ref="N318">IF($M318="PER-M2",
  IFERROR(
     _xlfn.IFS(
        $G318="Hollow",
            INDEX('Referensi Harga'!$C:$C,
                  MATCH($F318&amp;$C318,'Referensi Harga'!$A:$A&amp;'Referensi Harga'!$B:$B,0)),
        $G318="Hollow Stainless",
            INDEX('Referensi Harga'!$D:$D,
                  MATCH($F318&amp;$C318,'Referensi Harga'!$A:$A&amp;'Referensi Harga'!$B:$B,0)),
        $G318="Pipa Stainless",
            INDEX('Referensi Harga'!$E:$E,
                  MATCH($F318&amp;$C318,'Referensi Harga'!$A:$A&amp;'Referensi Harga'!$B:$B,0))
     ),0)
  + IFERROR(VLOOKUP($H318,'Profile Size'!$A:$B,2,FALSE),0)
  + IFERROR(VLOOKUP($I318,'Ketebalan Material'!$A:$B,2,FALSE),0),
0)</f>
        <v>0</v>
      </c>
      <c r="O318">
        <f>IF($M318="PER-M",
  IFERROR(
    IF($G318="Hollow",
       INDEX('Referensi Harga'!$C:$C, MATCH($F318 &amp; "|" &amp; $C318, 'Referensi Harga'!$F:$F, 0)),
    IF($G318="Hollow Stainless",
       INDEX('Referensi Harga'!$D:$D, MATCH($F318 &amp; "|" &amp; $C318, 'Referensi Harga'!$F:$F, 0)),
       INDEX('Referensi Harga'!$E:$E, MATCH($F318 &amp; "|" &amp; $C318, 'Referensi Harga'!$F:$F, 0))
    ))
    + IFERROR(VLOOKUP($H318, 'Profile Size'!$A:$B, 2, FALSE), 0)
    + IFERROR(VLOOKUP($I318, 'Ketebalan Material'!$A:$B, 2, FALSE), 0), 0),
0)</f>
        <v>550000</v>
      </c>
      <c r="P318" cm="1">
        <f t="array" ref="P318">IF($M318="PER-LUBANG",
  IFERROR(
     _xlfn.IFS(
        $G318="Hollow",
            INDEX('Referensi Harga'!$C:$C,
                  MATCH($F318&amp;$C318,'Referensi Harga'!$A:$A&amp;'Referensi Harga'!$B:$B,0)),
        $G318="Hollow Stainless",
            INDEX('Referensi Harga'!$D:$D,
                  MATCH($F318&amp;$C318,'Referensi Harga'!$A:$A&amp;'Referensi Harga'!$B:$B,0)),
        $G318="Pipa Stainless",
            INDEX('Referensi Harga'!$E:$E,
                  MATCH($F318&amp;$C318,'Referensi Harga'!$A:$A&amp;'Referensi Harga'!$B:$B,0))
     ),0)
  + IFERROR(VLOOKUP($H318,'Profile Size'!$A:$B,2,FALSE),0)
  + IFERROR(VLOOKUP($I318,'Ketebalan Material'!$A:$B,2,FALSE),0),
0)</f>
        <v>0</v>
      </c>
      <c r="Q318">
        <f>IF($M318="PER-M2",
    IFERROR(
        SUMIFS('Upah Tenaga Ahli'!$C:$C,
               'Upah Tenaga Ahli'!$A:$A,"PER-M2",
               'Upah Tenaga Ahli'!$B:$B,$G318
        ) * $J318 * $K318,
    0),
IF($M318="PER-LUBANG",
    IFERROR(
        SUMIFS('Upah Tenaga Ahli'!$D:$D,
               'Upah Tenaga Ahli'!$A:$A,"PER-LUBANG",
               'Upah Tenaga Ahli'!$B:$B,$G318
        ) * $L318 * $K318,
    0),
IF($M318="PER-M",
    IFERROR(
        SUMIFS('Upah Tenaga Ahli'!$E:$E,
               'Upah Tenaga Ahli'!$A:$A,"PER-M",
               'Upah Tenaga Ahli'!$B:$B,$G318
        ) * $J318 * $K318,
    0),
0)))</f>
        <v>1314000</v>
      </c>
      <c r="R318" t="s">
        <v>19</v>
      </c>
      <c r="S318" t="s">
        <v>24</v>
      </c>
      <c r="T318">
        <f>IF($M318="PER-M2",
   ($N318 * $J318 * $K318)
   + IFERROR(VLOOKUP($R318,Finishing!A:B,2,FALSE),0)
   + IFERROR(VLOOKUP($S318,Kerumitan!A:B,2,FALSE),0),
IF($M318="PER-LUBANG",
   ($P318 * $L318 * $K318)
   + IFERROR(VLOOKUP($R318,Finishing!A:B,2,FALSE),0)
   + IFERROR(VLOOKUP($S318,Kerumitan!A:B,2,FALSE),0),
IF($M318="PER-M",
   ($O318 * $J318 * $K318)
   + IFERROR(VLOOKUP($R318,Finishing!A:B,2,FALSE),0)
   + IFERROR(VLOOKUP($S318,Kerumitan!A:B,2,FALSE),0),
0)))</f>
        <v>7377000</v>
      </c>
    </row>
    <row r="319" spans="1:20" x14ac:dyDescent="0.45">
      <c r="A319" t="s">
        <v>416</v>
      </c>
      <c r="B319" s="5">
        <v>44047</v>
      </c>
      <c r="C319">
        <f t="shared" si="4"/>
        <v>2020</v>
      </c>
      <c r="D319" t="s">
        <v>159</v>
      </c>
      <c r="E319" t="s">
        <v>28</v>
      </c>
      <c r="F319" t="s">
        <v>8</v>
      </c>
      <c r="G319" t="s">
        <v>14</v>
      </c>
      <c r="H319" t="s">
        <v>612</v>
      </c>
      <c r="I319">
        <v>0.8</v>
      </c>
      <c r="J319">
        <v>0</v>
      </c>
      <c r="K319">
        <v>1</v>
      </c>
      <c r="L319">
        <v>17</v>
      </c>
      <c r="M319" t="str" cm="1">
        <f t="array" ref="M319">_xlfn.IFS(
   OR($F319="Pagar", $F319="Pintu Gerbang", $F319="Pintu Handerson", $F319="Kanopi"), "PER-M2",
   $F319="Teralis", "PER-LUBANG",
   OR($F319="Railing", $F319="Railing/Balkon"), "PER-M",
   TRUE, ""
)</f>
        <v>PER-LUBANG</v>
      </c>
      <c r="N319" cm="1">
        <f t="array" ref="N319">IF($M319="PER-M2",
  IFERROR(
     _xlfn.IFS(
        $G319="Hollow",
            INDEX('Referensi Harga'!$C:$C,
                  MATCH($F319&amp;$C319,'Referensi Harga'!$A:$A&amp;'Referensi Harga'!$B:$B,0)),
        $G319="Hollow Stainless",
            INDEX('Referensi Harga'!$D:$D,
                  MATCH($F319&amp;$C319,'Referensi Harga'!$A:$A&amp;'Referensi Harga'!$B:$B,0)),
        $G319="Pipa Stainless",
            INDEX('Referensi Harga'!$E:$E,
                  MATCH($F319&amp;$C319,'Referensi Harga'!$A:$A&amp;'Referensi Harga'!$B:$B,0))
     ),0)
  + IFERROR(VLOOKUP($H319,'Profile Size'!$A:$B,2,FALSE),0)
  + IFERROR(VLOOKUP($I319,'Ketebalan Material'!$A:$B,2,FALSE),0),
0)</f>
        <v>0</v>
      </c>
      <c r="O319">
        <f>IF($M319="PER-M",
  IFERROR(
    IF($G319="Hollow",
       INDEX('Referensi Harga'!$C:$C, MATCH($F319 &amp; "|" &amp; $C319, 'Referensi Harga'!$F:$F, 0)),
    IF($G319="Hollow Stainless",
       INDEX('Referensi Harga'!$D:$D, MATCH($F319 &amp; "|" &amp; $C319, 'Referensi Harga'!$F:$F, 0)),
       INDEX('Referensi Harga'!$E:$E, MATCH($F319 &amp; "|" &amp; $C319, 'Referensi Harga'!$F:$F, 0))
    ))
    + IFERROR(VLOOKUP($H319, 'Profile Size'!$A:$B, 2, FALSE), 0)
    + IFERROR(VLOOKUP($I319, 'Ketebalan Material'!$A:$B, 2, FALSE), 0), 0),
0)</f>
        <v>0</v>
      </c>
      <c r="P319" cm="1">
        <f t="array" ref="P319">IF($M319="PER-LUBANG",
  IFERROR(
     _xlfn.IFS(
        $G319="Hollow",
            INDEX('Referensi Harga'!$C:$C,
                  MATCH($F319&amp;$C319,'Referensi Harga'!$A:$A&amp;'Referensi Harga'!$B:$B,0)),
        $G319="Hollow Stainless",
            INDEX('Referensi Harga'!$D:$D,
                  MATCH($F319&amp;$C319,'Referensi Harga'!$A:$A&amp;'Referensi Harga'!$B:$B,0)),
        $G319="Pipa Stainless",
            INDEX('Referensi Harga'!$E:$E,
                  MATCH($F319&amp;$C319,'Referensi Harga'!$A:$A&amp;'Referensi Harga'!$B:$B,0))
     ),0)
  + IFERROR(VLOOKUP($H319,'Profile Size'!$A:$B,2,FALSE),0)
  + IFERROR(VLOOKUP($I319,'Ketebalan Material'!$A:$B,2,FALSE),0),
0)</f>
        <v>620000</v>
      </c>
      <c r="Q319">
        <f>IF($M319="PER-M2",
    IFERROR(
        SUMIFS('Upah Tenaga Ahli'!$C:$C,
               'Upah Tenaga Ahli'!$A:$A,"PER-M2",
               'Upah Tenaga Ahli'!$B:$B,$G319
        ) * $J319 * $K319,
    0),
IF($M319="PER-LUBANG",
    IFERROR(
        SUMIFS('Upah Tenaga Ahli'!$D:$D,
               'Upah Tenaga Ahli'!$A:$A,"PER-LUBANG",
               'Upah Tenaga Ahli'!$B:$B,$G319
        ) * $L319 * $K319,
    0),
IF($M319="PER-M",
    IFERROR(
        SUMIFS('Upah Tenaga Ahli'!$E:$E,
               'Upah Tenaga Ahli'!$A:$A,"PER-M",
               'Upah Tenaga Ahli'!$B:$B,$G319
        ) * $J319 * $K319,
    0),
0)))</f>
        <v>2550000</v>
      </c>
      <c r="R319" t="s">
        <v>617</v>
      </c>
      <c r="S319" t="s">
        <v>24</v>
      </c>
      <c r="T319">
        <f>IF($M319="PER-M2",
   ($N319 * $J319 * $K319)
   + IFERROR(VLOOKUP($R319,Finishing!A:B,2,FALSE),0)
   + IFERROR(VLOOKUP($S319,Kerumitan!A:B,2,FALSE),0),
IF($M319="PER-LUBANG",
   ($P319 * $L319 * $K319)
   + IFERROR(VLOOKUP($R319,Finishing!A:B,2,FALSE),0)
   + IFERROR(VLOOKUP($S319,Kerumitan!A:B,2,FALSE),0),
IF($M319="PER-M",
   ($O319 * $J319 * $K319)
   + IFERROR(VLOOKUP($R319,Finishing!A:B,2,FALSE),0)
   + IFERROR(VLOOKUP($S319,Kerumitan!A:B,2,FALSE),0),
0)))</f>
        <v>10640000</v>
      </c>
    </row>
    <row r="320" spans="1:20" x14ac:dyDescent="0.45">
      <c r="A320" t="s">
        <v>417</v>
      </c>
      <c r="B320" s="5">
        <v>45651</v>
      </c>
      <c r="C320">
        <f t="shared" si="4"/>
        <v>2024</v>
      </c>
      <c r="D320" t="s">
        <v>171</v>
      </c>
      <c r="E320" t="s">
        <v>108</v>
      </c>
      <c r="F320" t="s">
        <v>6</v>
      </c>
      <c r="G320" t="s">
        <v>13</v>
      </c>
      <c r="H320" t="s">
        <v>615</v>
      </c>
      <c r="I320">
        <v>0.8</v>
      </c>
      <c r="J320">
        <v>20.27</v>
      </c>
      <c r="K320">
        <v>1</v>
      </c>
      <c r="L320">
        <v>0</v>
      </c>
      <c r="M320" t="str" cm="1">
        <f t="array" ref="M320">_xlfn.IFS(
   OR($F320="Pagar", $F320="Pintu Gerbang", $F320="Pintu Handerson", $F320="Kanopi"), "PER-M2",
   $F320="Teralis", "PER-LUBANG",
   OR($F320="Railing", $F320="Railing/Balkon"), "PER-M",
   TRUE, ""
)</f>
        <v>PER-M2</v>
      </c>
      <c r="N320" cm="1">
        <f t="array" ref="N320">IF($M320="PER-M2",
  IFERROR(
     _xlfn.IFS(
        $G320="Hollow",
            INDEX('Referensi Harga'!$C:$C,
                  MATCH($F320&amp;$C320,'Referensi Harga'!$A:$A&amp;'Referensi Harga'!$B:$B,0)),
        $G320="Hollow Stainless",
            INDEX('Referensi Harga'!$D:$D,
                  MATCH($F320&amp;$C320,'Referensi Harga'!$A:$A&amp;'Referensi Harga'!$B:$B,0)),
        $G320="Pipa Stainless",
            INDEX('Referensi Harga'!$E:$E,
                  MATCH($F320&amp;$C320,'Referensi Harga'!$A:$A&amp;'Referensi Harga'!$B:$B,0))
     ),0)
  + IFERROR(VLOOKUP($H320,'Profile Size'!$A:$B,2,FALSE),0)
  + IFERROR(VLOOKUP($I320,'Ketebalan Material'!$A:$B,2,FALSE),0),
0)</f>
        <v>550000</v>
      </c>
      <c r="O320">
        <f>IF($M320="PER-M",
  IFERROR(
    IF($G320="Hollow",
       INDEX('Referensi Harga'!$C:$C, MATCH($F320 &amp; "|" &amp; $C320, 'Referensi Harga'!$F:$F, 0)),
    IF($G320="Hollow Stainless",
       INDEX('Referensi Harga'!$D:$D, MATCH($F320 &amp; "|" &amp; $C320, 'Referensi Harga'!$F:$F, 0)),
       INDEX('Referensi Harga'!$E:$E, MATCH($F320 &amp; "|" &amp; $C320, 'Referensi Harga'!$F:$F, 0))
    ))
    + IFERROR(VLOOKUP($H320, 'Profile Size'!$A:$B, 2, FALSE), 0)
    + IFERROR(VLOOKUP($I320, 'Ketebalan Material'!$A:$B, 2, FALSE), 0), 0),
0)</f>
        <v>0</v>
      </c>
      <c r="P320" cm="1">
        <f t="array" ref="P320">IF($M320="PER-LUBANG",
  IFERROR(
     _xlfn.IFS(
        $G320="Hollow",
            INDEX('Referensi Harga'!$C:$C,
                  MATCH($F320&amp;$C320,'Referensi Harga'!$A:$A&amp;'Referensi Harga'!$B:$B,0)),
        $G320="Hollow Stainless",
            INDEX('Referensi Harga'!$D:$D,
                  MATCH($F320&amp;$C320,'Referensi Harga'!$A:$A&amp;'Referensi Harga'!$B:$B,0)),
        $G320="Pipa Stainless",
            INDEX('Referensi Harga'!$E:$E,
                  MATCH($F320&amp;$C320,'Referensi Harga'!$A:$A&amp;'Referensi Harga'!$B:$B,0))
     ),0)
  + IFERROR(VLOOKUP($H320,'Profile Size'!$A:$B,2,FALSE),0)
  + IFERROR(VLOOKUP($I320,'Ketebalan Material'!$A:$B,2,FALSE),0),
0)</f>
        <v>0</v>
      </c>
      <c r="Q320">
        <f>IF($M320="PER-M2",
    IFERROR(
        SUMIFS('Upah Tenaga Ahli'!$C:$C,
               'Upah Tenaga Ahli'!$A:$A,"PER-M2",
               'Upah Tenaga Ahli'!$B:$B,$G320
        ) * $J320 * $K320,
    0),
IF($M320="PER-LUBANG",
    IFERROR(
        SUMIFS('Upah Tenaga Ahli'!$D:$D,
               'Upah Tenaga Ahli'!$A:$A,"PER-LUBANG",
               'Upah Tenaga Ahli'!$B:$B,$G320
        ) * $L320 * $K320,
    0),
IF($M320="PER-M",
    IFERROR(
        SUMIFS('Upah Tenaga Ahli'!$E:$E,
               'Upah Tenaga Ahli'!$A:$A,"PER-M",
               'Upah Tenaga Ahli'!$B:$B,$G320
        ) * $J320 * $K320,
    0),
0)))</f>
        <v>2027000</v>
      </c>
      <c r="R320" t="s">
        <v>18</v>
      </c>
      <c r="S320" t="s">
        <v>24</v>
      </c>
      <c r="T320">
        <f>IF($M320="PER-M2",
   ($N320 * $J320 * $K320)
   + IFERROR(VLOOKUP($R320,Finishing!A:B,2,FALSE),0)
   + IFERROR(VLOOKUP($S320,Kerumitan!A:B,2,FALSE),0),
IF($M320="PER-LUBANG",
   ($P320 * $L320 * $K320)
   + IFERROR(VLOOKUP($R320,Finishing!A:B,2,FALSE),0)
   + IFERROR(VLOOKUP($S320,Kerumitan!A:B,2,FALSE),0),
IF($M320="PER-M",
   ($O320 * $J320 * $K320)
   + IFERROR(VLOOKUP($R320,Finishing!A:B,2,FALSE),0)
   + IFERROR(VLOOKUP($S320,Kerumitan!A:B,2,FALSE),0),
0)))</f>
        <v>11248500</v>
      </c>
    </row>
    <row r="321" spans="1:20" x14ac:dyDescent="0.45">
      <c r="A321" t="s">
        <v>418</v>
      </c>
      <c r="B321" s="5">
        <v>45492</v>
      </c>
      <c r="C321">
        <f t="shared" si="4"/>
        <v>2024</v>
      </c>
      <c r="D321" t="s">
        <v>126</v>
      </c>
      <c r="E321" t="s">
        <v>121</v>
      </c>
      <c r="F321" t="s">
        <v>625</v>
      </c>
      <c r="G321" t="s">
        <v>15</v>
      </c>
      <c r="H321" t="s">
        <v>46</v>
      </c>
      <c r="I321">
        <v>1.2</v>
      </c>
      <c r="J321">
        <v>13.56</v>
      </c>
      <c r="K321">
        <v>3</v>
      </c>
      <c r="L321">
        <v>0</v>
      </c>
      <c r="M321" t="str" cm="1">
        <f t="array" ref="M321">_xlfn.IFS(
   OR($F321="Pagar", $F321="Pintu Gerbang", $F321="Pintu Handerson", $F321="Kanopi"), "PER-M2",
   $F321="Teralis", "PER-LUBANG",
   OR($F321="Railing", $F321="Railing/Balkon"), "PER-M",
   TRUE, ""
)</f>
        <v>PER-M</v>
      </c>
      <c r="N321" cm="1">
        <f t="array" ref="N321">IF($M321="PER-M2",
  IFERROR(
     _xlfn.IFS(
        $G321="Hollow",
            INDEX('Referensi Harga'!$C:$C,
                  MATCH($F321&amp;$C321,'Referensi Harga'!$A:$A&amp;'Referensi Harga'!$B:$B,0)),
        $G321="Hollow Stainless",
            INDEX('Referensi Harga'!$D:$D,
                  MATCH($F321&amp;$C321,'Referensi Harga'!$A:$A&amp;'Referensi Harga'!$B:$B,0)),
        $G321="Pipa Stainless",
            INDEX('Referensi Harga'!$E:$E,
                  MATCH($F321&amp;$C321,'Referensi Harga'!$A:$A&amp;'Referensi Harga'!$B:$B,0))
     ),0)
  + IFERROR(VLOOKUP($H321,'Profile Size'!$A:$B,2,FALSE),0)
  + IFERROR(VLOOKUP($I321,'Ketebalan Material'!$A:$B,2,FALSE),0),
0)</f>
        <v>0</v>
      </c>
      <c r="O321">
        <f>IF($M321="PER-M",
  IFERROR(
    IF($G321="Hollow",
       INDEX('Referensi Harga'!$C:$C, MATCH($F321 &amp; "|" &amp; $C321, 'Referensi Harga'!$F:$F, 0)),
    IF($G321="Hollow Stainless",
       INDEX('Referensi Harga'!$D:$D, MATCH($F321 &amp; "|" &amp; $C321, 'Referensi Harga'!$F:$F, 0)),
       INDEX('Referensi Harga'!$E:$E, MATCH($F321 &amp; "|" &amp; $C321, 'Referensi Harga'!$F:$F, 0))
    ))
    + IFERROR(VLOOKUP($H321, 'Profile Size'!$A:$B, 2, FALSE), 0)
    + IFERROR(VLOOKUP($I321, 'Ketebalan Material'!$A:$B, 2, FALSE), 0), 0),
0)</f>
        <v>1330000</v>
      </c>
      <c r="P321" cm="1">
        <f t="array" ref="P321">IF($M321="PER-LUBANG",
  IFERROR(
     _xlfn.IFS(
        $G321="Hollow",
            INDEX('Referensi Harga'!$C:$C,
                  MATCH($F321&amp;$C321,'Referensi Harga'!$A:$A&amp;'Referensi Harga'!$B:$B,0)),
        $G321="Hollow Stainless",
            INDEX('Referensi Harga'!$D:$D,
                  MATCH($F321&amp;$C321,'Referensi Harga'!$A:$A&amp;'Referensi Harga'!$B:$B,0)),
        $G321="Pipa Stainless",
            INDEX('Referensi Harga'!$E:$E,
                  MATCH($F321&amp;$C321,'Referensi Harga'!$A:$A&amp;'Referensi Harga'!$B:$B,0))
     ),0)
  + IFERROR(VLOOKUP($H321,'Profile Size'!$A:$B,2,FALSE),0)
  + IFERROR(VLOOKUP($I321,'Ketebalan Material'!$A:$B,2,FALSE),0),
0)</f>
        <v>0</v>
      </c>
      <c r="Q321">
        <f>IF($M321="PER-M2",
    IFERROR(
        SUMIFS('Upah Tenaga Ahli'!$C:$C,
               'Upah Tenaga Ahli'!$A:$A,"PER-M2",
               'Upah Tenaga Ahli'!$B:$B,$G321
        ) * $J321 * $K321,
    0),
IF($M321="PER-LUBANG",
    IFERROR(
        SUMIFS('Upah Tenaga Ahli'!$D:$D,
               'Upah Tenaga Ahli'!$A:$A,"PER-LUBANG",
               'Upah Tenaga Ahli'!$B:$B,$G321
        ) * $L321 * $K321,
    0),
IF($M321="PER-M",
    IFERROR(
        SUMIFS('Upah Tenaga Ahli'!$E:$E,
               'Upah Tenaga Ahli'!$A:$A,"PER-M",
               'Upah Tenaga Ahli'!$B:$B,$G321
        ) * $J321 * $K321,
    0),
0)))</f>
        <v>6102000</v>
      </c>
      <c r="R321" t="s">
        <v>617</v>
      </c>
      <c r="S321" t="s">
        <v>23</v>
      </c>
      <c r="T321">
        <f>IF($M321="PER-M2",
   ($N321 * $J321 * $K321)
   + IFERROR(VLOOKUP($R321,Finishing!A:B,2,FALSE),0)
   + IFERROR(VLOOKUP($S321,Kerumitan!A:B,2,FALSE),0),
IF($M321="PER-LUBANG",
   ($P321 * $L321 * $K321)
   + IFERROR(VLOOKUP($R321,Finishing!A:B,2,FALSE),0)
   + IFERROR(VLOOKUP($S321,Kerumitan!A:B,2,FALSE),0),
IF($M321="PER-M",
   ($O321 * $J321 * $K321)
   + IFERROR(VLOOKUP($R321,Finishing!A:B,2,FALSE),0)
   + IFERROR(VLOOKUP($S321,Kerumitan!A:B,2,FALSE),0),
0)))</f>
        <v>54104400</v>
      </c>
    </row>
    <row r="322" spans="1:20" x14ac:dyDescent="0.45">
      <c r="A322" t="s">
        <v>419</v>
      </c>
      <c r="B322" s="5">
        <v>45267</v>
      </c>
      <c r="C322">
        <f t="shared" si="4"/>
        <v>2023</v>
      </c>
      <c r="D322" t="s">
        <v>126</v>
      </c>
      <c r="E322" t="s">
        <v>44</v>
      </c>
      <c r="F322" t="s">
        <v>6</v>
      </c>
      <c r="G322" t="s">
        <v>14</v>
      </c>
      <c r="H322" t="s">
        <v>615</v>
      </c>
      <c r="I322">
        <v>1.2</v>
      </c>
      <c r="J322">
        <v>10.43</v>
      </c>
      <c r="K322">
        <v>1</v>
      </c>
      <c r="L322">
        <v>0</v>
      </c>
      <c r="M322" t="str" cm="1">
        <f t="array" ref="M322">_xlfn.IFS(
   OR($F322="Pagar", $F322="Pintu Gerbang", $F322="Pintu Handerson", $F322="Kanopi"), "PER-M2",
   $F322="Teralis", "PER-LUBANG",
   OR($F322="Railing", $F322="Railing/Balkon"), "PER-M",
   TRUE, ""
)</f>
        <v>PER-M2</v>
      </c>
      <c r="N322" cm="1">
        <f t="array" ref="N322">IF($M322="PER-M2",
  IFERROR(
     _xlfn.IFS(
        $G322="Hollow",
            INDEX('Referensi Harga'!$C:$C,
                  MATCH($F322&amp;$C322,'Referensi Harga'!$A:$A&amp;'Referensi Harga'!$B:$B,0)),
        $G322="Hollow Stainless",
            INDEX('Referensi Harga'!$D:$D,
                  MATCH($F322&amp;$C322,'Referensi Harga'!$A:$A&amp;'Referensi Harga'!$B:$B,0)),
        $G322="Pipa Stainless",
            INDEX('Referensi Harga'!$E:$E,
                  MATCH($F322&amp;$C322,'Referensi Harga'!$A:$A&amp;'Referensi Harga'!$B:$B,0))
     ),0)
  + IFERROR(VLOOKUP($H322,'Profile Size'!$A:$B,2,FALSE),0)
  + IFERROR(VLOOKUP($I322,'Ketebalan Material'!$A:$B,2,FALSE),0),
0)</f>
        <v>900000</v>
      </c>
      <c r="O322">
        <f>IF($M322="PER-M",
  IFERROR(
    IF($G322="Hollow",
       INDEX('Referensi Harga'!$C:$C, MATCH($F322 &amp; "|" &amp; $C322, 'Referensi Harga'!$F:$F, 0)),
    IF($G322="Hollow Stainless",
       INDEX('Referensi Harga'!$D:$D, MATCH($F322 &amp; "|" &amp; $C322, 'Referensi Harga'!$F:$F, 0)),
       INDEX('Referensi Harga'!$E:$E, MATCH($F322 &amp; "|" &amp; $C322, 'Referensi Harga'!$F:$F, 0))
    ))
    + IFERROR(VLOOKUP($H322, 'Profile Size'!$A:$B, 2, FALSE), 0)
    + IFERROR(VLOOKUP($I322, 'Ketebalan Material'!$A:$B, 2, FALSE), 0), 0),
0)</f>
        <v>0</v>
      </c>
      <c r="P322" cm="1">
        <f t="array" ref="P322">IF($M322="PER-LUBANG",
  IFERROR(
     _xlfn.IFS(
        $G322="Hollow",
            INDEX('Referensi Harga'!$C:$C,
                  MATCH($F322&amp;$C322,'Referensi Harga'!$A:$A&amp;'Referensi Harga'!$B:$B,0)),
        $G322="Hollow Stainless",
            INDEX('Referensi Harga'!$D:$D,
                  MATCH($F322&amp;$C322,'Referensi Harga'!$A:$A&amp;'Referensi Harga'!$B:$B,0)),
        $G322="Pipa Stainless",
            INDEX('Referensi Harga'!$E:$E,
                  MATCH($F322&amp;$C322,'Referensi Harga'!$A:$A&amp;'Referensi Harga'!$B:$B,0))
     ),0)
  + IFERROR(VLOOKUP($H322,'Profile Size'!$A:$B,2,FALSE),0)
  + IFERROR(VLOOKUP($I322,'Ketebalan Material'!$A:$B,2,FALSE),0),
0)</f>
        <v>0</v>
      </c>
      <c r="Q322">
        <f>IF($M322="PER-M2",
    IFERROR(
        SUMIFS('Upah Tenaga Ahli'!$C:$C,
               'Upah Tenaga Ahli'!$A:$A,"PER-M2",
               'Upah Tenaga Ahli'!$B:$B,$G322
        ) * $J322 * $K322,
    0),
IF($M322="PER-LUBANG",
    IFERROR(
        SUMIFS('Upah Tenaga Ahli'!$D:$D,
               'Upah Tenaga Ahli'!$A:$A,"PER-LUBANG",
               'Upah Tenaga Ahli'!$B:$B,$G322
        ) * $L322 * $K322,
    0),
IF($M322="PER-M",
    IFERROR(
        SUMIFS('Upah Tenaga Ahli'!$E:$E,
               'Upah Tenaga Ahli'!$A:$A,"PER-M",
               'Upah Tenaga Ahli'!$B:$B,$G322
        ) * $J322 * $K322,
    0),
0)))</f>
        <v>2086000</v>
      </c>
      <c r="R322" t="s">
        <v>617</v>
      </c>
      <c r="S322" t="s">
        <v>24</v>
      </c>
      <c r="T322">
        <f>IF($M322="PER-M2",
   ($N322 * $J322 * $K322)
   + IFERROR(VLOOKUP($R322,Finishing!A:B,2,FALSE),0)
   + IFERROR(VLOOKUP($S322,Kerumitan!A:B,2,FALSE),0),
IF($M322="PER-LUBANG",
   ($P322 * $L322 * $K322)
   + IFERROR(VLOOKUP($R322,Finishing!A:B,2,FALSE),0)
   + IFERROR(VLOOKUP($S322,Kerumitan!A:B,2,FALSE),0),
IF($M322="PER-M",
   ($O322 * $J322 * $K322)
   + IFERROR(VLOOKUP($R322,Finishing!A:B,2,FALSE),0)
   + IFERROR(VLOOKUP($S322,Kerumitan!A:B,2,FALSE),0),
0)))</f>
        <v>9487000</v>
      </c>
    </row>
    <row r="323" spans="1:20" x14ac:dyDescent="0.45">
      <c r="A323" t="s">
        <v>420</v>
      </c>
      <c r="B323" s="5">
        <v>45715</v>
      </c>
      <c r="C323">
        <f t="shared" ref="C323:C386" si="5">IF($B323="","",YEAR($B323))</f>
        <v>2025</v>
      </c>
      <c r="D323" t="s">
        <v>199</v>
      </c>
      <c r="E323" t="s">
        <v>87</v>
      </c>
      <c r="F323" t="s">
        <v>6</v>
      </c>
      <c r="G323" t="s">
        <v>13</v>
      </c>
      <c r="H323" t="s">
        <v>46</v>
      </c>
      <c r="I323">
        <v>0.8</v>
      </c>
      <c r="J323">
        <v>23.94</v>
      </c>
      <c r="K323">
        <v>2</v>
      </c>
      <c r="L323">
        <v>0</v>
      </c>
      <c r="M323" t="str" cm="1">
        <f t="array" ref="M323">_xlfn.IFS(
   OR($F323="Pagar", $F323="Pintu Gerbang", $F323="Pintu Handerson", $F323="Kanopi"), "PER-M2",
   $F323="Teralis", "PER-LUBANG",
   OR($F323="Railing", $F323="Railing/Balkon"), "PER-M",
   TRUE, ""
)</f>
        <v>PER-M2</v>
      </c>
      <c r="N323" cm="1">
        <f t="array" ref="N323">IF($M323="PER-M2",
  IFERROR(
     _xlfn.IFS(
        $G323="Hollow",
            INDEX('Referensi Harga'!$C:$C,
                  MATCH($F323&amp;$C323,'Referensi Harga'!$A:$A&amp;'Referensi Harga'!$B:$B,0)),
        $G323="Hollow Stainless",
            INDEX('Referensi Harga'!$D:$D,
                  MATCH($F323&amp;$C323,'Referensi Harga'!$A:$A&amp;'Referensi Harga'!$B:$B,0)),
        $G323="Pipa Stainless",
            INDEX('Referensi Harga'!$E:$E,
                  MATCH($F323&amp;$C323,'Referensi Harga'!$A:$A&amp;'Referensi Harga'!$B:$B,0))
     ),0)
  + IFERROR(VLOOKUP($H323,'Profile Size'!$A:$B,2,FALSE),0)
  + IFERROR(VLOOKUP($I323,'Ketebalan Material'!$A:$B,2,FALSE),0),
0)</f>
        <v>500000</v>
      </c>
      <c r="O323">
        <f>IF($M323="PER-M",
  IFERROR(
    IF($G323="Hollow",
       INDEX('Referensi Harga'!$C:$C, MATCH($F323 &amp; "|" &amp; $C323, 'Referensi Harga'!$F:$F, 0)),
    IF($G323="Hollow Stainless",
       INDEX('Referensi Harga'!$D:$D, MATCH($F323 &amp; "|" &amp; $C323, 'Referensi Harga'!$F:$F, 0)),
       INDEX('Referensi Harga'!$E:$E, MATCH($F323 &amp; "|" &amp; $C323, 'Referensi Harga'!$F:$F, 0))
    ))
    + IFERROR(VLOOKUP($H323, 'Profile Size'!$A:$B, 2, FALSE), 0)
    + IFERROR(VLOOKUP($I323, 'Ketebalan Material'!$A:$B, 2, FALSE), 0), 0),
0)</f>
        <v>0</v>
      </c>
      <c r="P323" cm="1">
        <f t="array" ref="P323">IF($M323="PER-LUBANG",
  IFERROR(
     _xlfn.IFS(
        $G323="Hollow",
            INDEX('Referensi Harga'!$C:$C,
                  MATCH($F323&amp;$C323,'Referensi Harga'!$A:$A&amp;'Referensi Harga'!$B:$B,0)),
        $G323="Hollow Stainless",
            INDEX('Referensi Harga'!$D:$D,
                  MATCH($F323&amp;$C323,'Referensi Harga'!$A:$A&amp;'Referensi Harga'!$B:$B,0)),
        $G323="Pipa Stainless",
            INDEX('Referensi Harga'!$E:$E,
                  MATCH($F323&amp;$C323,'Referensi Harga'!$A:$A&amp;'Referensi Harga'!$B:$B,0))
     ),0)
  + IFERROR(VLOOKUP($H323,'Profile Size'!$A:$B,2,FALSE),0)
  + IFERROR(VLOOKUP($I323,'Ketebalan Material'!$A:$B,2,FALSE),0),
0)</f>
        <v>0</v>
      </c>
      <c r="Q323">
        <f>IF($M323="PER-M2",
    IFERROR(
        SUMIFS('Upah Tenaga Ahli'!$C:$C,
               'Upah Tenaga Ahli'!$A:$A,"PER-M2",
               'Upah Tenaga Ahli'!$B:$B,$G323
        ) * $J323 * $K323,
    0),
IF($M323="PER-LUBANG",
    IFERROR(
        SUMIFS('Upah Tenaga Ahli'!$D:$D,
               'Upah Tenaga Ahli'!$A:$A,"PER-LUBANG",
               'Upah Tenaga Ahli'!$B:$B,$G323
        ) * $L323 * $K323,
    0),
IF($M323="PER-M",
    IFERROR(
        SUMIFS('Upah Tenaga Ahli'!$E:$E,
               'Upah Tenaga Ahli'!$A:$A,"PER-M",
               'Upah Tenaga Ahli'!$B:$B,$G323
        ) * $J323 * $K323,
    0),
0)))</f>
        <v>4788000</v>
      </c>
      <c r="R323" t="s">
        <v>18</v>
      </c>
      <c r="S323" t="s">
        <v>23</v>
      </c>
      <c r="T323">
        <f>IF($M323="PER-M2",
   ($N323 * $J323 * $K323)
   + IFERROR(VLOOKUP($R323,Finishing!A:B,2,FALSE),0)
   + IFERROR(VLOOKUP($S323,Kerumitan!A:B,2,FALSE),0),
IF($M323="PER-LUBANG",
   ($P323 * $L323 * $K323)
   + IFERROR(VLOOKUP($R323,Finishing!A:B,2,FALSE),0)
   + IFERROR(VLOOKUP($S323,Kerumitan!A:B,2,FALSE),0),
IF($M323="PER-M",
   ($O323 * $J323 * $K323)
   + IFERROR(VLOOKUP($R323,Finishing!A:B,2,FALSE),0)
   + IFERROR(VLOOKUP($S323,Kerumitan!A:B,2,FALSE),0),
0)))</f>
        <v>23940000</v>
      </c>
    </row>
    <row r="324" spans="1:20" x14ac:dyDescent="0.45">
      <c r="A324" t="s">
        <v>421</v>
      </c>
      <c r="B324" s="5">
        <v>45676</v>
      </c>
      <c r="C324">
        <f t="shared" si="5"/>
        <v>2025</v>
      </c>
      <c r="D324" t="s">
        <v>37</v>
      </c>
      <c r="E324" t="s">
        <v>54</v>
      </c>
      <c r="F324" t="s">
        <v>4</v>
      </c>
      <c r="G324" t="s">
        <v>13</v>
      </c>
      <c r="H324" t="s">
        <v>46</v>
      </c>
      <c r="I324">
        <v>1</v>
      </c>
      <c r="J324">
        <v>9.74</v>
      </c>
      <c r="K324">
        <v>1</v>
      </c>
      <c r="L324">
        <v>0</v>
      </c>
      <c r="M324" t="str" cm="1">
        <f t="array" ref="M324">_xlfn.IFS(
   OR($F324="Pagar", $F324="Pintu Gerbang", $F324="Pintu Handerson", $F324="Kanopi"), "PER-M2",
   $F324="Teralis", "PER-LUBANG",
   OR($F324="Railing", $F324="Railing/Balkon"), "PER-M",
   TRUE, ""
)</f>
        <v>PER-M2</v>
      </c>
      <c r="N324" cm="1">
        <f t="array" ref="N324">IF($M324="PER-M2",
  IFERROR(
     _xlfn.IFS(
        $G324="Hollow",
            INDEX('Referensi Harga'!$C:$C,
                  MATCH($F324&amp;$C324,'Referensi Harga'!$A:$A&amp;'Referensi Harga'!$B:$B,0)),
        $G324="Hollow Stainless",
            INDEX('Referensi Harga'!$D:$D,
                  MATCH($F324&amp;$C324,'Referensi Harga'!$A:$A&amp;'Referensi Harga'!$B:$B,0)),
        $G324="Pipa Stainless",
            INDEX('Referensi Harga'!$E:$E,
                  MATCH($F324&amp;$C324,'Referensi Harga'!$A:$A&amp;'Referensi Harga'!$B:$B,0))
     ),0)
  + IFERROR(VLOOKUP($H324,'Profile Size'!$A:$B,2,FALSE),0)
  + IFERROR(VLOOKUP($I324,'Ketebalan Material'!$A:$B,2,FALSE),0),
0)</f>
        <v>700000</v>
      </c>
      <c r="O324">
        <f>IF($M324="PER-M",
  IFERROR(
    IF($G324="Hollow",
       INDEX('Referensi Harga'!$C:$C, MATCH($F324 &amp; "|" &amp; $C324, 'Referensi Harga'!$F:$F, 0)),
    IF($G324="Hollow Stainless",
       INDEX('Referensi Harga'!$D:$D, MATCH($F324 &amp; "|" &amp; $C324, 'Referensi Harga'!$F:$F, 0)),
       INDEX('Referensi Harga'!$E:$E, MATCH($F324 &amp; "|" &amp; $C324, 'Referensi Harga'!$F:$F, 0))
    ))
    + IFERROR(VLOOKUP($H324, 'Profile Size'!$A:$B, 2, FALSE), 0)
    + IFERROR(VLOOKUP($I324, 'Ketebalan Material'!$A:$B, 2, FALSE), 0), 0),
0)</f>
        <v>0</v>
      </c>
      <c r="P324" cm="1">
        <f t="array" ref="P324">IF($M324="PER-LUBANG",
  IFERROR(
     _xlfn.IFS(
        $G324="Hollow",
            INDEX('Referensi Harga'!$C:$C,
                  MATCH($F324&amp;$C324,'Referensi Harga'!$A:$A&amp;'Referensi Harga'!$B:$B,0)),
        $G324="Hollow Stainless",
            INDEX('Referensi Harga'!$D:$D,
                  MATCH($F324&amp;$C324,'Referensi Harga'!$A:$A&amp;'Referensi Harga'!$B:$B,0)),
        $G324="Pipa Stainless",
            INDEX('Referensi Harga'!$E:$E,
                  MATCH($F324&amp;$C324,'Referensi Harga'!$A:$A&amp;'Referensi Harga'!$B:$B,0))
     ),0)
  + IFERROR(VLOOKUP($H324,'Profile Size'!$A:$B,2,FALSE),0)
  + IFERROR(VLOOKUP($I324,'Ketebalan Material'!$A:$B,2,FALSE),0),
0)</f>
        <v>0</v>
      </c>
      <c r="Q324">
        <f>IF($M324="PER-M2",
    IFERROR(
        SUMIFS('Upah Tenaga Ahli'!$C:$C,
               'Upah Tenaga Ahli'!$A:$A,"PER-M2",
               'Upah Tenaga Ahli'!$B:$B,$G324
        ) * $J324 * $K324,
    0),
IF($M324="PER-LUBANG",
    IFERROR(
        SUMIFS('Upah Tenaga Ahli'!$D:$D,
               'Upah Tenaga Ahli'!$A:$A,"PER-LUBANG",
               'Upah Tenaga Ahli'!$B:$B,$G324
        ) * $L324 * $K324,
    0),
IF($M324="PER-M",
    IFERROR(
        SUMIFS('Upah Tenaga Ahli'!$E:$E,
               'Upah Tenaga Ahli'!$A:$A,"PER-M",
               'Upah Tenaga Ahli'!$B:$B,$G324
        ) * $J324 * $K324,
    0),
0)))</f>
        <v>974000</v>
      </c>
      <c r="R324" t="s">
        <v>20</v>
      </c>
      <c r="S324" t="s">
        <v>24</v>
      </c>
      <c r="T324">
        <f>IF($M324="PER-M2",
   ($N324 * $J324 * $K324)
   + IFERROR(VLOOKUP($R324,Finishing!A:B,2,FALSE),0)
   + IFERROR(VLOOKUP($S324,Kerumitan!A:B,2,FALSE),0),
IF($M324="PER-LUBANG",
   ($P324 * $L324 * $K324)
   + IFERROR(VLOOKUP($R324,Finishing!A:B,2,FALSE),0)
   + IFERROR(VLOOKUP($S324,Kerumitan!A:B,2,FALSE),0),
IF($M324="PER-M",
   ($O324 * $J324 * $K324)
   + IFERROR(VLOOKUP($R324,Finishing!A:B,2,FALSE),0)
   + IFERROR(VLOOKUP($S324,Kerumitan!A:B,2,FALSE),0),
0)))</f>
        <v>7068000</v>
      </c>
    </row>
    <row r="325" spans="1:20" x14ac:dyDescent="0.45">
      <c r="A325" t="s">
        <v>422</v>
      </c>
      <c r="B325" s="5">
        <v>45834</v>
      </c>
      <c r="C325">
        <f t="shared" si="5"/>
        <v>2025</v>
      </c>
      <c r="D325" t="s">
        <v>103</v>
      </c>
      <c r="E325" t="s">
        <v>121</v>
      </c>
      <c r="F325" t="s">
        <v>6</v>
      </c>
      <c r="G325" t="s">
        <v>14</v>
      </c>
      <c r="H325" t="s">
        <v>615</v>
      </c>
      <c r="I325">
        <v>0.8</v>
      </c>
      <c r="J325">
        <v>7.49</v>
      </c>
      <c r="K325">
        <v>1</v>
      </c>
      <c r="L325">
        <v>0</v>
      </c>
      <c r="M325" t="str" cm="1">
        <f t="array" ref="M325">_xlfn.IFS(
   OR($F325="Pagar", $F325="Pintu Gerbang", $F325="Pintu Handerson", $F325="Kanopi"), "PER-M2",
   $F325="Teralis", "PER-LUBANG",
   OR($F325="Railing", $F325="Railing/Balkon"), "PER-M",
   TRUE, ""
)</f>
        <v>PER-M2</v>
      </c>
      <c r="N325" cm="1">
        <f t="array" ref="N325">IF($M325="PER-M2",
  IFERROR(
     _xlfn.IFS(
        $G325="Hollow",
            INDEX('Referensi Harga'!$C:$C,
                  MATCH($F325&amp;$C325,'Referensi Harga'!$A:$A&amp;'Referensi Harga'!$B:$B,0)),
        $G325="Hollow Stainless",
            INDEX('Referensi Harga'!$D:$D,
                  MATCH($F325&amp;$C325,'Referensi Harga'!$A:$A&amp;'Referensi Harga'!$B:$B,0)),
        $G325="Pipa Stainless",
            INDEX('Referensi Harga'!$E:$E,
                  MATCH($F325&amp;$C325,'Referensi Harga'!$A:$A&amp;'Referensi Harga'!$B:$B,0))
     ),0)
  + IFERROR(VLOOKUP($H325,'Profile Size'!$A:$B,2,FALSE),0)
  + IFERROR(VLOOKUP($I325,'Ketebalan Material'!$A:$B,2,FALSE),0),
0)</f>
        <v>800000</v>
      </c>
      <c r="O325">
        <f>IF($M325="PER-M",
  IFERROR(
    IF($G325="Hollow",
       INDEX('Referensi Harga'!$C:$C, MATCH($F325 &amp; "|" &amp; $C325, 'Referensi Harga'!$F:$F, 0)),
    IF($G325="Hollow Stainless",
       INDEX('Referensi Harga'!$D:$D, MATCH($F325 &amp; "|" &amp; $C325, 'Referensi Harga'!$F:$F, 0)),
       INDEX('Referensi Harga'!$E:$E, MATCH($F325 &amp; "|" &amp; $C325, 'Referensi Harga'!$F:$F, 0))
    ))
    + IFERROR(VLOOKUP($H325, 'Profile Size'!$A:$B, 2, FALSE), 0)
    + IFERROR(VLOOKUP($I325, 'Ketebalan Material'!$A:$B, 2, FALSE), 0), 0),
0)</f>
        <v>0</v>
      </c>
      <c r="P325" cm="1">
        <f t="array" ref="P325">IF($M325="PER-LUBANG",
  IFERROR(
     _xlfn.IFS(
        $G325="Hollow",
            INDEX('Referensi Harga'!$C:$C,
                  MATCH($F325&amp;$C325,'Referensi Harga'!$A:$A&amp;'Referensi Harga'!$B:$B,0)),
        $G325="Hollow Stainless",
            INDEX('Referensi Harga'!$D:$D,
                  MATCH($F325&amp;$C325,'Referensi Harga'!$A:$A&amp;'Referensi Harga'!$B:$B,0)),
        $G325="Pipa Stainless",
            INDEX('Referensi Harga'!$E:$E,
                  MATCH($F325&amp;$C325,'Referensi Harga'!$A:$A&amp;'Referensi Harga'!$B:$B,0))
     ),0)
  + IFERROR(VLOOKUP($H325,'Profile Size'!$A:$B,2,FALSE),0)
  + IFERROR(VLOOKUP($I325,'Ketebalan Material'!$A:$B,2,FALSE),0),
0)</f>
        <v>0</v>
      </c>
      <c r="Q325">
        <f>IF($M325="PER-M2",
    IFERROR(
        SUMIFS('Upah Tenaga Ahli'!$C:$C,
               'Upah Tenaga Ahli'!$A:$A,"PER-M2",
               'Upah Tenaga Ahli'!$B:$B,$G325
        ) * $J325 * $K325,
    0),
IF($M325="PER-LUBANG",
    IFERROR(
        SUMIFS('Upah Tenaga Ahli'!$D:$D,
               'Upah Tenaga Ahli'!$A:$A,"PER-LUBANG",
               'Upah Tenaga Ahli'!$B:$B,$G325
        ) * $L325 * $K325,
    0),
IF($M325="PER-M",
    IFERROR(
        SUMIFS('Upah Tenaga Ahli'!$E:$E,
               'Upah Tenaga Ahli'!$A:$A,"PER-M",
               'Upah Tenaga Ahli'!$B:$B,$G325
        ) * $J325 * $K325,
    0),
0)))</f>
        <v>1498000</v>
      </c>
      <c r="R325" t="s">
        <v>18</v>
      </c>
      <c r="S325" t="s">
        <v>23</v>
      </c>
      <c r="T325">
        <f>IF($M325="PER-M2",
   ($N325 * $J325 * $K325)
   + IFERROR(VLOOKUP($R325,Finishing!A:B,2,FALSE),0)
   + IFERROR(VLOOKUP($S325,Kerumitan!A:B,2,FALSE),0),
IF($M325="PER-LUBANG",
   ($P325 * $L325 * $K325)
   + IFERROR(VLOOKUP($R325,Finishing!A:B,2,FALSE),0)
   + IFERROR(VLOOKUP($S325,Kerumitan!A:B,2,FALSE),0),
IF($M325="PER-M",
   ($O325 * $J325 * $K325)
   + IFERROR(VLOOKUP($R325,Finishing!A:B,2,FALSE),0)
   + IFERROR(VLOOKUP($S325,Kerumitan!A:B,2,FALSE),0),
0)))</f>
        <v>5992000</v>
      </c>
    </row>
    <row r="326" spans="1:20" x14ac:dyDescent="0.45">
      <c r="A326" t="s">
        <v>423</v>
      </c>
      <c r="B326" s="5">
        <v>44542</v>
      </c>
      <c r="C326">
        <f t="shared" si="5"/>
        <v>2021</v>
      </c>
      <c r="D326" t="s">
        <v>126</v>
      </c>
      <c r="E326" t="s">
        <v>69</v>
      </c>
      <c r="F326" t="s">
        <v>10</v>
      </c>
      <c r="G326" t="s">
        <v>13</v>
      </c>
      <c r="H326" t="s">
        <v>35</v>
      </c>
      <c r="I326">
        <v>1.2</v>
      </c>
      <c r="J326">
        <v>4.82</v>
      </c>
      <c r="K326">
        <v>2</v>
      </c>
      <c r="L326">
        <v>0</v>
      </c>
      <c r="M326" t="str" cm="1">
        <f t="array" ref="M326">_xlfn.IFS(
   OR($F326="Pagar", $F326="Pintu Gerbang", $F326="Pintu Handerson", $F326="Kanopi"), "PER-M2",
   $F326="Teralis", "PER-LUBANG",
   OR($F326="Railing", $F326="Railing/Balkon"), "PER-M",
   TRUE, ""
)</f>
        <v>PER-M2</v>
      </c>
      <c r="N326" cm="1">
        <f t="array" ref="N326">IF($M326="PER-M2",
  IFERROR(
     _xlfn.IFS(
        $G326="Hollow",
            INDEX('Referensi Harga'!$C:$C,
                  MATCH($F326&amp;$C326,'Referensi Harga'!$A:$A&amp;'Referensi Harga'!$B:$B,0)),
        $G326="Hollow Stainless",
            INDEX('Referensi Harga'!$D:$D,
                  MATCH($F326&amp;$C326,'Referensi Harga'!$A:$A&amp;'Referensi Harga'!$B:$B,0)),
        $G326="Pipa Stainless",
            INDEX('Referensi Harga'!$E:$E,
                  MATCH($F326&amp;$C326,'Referensi Harga'!$A:$A&amp;'Referensi Harga'!$B:$B,0))
     ),0)
  + IFERROR(VLOOKUP($H326,'Profile Size'!$A:$B,2,FALSE),0)
  + IFERROR(VLOOKUP($I326,'Ketebalan Material'!$A:$B,2,FALSE),0),
0)</f>
        <v>1000000</v>
      </c>
      <c r="O326">
        <f>IF($M326="PER-M",
  IFERROR(
    IF($G326="Hollow",
       INDEX('Referensi Harga'!$C:$C, MATCH($F326 &amp; "|" &amp; $C326, 'Referensi Harga'!$F:$F, 0)),
    IF($G326="Hollow Stainless",
       INDEX('Referensi Harga'!$D:$D, MATCH($F326 &amp; "|" &amp; $C326, 'Referensi Harga'!$F:$F, 0)),
       INDEX('Referensi Harga'!$E:$E, MATCH($F326 &amp; "|" &amp; $C326, 'Referensi Harga'!$F:$F, 0))
    ))
    + IFERROR(VLOOKUP($H326, 'Profile Size'!$A:$B, 2, FALSE), 0)
    + IFERROR(VLOOKUP($I326, 'Ketebalan Material'!$A:$B, 2, FALSE), 0), 0),
0)</f>
        <v>0</v>
      </c>
      <c r="P326" cm="1">
        <f t="array" ref="P326">IF($M326="PER-LUBANG",
  IFERROR(
     _xlfn.IFS(
        $G326="Hollow",
            INDEX('Referensi Harga'!$C:$C,
                  MATCH($F326&amp;$C326,'Referensi Harga'!$A:$A&amp;'Referensi Harga'!$B:$B,0)),
        $G326="Hollow Stainless",
            INDEX('Referensi Harga'!$D:$D,
                  MATCH($F326&amp;$C326,'Referensi Harga'!$A:$A&amp;'Referensi Harga'!$B:$B,0)),
        $G326="Pipa Stainless",
            INDEX('Referensi Harga'!$E:$E,
                  MATCH($F326&amp;$C326,'Referensi Harga'!$A:$A&amp;'Referensi Harga'!$B:$B,0))
     ),0)
  + IFERROR(VLOOKUP($H326,'Profile Size'!$A:$B,2,FALSE),0)
  + IFERROR(VLOOKUP($I326,'Ketebalan Material'!$A:$B,2,FALSE),0),
0)</f>
        <v>0</v>
      </c>
      <c r="Q326">
        <f>IF($M326="PER-M2",
    IFERROR(
        SUMIFS('Upah Tenaga Ahli'!$C:$C,
               'Upah Tenaga Ahli'!$A:$A,"PER-M2",
               'Upah Tenaga Ahli'!$B:$B,$G326
        ) * $J326 * $K326,
    0),
IF($M326="PER-LUBANG",
    IFERROR(
        SUMIFS('Upah Tenaga Ahli'!$D:$D,
               'Upah Tenaga Ahli'!$A:$A,"PER-LUBANG",
               'Upah Tenaga Ahli'!$B:$B,$G326
        ) * $L326 * $K326,
    0),
IF($M326="PER-M",
    IFERROR(
        SUMIFS('Upah Tenaga Ahli'!$E:$E,
               'Upah Tenaga Ahli'!$A:$A,"PER-M",
               'Upah Tenaga Ahli'!$B:$B,$G326
        ) * $J326 * $K326,
    0),
0)))</f>
        <v>964000</v>
      </c>
      <c r="R326" t="s">
        <v>19</v>
      </c>
      <c r="S326" t="s">
        <v>23</v>
      </c>
      <c r="T326">
        <f>IF($M326="PER-M2",
   ($N326 * $J326 * $K326)
   + IFERROR(VLOOKUP($R326,Finishing!A:B,2,FALSE),0)
   + IFERROR(VLOOKUP($S326,Kerumitan!A:B,2,FALSE),0),
IF($M326="PER-LUBANG",
   ($P326 * $L326 * $K326)
   + IFERROR(VLOOKUP($R326,Finishing!A:B,2,FALSE),0)
   + IFERROR(VLOOKUP($S326,Kerumitan!A:B,2,FALSE),0),
IF($M326="PER-M",
   ($O326 * $J326 * $K326)
   + IFERROR(VLOOKUP($R326,Finishing!A:B,2,FALSE),0)
   + IFERROR(VLOOKUP($S326,Kerumitan!A:B,2,FALSE),0),
0)))</f>
        <v>9690000</v>
      </c>
    </row>
    <row r="327" spans="1:20" x14ac:dyDescent="0.45">
      <c r="A327" t="s">
        <v>424</v>
      </c>
      <c r="B327" s="5">
        <v>43984</v>
      </c>
      <c r="C327">
        <f t="shared" si="5"/>
        <v>2020</v>
      </c>
      <c r="D327" t="s">
        <v>117</v>
      </c>
      <c r="E327" t="s">
        <v>87</v>
      </c>
      <c r="F327" t="s">
        <v>4</v>
      </c>
      <c r="G327" t="s">
        <v>13</v>
      </c>
      <c r="H327" t="s">
        <v>46</v>
      </c>
      <c r="I327">
        <v>0.8</v>
      </c>
      <c r="J327">
        <v>9.49</v>
      </c>
      <c r="K327">
        <v>1</v>
      </c>
      <c r="L327">
        <v>0</v>
      </c>
      <c r="M327" t="str" cm="1">
        <f t="array" ref="M327">_xlfn.IFS(
   OR($F327="Pagar", $F327="Pintu Gerbang", $F327="Pintu Handerson", $F327="Kanopi"), "PER-M2",
   $F327="Teralis", "PER-LUBANG",
   OR($F327="Railing", $F327="Railing/Balkon"), "PER-M",
   TRUE, ""
)</f>
        <v>PER-M2</v>
      </c>
      <c r="N327" cm="1">
        <f t="array" ref="N327">IF($M327="PER-M2",
  IFERROR(
     _xlfn.IFS(
        $G327="Hollow",
            INDEX('Referensi Harga'!$C:$C,
                  MATCH($F327&amp;$C327,'Referensi Harga'!$A:$A&amp;'Referensi Harga'!$B:$B,0)),
        $G327="Hollow Stainless",
            INDEX('Referensi Harga'!$D:$D,
                  MATCH($F327&amp;$C327,'Referensi Harga'!$A:$A&amp;'Referensi Harga'!$B:$B,0)),
        $G327="Pipa Stainless",
            INDEX('Referensi Harga'!$E:$E,
                  MATCH($F327&amp;$C327,'Referensi Harga'!$A:$A&amp;'Referensi Harga'!$B:$B,0))
     ),0)
  + IFERROR(VLOOKUP($H327,'Profile Size'!$A:$B,2,FALSE),0)
  + IFERROR(VLOOKUP($I327,'Ketebalan Material'!$A:$B,2,FALSE),0),
0)</f>
        <v>550000</v>
      </c>
      <c r="O327">
        <f>IF($M327="PER-M",
  IFERROR(
    IF($G327="Hollow",
       INDEX('Referensi Harga'!$C:$C, MATCH($F327 &amp; "|" &amp; $C327, 'Referensi Harga'!$F:$F, 0)),
    IF($G327="Hollow Stainless",
       INDEX('Referensi Harga'!$D:$D, MATCH($F327 &amp; "|" &amp; $C327, 'Referensi Harga'!$F:$F, 0)),
       INDEX('Referensi Harga'!$E:$E, MATCH($F327 &amp; "|" &amp; $C327, 'Referensi Harga'!$F:$F, 0))
    ))
    + IFERROR(VLOOKUP($H327, 'Profile Size'!$A:$B, 2, FALSE), 0)
    + IFERROR(VLOOKUP($I327, 'Ketebalan Material'!$A:$B, 2, FALSE), 0), 0),
0)</f>
        <v>0</v>
      </c>
      <c r="P327" cm="1">
        <f t="array" ref="P327">IF($M327="PER-LUBANG",
  IFERROR(
     _xlfn.IFS(
        $G327="Hollow",
            INDEX('Referensi Harga'!$C:$C,
                  MATCH($F327&amp;$C327,'Referensi Harga'!$A:$A&amp;'Referensi Harga'!$B:$B,0)),
        $G327="Hollow Stainless",
            INDEX('Referensi Harga'!$D:$D,
                  MATCH($F327&amp;$C327,'Referensi Harga'!$A:$A&amp;'Referensi Harga'!$B:$B,0)),
        $G327="Pipa Stainless",
            INDEX('Referensi Harga'!$E:$E,
                  MATCH($F327&amp;$C327,'Referensi Harga'!$A:$A&amp;'Referensi Harga'!$B:$B,0))
     ),0)
  + IFERROR(VLOOKUP($H327,'Profile Size'!$A:$B,2,FALSE),0)
  + IFERROR(VLOOKUP($I327,'Ketebalan Material'!$A:$B,2,FALSE),0),
0)</f>
        <v>0</v>
      </c>
      <c r="Q327">
        <f>IF($M327="PER-M2",
    IFERROR(
        SUMIFS('Upah Tenaga Ahli'!$C:$C,
               'Upah Tenaga Ahli'!$A:$A,"PER-M2",
               'Upah Tenaga Ahli'!$B:$B,$G327
        ) * $J327 * $K327,
    0),
IF($M327="PER-LUBANG",
    IFERROR(
        SUMIFS('Upah Tenaga Ahli'!$D:$D,
               'Upah Tenaga Ahli'!$A:$A,"PER-LUBANG",
               'Upah Tenaga Ahli'!$B:$B,$G327
        ) * $L327 * $K327,
    0),
IF($M327="PER-M",
    IFERROR(
        SUMIFS('Upah Tenaga Ahli'!$E:$E,
               'Upah Tenaga Ahli'!$A:$A,"PER-M",
               'Upah Tenaga Ahli'!$B:$B,$G327
        ) * $J327 * $K327,
    0),
0)))</f>
        <v>949000</v>
      </c>
      <c r="R327" t="s">
        <v>20</v>
      </c>
      <c r="S327" t="s">
        <v>23</v>
      </c>
      <c r="T327">
        <f>IF($M327="PER-M2",
   ($N327 * $J327 * $K327)
   + IFERROR(VLOOKUP($R327,Finishing!A:B,2,FALSE),0)
   + IFERROR(VLOOKUP($S327,Kerumitan!A:B,2,FALSE),0),
IF($M327="PER-LUBANG",
   ($P327 * $L327 * $K327)
   + IFERROR(VLOOKUP($R327,Finishing!A:B,2,FALSE),0)
   + IFERROR(VLOOKUP($S327,Kerumitan!A:B,2,FALSE),0),
IF($M327="PER-M",
   ($O327 * $J327 * $K327)
   + IFERROR(VLOOKUP($R327,Finishing!A:B,2,FALSE),0)
   + IFERROR(VLOOKUP($S327,Kerumitan!A:B,2,FALSE),0),
0)))</f>
        <v>5369500</v>
      </c>
    </row>
    <row r="328" spans="1:20" x14ac:dyDescent="0.45">
      <c r="A328" t="s">
        <v>425</v>
      </c>
      <c r="B328" s="5">
        <v>45583</v>
      </c>
      <c r="C328">
        <f t="shared" si="5"/>
        <v>2024</v>
      </c>
      <c r="D328" t="s">
        <v>139</v>
      </c>
      <c r="E328" t="s">
        <v>32</v>
      </c>
      <c r="F328" t="s">
        <v>6</v>
      </c>
      <c r="G328" t="s">
        <v>13</v>
      </c>
      <c r="H328" t="s">
        <v>33</v>
      </c>
      <c r="I328">
        <v>0.8</v>
      </c>
      <c r="J328">
        <v>24.44</v>
      </c>
      <c r="K328">
        <v>2</v>
      </c>
      <c r="L328">
        <v>0</v>
      </c>
      <c r="M328" t="str" cm="1">
        <f t="array" ref="M328">_xlfn.IFS(
   OR($F328="Pagar", $F328="Pintu Gerbang", $F328="Pintu Handerson", $F328="Kanopi"), "PER-M2",
   $F328="Teralis", "PER-LUBANG",
   OR($F328="Railing", $F328="Railing/Balkon"), "PER-M",
   TRUE, ""
)</f>
        <v>PER-M2</v>
      </c>
      <c r="N328" cm="1">
        <f t="array" ref="N328">IF($M328="PER-M2",
  IFERROR(
     _xlfn.IFS(
        $G328="Hollow",
            INDEX('Referensi Harga'!$C:$C,
                  MATCH($F328&amp;$C328,'Referensi Harga'!$A:$A&amp;'Referensi Harga'!$B:$B,0)),
        $G328="Hollow Stainless",
            INDEX('Referensi Harga'!$D:$D,
                  MATCH($F328&amp;$C328,'Referensi Harga'!$A:$A&amp;'Referensi Harga'!$B:$B,0)),
        $G328="Pipa Stainless",
            INDEX('Referensi Harga'!$E:$E,
                  MATCH($F328&amp;$C328,'Referensi Harga'!$A:$A&amp;'Referensi Harga'!$B:$B,0))
     ),0)
  + IFERROR(VLOOKUP($H328,'Profile Size'!$A:$B,2,FALSE),0)
  + IFERROR(VLOOKUP($I328,'Ketebalan Material'!$A:$B,2,FALSE),0),
0)</f>
        <v>450000</v>
      </c>
      <c r="O328">
        <f>IF($M328="PER-M",
  IFERROR(
    IF($G328="Hollow",
       INDEX('Referensi Harga'!$C:$C, MATCH($F328 &amp; "|" &amp; $C328, 'Referensi Harga'!$F:$F, 0)),
    IF($G328="Hollow Stainless",
       INDEX('Referensi Harga'!$D:$D, MATCH($F328 &amp; "|" &amp; $C328, 'Referensi Harga'!$F:$F, 0)),
       INDEX('Referensi Harga'!$E:$E, MATCH($F328 &amp; "|" &amp; $C328, 'Referensi Harga'!$F:$F, 0))
    ))
    + IFERROR(VLOOKUP($H328, 'Profile Size'!$A:$B, 2, FALSE), 0)
    + IFERROR(VLOOKUP($I328, 'Ketebalan Material'!$A:$B, 2, FALSE), 0), 0),
0)</f>
        <v>0</v>
      </c>
      <c r="P328" cm="1">
        <f t="array" ref="P328">IF($M328="PER-LUBANG",
  IFERROR(
     _xlfn.IFS(
        $G328="Hollow",
            INDEX('Referensi Harga'!$C:$C,
                  MATCH($F328&amp;$C328,'Referensi Harga'!$A:$A&amp;'Referensi Harga'!$B:$B,0)),
        $G328="Hollow Stainless",
            INDEX('Referensi Harga'!$D:$D,
                  MATCH($F328&amp;$C328,'Referensi Harga'!$A:$A&amp;'Referensi Harga'!$B:$B,0)),
        $G328="Pipa Stainless",
            INDEX('Referensi Harga'!$E:$E,
                  MATCH($F328&amp;$C328,'Referensi Harga'!$A:$A&amp;'Referensi Harga'!$B:$B,0))
     ),0)
  + IFERROR(VLOOKUP($H328,'Profile Size'!$A:$B,2,FALSE),0)
  + IFERROR(VLOOKUP($I328,'Ketebalan Material'!$A:$B,2,FALSE),0),
0)</f>
        <v>0</v>
      </c>
      <c r="Q328">
        <f>IF($M328="PER-M2",
    IFERROR(
        SUMIFS('Upah Tenaga Ahli'!$C:$C,
               'Upah Tenaga Ahli'!$A:$A,"PER-M2",
               'Upah Tenaga Ahli'!$B:$B,$G328
        ) * $J328 * $K328,
    0),
IF($M328="PER-LUBANG",
    IFERROR(
        SUMIFS('Upah Tenaga Ahli'!$D:$D,
               'Upah Tenaga Ahli'!$A:$A,"PER-LUBANG",
               'Upah Tenaga Ahli'!$B:$B,$G328
        ) * $L328 * $K328,
    0),
IF($M328="PER-M",
    IFERROR(
        SUMIFS('Upah Tenaga Ahli'!$E:$E,
               'Upah Tenaga Ahli'!$A:$A,"PER-M",
               'Upah Tenaga Ahli'!$B:$B,$G328
        ) * $J328 * $K328,
    0),
0)))</f>
        <v>4888000</v>
      </c>
      <c r="R328" t="s">
        <v>20</v>
      </c>
      <c r="S328" t="s">
        <v>24</v>
      </c>
      <c r="T328">
        <f>IF($M328="PER-M2",
   ($N328 * $J328 * $K328)
   + IFERROR(VLOOKUP($R328,Finishing!A:B,2,FALSE),0)
   + IFERROR(VLOOKUP($S328,Kerumitan!A:B,2,FALSE),0),
IF($M328="PER-LUBANG",
   ($P328 * $L328 * $K328)
   + IFERROR(VLOOKUP($R328,Finishing!A:B,2,FALSE),0)
   + IFERROR(VLOOKUP($S328,Kerumitan!A:B,2,FALSE),0),
IF($M328="PER-M",
   ($O328 * $J328 * $K328)
   + IFERROR(VLOOKUP($R328,Finishing!A:B,2,FALSE),0)
   + IFERROR(VLOOKUP($S328,Kerumitan!A:B,2,FALSE),0),
0)))</f>
        <v>22246000</v>
      </c>
    </row>
    <row r="329" spans="1:20" x14ac:dyDescent="0.45">
      <c r="A329" t="s">
        <v>426</v>
      </c>
      <c r="B329" s="5">
        <v>44699</v>
      </c>
      <c r="C329">
        <f t="shared" si="5"/>
        <v>2022</v>
      </c>
      <c r="D329" t="s">
        <v>159</v>
      </c>
      <c r="E329" t="s">
        <v>28</v>
      </c>
      <c r="F329" t="s">
        <v>8</v>
      </c>
      <c r="G329" t="s">
        <v>13</v>
      </c>
      <c r="H329" t="s">
        <v>611</v>
      </c>
      <c r="I329">
        <v>1.2</v>
      </c>
      <c r="J329">
        <v>0</v>
      </c>
      <c r="K329">
        <v>1</v>
      </c>
      <c r="L329">
        <v>15</v>
      </c>
      <c r="M329" t="str" cm="1">
        <f t="array" ref="M329">_xlfn.IFS(
   OR($F329="Pagar", $F329="Pintu Gerbang", $F329="Pintu Handerson", $F329="Kanopi"), "PER-M2",
   $F329="Teralis", "PER-LUBANG",
   OR($F329="Railing", $F329="Railing/Balkon"), "PER-M",
   TRUE, ""
)</f>
        <v>PER-LUBANG</v>
      </c>
      <c r="N329" cm="1">
        <f t="array" ref="N329">IF($M329="PER-M2",
  IFERROR(
     _xlfn.IFS(
        $G329="Hollow",
            INDEX('Referensi Harga'!$C:$C,
                  MATCH($F329&amp;$C329,'Referensi Harga'!$A:$A&amp;'Referensi Harga'!$B:$B,0)),
        $G329="Hollow Stainless",
            INDEX('Referensi Harga'!$D:$D,
                  MATCH($F329&amp;$C329,'Referensi Harga'!$A:$A&amp;'Referensi Harga'!$B:$B,0)),
        $G329="Pipa Stainless",
            INDEX('Referensi Harga'!$E:$E,
                  MATCH($F329&amp;$C329,'Referensi Harga'!$A:$A&amp;'Referensi Harga'!$B:$B,0))
     ),0)
  + IFERROR(VLOOKUP($H329,'Profile Size'!$A:$B,2,FALSE),0)
  + IFERROR(VLOOKUP($I329,'Ketebalan Material'!$A:$B,2,FALSE),0),
0)</f>
        <v>0</v>
      </c>
      <c r="O329">
        <f>IF($M329="PER-M",
  IFERROR(
    IF($G329="Hollow",
       INDEX('Referensi Harga'!$C:$C, MATCH($F329 &amp; "|" &amp; $C329, 'Referensi Harga'!$F:$F, 0)),
    IF($G329="Hollow Stainless",
       INDEX('Referensi Harga'!$D:$D, MATCH($F329 &amp; "|" &amp; $C329, 'Referensi Harga'!$F:$F, 0)),
       INDEX('Referensi Harga'!$E:$E, MATCH($F329 &amp; "|" &amp; $C329, 'Referensi Harga'!$F:$F, 0))
    ))
    + IFERROR(VLOOKUP($H329, 'Profile Size'!$A:$B, 2, FALSE), 0)
    + IFERROR(VLOOKUP($I329, 'Ketebalan Material'!$A:$B, 2, FALSE), 0), 0),
0)</f>
        <v>0</v>
      </c>
      <c r="P329" cm="1">
        <f t="array" ref="P329">IF($M329="PER-LUBANG",
  IFERROR(
     _xlfn.IFS(
        $G329="Hollow",
            INDEX('Referensi Harga'!$C:$C,
                  MATCH($F329&amp;$C329,'Referensi Harga'!$A:$A&amp;'Referensi Harga'!$B:$B,0)),
        $G329="Hollow Stainless",
            INDEX('Referensi Harga'!$D:$D,
                  MATCH($F329&amp;$C329,'Referensi Harga'!$A:$A&amp;'Referensi Harga'!$B:$B,0)),
        $G329="Pipa Stainless",
            INDEX('Referensi Harga'!$E:$E,
                  MATCH($F329&amp;$C329,'Referensi Harga'!$A:$A&amp;'Referensi Harga'!$B:$B,0))
     ),0)
  + IFERROR(VLOOKUP($H329,'Profile Size'!$A:$B,2,FALSE),0)
  + IFERROR(VLOOKUP($I329,'Ketebalan Material'!$A:$B,2,FALSE),0),
0)</f>
        <v>400000</v>
      </c>
      <c r="Q329">
        <f>IF($M329="PER-M2",
    IFERROR(
        SUMIFS('Upah Tenaga Ahli'!$C:$C,
               'Upah Tenaga Ahli'!$A:$A,"PER-M2",
               'Upah Tenaga Ahli'!$B:$B,$G329
        ) * $J329 * $K329,
    0),
IF($M329="PER-LUBANG",
    IFERROR(
        SUMIFS('Upah Tenaga Ahli'!$D:$D,
               'Upah Tenaga Ahli'!$A:$A,"PER-LUBANG",
               'Upah Tenaga Ahli'!$B:$B,$G329
        ) * $L329 * $K329,
    0),
IF($M329="PER-M",
    IFERROR(
        SUMIFS('Upah Tenaga Ahli'!$E:$E,
               'Upah Tenaga Ahli'!$A:$A,"PER-M",
               'Upah Tenaga Ahli'!$B:$B,$G329
        ) * $J329 * $K329,
    0),
0)))</f>
        <v>1125000</v>
      </c>
      <c r="R329" t="s">
        <v>18</v>
      </c>
      <c r="S329" t="s">
        <v>24</v>
      </c>
      <c r="T329">
        <f>IF($M329="PER-M2",
   ($N329 * $J329 * $K329)
   + IFERROR(VLOOKUP($R329,Finishing!A:B,2,FALSE),0)
   + IFERROR(VLOOKUP($S329,Kerumitan!A:B,2,FALSE),0),
IF($M329="PER-LUBANG",
   ($P329 * $L329 * $K329)
   + IFERROR(VLOOKUP($R329,Finishing!A:B,2,FALSE),0)
   + IFERROR(VLOOKUP($S329,Kerumitan!A:B,2,FALSE),0),
IF($M329="PER-M",
   ($O329 * $J329 * $K329)
   + IFERROR(VLOOKUP($R329,Finishing!A:B,2,FALSE),0)
   + IFERROR(VLOOKUP($S329,Kerumitan!A:B,2,FALSE),0),
0)))</f>
        <v>6100000</v>
      </c>
    </row>
    <row r="330" spans="1:20" x14ac:dyDescent="0.45">
      <c r="A330" t="s">
        <v>427</v>
      </c>
      <c r="B330" s="5">
        <v>45383</v>
      </c>
      <c r="C330">
        <f t="shared" si="5"/>
        <v>2024</v>
      </c>
      <c r="D330" t="s">
        <v>169</v>
      </c>
      <c r="E330" t="s">
        <v>54</v>
      </c>
      <c r="F330" t="s">
        <v>4</v>
      </c>
      <c r="G330" t="s">
        <v>14</v>
      </c>
      <c r="H330" t="s">
        <v>615</v>
      </c>
      <c r="I330">
        <v>0.8</v>
      </c>
      <c r="J330">
        <v>14.03</v>
      </c>
      <c r="K330">
        <v>1</v>
      </c>
      <c r="L330">
        <v>0</v>
      </c>
      <c r="M330" t="str" cm="1">
        <f t="array" ref="M330">_xlfn.IFS(
   OR($F330="Pagar", $F330="Pintu Gerbang", $F330="Pintu Handerson", $F330="Kanopi"), "PER-M2",
   $F330="Teralis", "PER-LUBANG",
   OR($F330="Railing", $F330="Railing/Balkon"), "PER-M",
   TRUE, ""
)</f>
        <v>PER-M2</v>
      </c>
      <c r="N330" cm="1">
        <f t="array" ref="N330">IF($M330="PER-M2",
  IFERROR(
     _xlfn.IFS(
        $G330="Hollow",
            INDEX('Referensi Harga'!$C:$C,
                  MATCH($F330&amp;$C330,'Referensi Harga'!$A:$A&amp;'Referensi Harga'!$B:$B,0)),
        $G330="Hollow Stainless",
            INDEX('Referensi Harga'!$D:$D,
                  MATCH($F330&amp;$C330,'Referensi Harga'!$A:$A&amp;'Referensi Harga'!$B:$B,0)),
        $G330="Pipa Stainless",
            INDEX('Referensi Harga'!$E:$E,
                  MATCH($F330&amp;$C330,'Referensi Harga'!$A:$A&amp;'Referensi Harga'!$B:$B,0))
     ),0)
  + IFERROR(VLOOKUP($H330,'Profile Size'!$A:$B,2,FALSE),0)
  + IFERROR(VLOOKUP($I330,'Ketebalan Material'!$A:$B,2,FALSE),0),
0)</f>
        <v>1060000</v>
      </c>
      <c r="O330">
        <f>IF($M330="PER-M",
  IFERROR(
    IF($G330="Hollow",
       INDEX('Referensi Harga'!$C:$C, MATCH($F330 &amp; "|" &amp; $C330, 'Referensi Harga'!$F:$F, 0)),
    IF($G330="Hollow Stainless",
       INDEX('Referensi Harga'!$D:$D, MATCH($F330 &amp; "|" &amp; $C330, 'Referensi Harga'!$F:$F, 0)),
       INDEX('Referensi Harga'!$E:$E, MATCH($F330 &amp; "|" &amp; $C330, 'Referensi Harga'!$F:$F, 0))
    ))
    + IFERROR(VLOOKUP($H330, 'Profile Size'!$A:$B, 2, FALSE), 0)
    + IFERROR(VLOOKUP($I330, 'Ketebalan Material'!$A:$B, 2, FALSE), 0), 0),
0)</f>
        <v>0</v>
      </c>
      <c r="P330" cm="1">
        <f t="array" ref="P330">IF($M330="PER-LUBANG",
  IFERROR(
     _xlfn.IFS(
        $G330="Hollow",
            INDEX('Referensi Harga'!$C:$C,
                  MATCH($F330&amp;$C330,'Referensi Harga'!$A:$A&amp;'Referensi Harga'!$B:$B,0)),
        $G330="Hollow Stainless",
            INDEX('Referensi Harga'!$D:$D,
                  MATCH($F330&amp;$C330,'Referensi Harga'!$A:$A&amp;'Referensi Harga'!$B:$B,0)),
        $G330="Pipa Stainless",
            INDEX('Referensi Harga'!$E:$E,
                  MATCH($F330&amp;$C330,'Referensi Harga'!$A:$A&amp;'Referensi Harga'!$B:$B,0))
     ),0)
  + IFERROR(VLOOKUP($H330,'Profile Size'!$A:$B,2,FALSE),0)
  + IFERROR(VLOOKUP($I330,'Ketebalan Material'!$A:$B,2,FALSE),0),
0)</f>
        <v>0</v>
      </c>
      <c r="Q330">
        <f>IF($M330="PER-M2",
    IFERROR(
        SUMIFS('Upah Tenaga Ahli'!$C:$C,
               'Upah Tenaga Ahli'!$A:$A,"PER-M2",
               'Upah Tenaga Ahli'!$B:$B,$G330
        ) * $J330 * $K330,
    0),
IF($M330="PER-LUBANG",
    IFERROR(
        SUMIFS('Upah Tenaga Ahli'!$D:$D,
               'Upah Tenaga Ahli'!$A:$A,"PER-LUBANG",
               'Upah Tenaga Ahli'!$B:$B,$G330
        ) * $L330 * $K330,
    0),
IF($M330="PER-M",
    IFERROR(
        SUMIFS('Upah Tenaga Ahli'!$E:$E,
               'Upah Tenaga Ahli'!$A:$A,"PER-M",
               'Upah Tenaga Ahli'!$B:$B,$G330
        ) * $J330 * $K330,
    0),
0)))</f>
        <v>2806000</v>
      </c>
      <c r="R330" t="s">
        <v>617</v>
      </c>
      <c r="S330" t="s">
        <v>24</v>
      </c>
      <c r="T330">
        <f>IF($M330="PER-M2",
   ($N330 * $J330 * $K330)
   + IFERROR(VLOOKUP($R330,Finishing!A:B,2,FALSE),0)
   + IFERROR(VLOOKUP($S330,Kerumitan!A:B,2,FALSE),0),
IF($M330="PER-LUBANG",
   ($P330 * $L330 * $K330)
   + IFERROR(VLOOKUP($R330,Finishing!A:B,2,FALSE),0)
   + IFERROR(VLOOKUP($S330,Kerumitan!A:B,2,FALSE),0),
IF($M330="PER-M",
   ($O330 * $J330 * $K330)
   + IFERROR(VLOOKUP($R330,Finishing!A:B,2,FALSE),0)
   + IFERROR(VLOOKUP($S330,Kerumitan!A:B,2,FALSE),0),
0)))</f>
        <v>14971800</v>
      </c>
    </row>
    <row r="331" spans="1:20" x14ac:dyDescent="0.45">
      <c r="A331" t="s">
        <v>428</v>
      </c>
      <c r="B331" s="5">
        <v>45724</v>
      </c>
      <c r="C331">
        <f t="shared" si="5"/>
        <v>2025</v>
      </c>
      <c r="D331" t="s">
        <v>139</v>
      </c>
      <c r="E331" t="s">
        <v>28</v>
      </c>
      <c r="F331" t="s">
        <v>8</v>
      </c>
      <c r="G331" t="s">
        <v>13</v>
      </c>
      <c r="H331" t="s">
        <v>612</v>
      </c>
      <c r="I331">
        <v>0.8</v>
      </c>
      <c r="J331">
        <v>0</v>
      </c>
      <c r="K331">
        <v>1</v>
      </c>
      <c r="L331">
        <v>14</v>
      </c>
      <c r="M331" t="str" cm="1">
        <f t="array" ref="M331">_xlfn.IFS(
   OR($F331="Pagar", $F331="Pintu Gerbang", $F331="Pintu Handerson", $F331="Kanopi"), "PER-M2",
   $F331="Teralis", "PER-LUBANG",
   OR($F331="Railing", $F331="Railing/Balkon"), "PER-M",
   TRUE, ""
)</f>
        <v>PER-LUBANG</v>
      </c>
      <c r="N331" cm="1">
        <f t="array" ref="N331">IF($M331="PER-M2",
  IFERROR(
     _xlfn.IFS(
        $G331="Hollow",
            INDEX('Referensi Harga'!$C:$C,
                  MATCH($F331&amp;$C331,'Referensi Harga'!$A:$A&amp;'Referensi Harga'!$B:$B,0)),
        $G331="Hollow Stainless",
            INDEX('Referensi Harga'!$D:$D,
                  MATCH($F331&amp;$C331,'Referensi Harga'!$A:$A&amp;'Referensi Harga'!$B:$B,0)),
        $G331="Pipa Stainless",
            INDEX('Referensi Harga'!$E:$E,
                  MATCH($F331&amp;$C331,'Referensi Harga'!$A:$A&amp;'Referensi Harga'!$B:$B,0))
     ),0)
  + IFERROR(VLOOKUP($H331,'Profile Size'!$A:$B,2,FALSE),0)
  + IFERROR(VLOOKUP($I331,'Ketebalan Material'!$A:$B,2,FALSE),0),
0)</f>
        <v>0</v>
      </c>
      <c r="O331">
        <f>IF($M331="PER-M",
  IFERROR(
    IF($G331="Hollow",
       INDEX('Referensi Harga'!$C:$C, MATCH($F331 &amp; "|" &amp; $C331, 'Referensi Harga'!$F:$F, 0)),
    IF($G331="Hollow Stainless",
       INDEX('Referensi Harga'!$D:$D, MATCH($F331 &amp; "|" &amp; $C331, 'Referensi Harga'!$F:$F, 0)),
       INDEX('Referensi Harga'!$E:$E, MATCH($F331 &amp; "|" &amp; $C331, 'Referensi Harga'!$F:$F, 0))
    ))
    + IFERROR(VLOOKUP($H331, 'Profile Size'!$A:$B, 2, FALSE), 0)
    + IFERROR(VLOOKUP($I331, 'Ketebalan Material'!$A:$B, 2, FALSE), 0), 0),
0)</f>
        <v>0</v>
      </c>
      <c r="P331" cm="1">
        <f t="array" ref="P331">IF($M331="PER-LUBANG",
  IFERROR(
     _xlfn.IFS(
        $G331="Hollow",
            INDEX('Referensi Harga'!$C:$C,
                  MATCH($F331&amp;$C331,'Referensi Harga'!$A:$A&amp;'Referensi Harga'!$B:$B,0)),
        $G331="Hollow Stainless",
            INDEX('Referensi Harga'!$D:$D,
                  MATCH($F331&amp;$C331,'Referensi Harga'!$A:$A&amp;'Referensi Harga'!$B:$B,0)),
        $G331="Pipa Stainless",
            INDEX('Referensi Harga'!$E:$E,
                  MATCH($F331&amp;$C331,'Referensi Harga'!$A:$A&amp;'Referensi Harga'!$B:$B,0))
     ),0)
  + IFERROR(VLOOKUP($H331,'Profile Size'!$A:$B,2,FALSE),0)
  + IFERROR(VLOOKUP($I331,'Ketebalan Material'!$A:$B,2,FALSE),0),
0)</f>
        <v>350000</v>
      </c>
      <c r="Q331">
        <f>IF($M331="PER-M2",
    IFERROR(
        SUMIFS('Upah Tenaga Ahli'!$C:$C,
               'Upah Tenaga Ahli'!$A:$A,"PER-M2",
               'Upah Tenaga Ahli'!$B:$B,$G331
        ) * $J331 * $K331,
    0),
IF($M331="PER-LUBANG",
    IFERROR(
        SUMIFS('Upah Tenaga Ahli'!$D:$D,
               'Upah Tenaga Ahli'!$A:$A,"PER-LUBANG",
               'Upah Tenaga Ahli'!$B:$B,$G331
        ) * $L331 * $K331,
    0),
IF($M331="PER-M",
    IFERROR(
        SUMIFS('Upah Tenaga Ahli'!$E:$E,
               'Upah Tenaga Ahli'!$A:$A,"PER-M",
               'Upah Tenaga Ahli'!$B:$B,$G331
        ) * $J331 * $K331,
    0),
0)))</f>
        <v>1050000</v>
      </c>
      <c r="R331" t="s">
        <v>20</v>
      </c>
      <c r="S331" t="s">
        <v>24</v>
      </c>
      <c r="T331">
        <f>IF($M331="PER-M2",
   ($N331 * $J331 * $K331)
   + IFERROR(VLOOKUP($R331,Finishing!A:B,2,FALSE),0)
   + IFERROR(VLOOKUP($S331,Kerumitan!A:B,2,FALSE),0),
IF($M331="PER-LUBANG",
   ($P331 * $L331 * $K331)
   + IFERROR(VLOOKUP($R331,Finishing!A:B,2,FALSE),0)
   + IFERROR(VLOOKUP($S331,Kerumitan!A:B,2,FALSE),0),
IF($M331="PER-M",
   ($O331 * $J331 * $K331)
   + IFERROR(VLOOKUP($R331,Finishing!A:B,2,FALSE),0)
   + IFERROR(VLOOKUP($S331,Kerumitan!A:B,2,FALSE),0),
0)))</f>
        <v>5150000</v>
      </c>
    </row>
    <row r="332" spans="1:20" x14ac:dyDescent="0.45">
      <c r="A332" t="s">
        <v>429</v>
      </c>
      <c r="B332" s="5">
        <v>45705</v>
      </c>
      <c r="C332">
        <f t="shared" si="5"/>
        <v>2025</v>
      </c>
      <c r="D332" t="s">
        <v>199</v>
      </c>
      <c r="E332" t="s">
        <v>108</v>
      </c>
      <c r="F332" t="s">
        <v>8</v>
      </c>
      <c r="G332" t="s">
        <v>15</v>
      </c>
      <c r="H332" t="s">
        <v>612</v>
      </c>
      <c r="I332">
        <v>1.2</v>
      </c>
      <c r="J332">
        <v>0</v>
      </c>
      <c r="K332">
        <v>1</v>
      </c>
      <c r="L332">
        <v>4</v>
      </c>
      <c r="M332" t="str" cm="1">
        <f t="array" ref="M332">_xlfn.IFS(
   OR($F332="Pagar", $F332="Pintu Gerbang", $F332="Pintu Handerson", $F332="Kanopi"), "PER-M2",
   $F332="Teralis", "PER-LUBANG",
   OR($F332="Railing", $F332="Railing/Balkon"), "PER-M",
   TRUE, ""
)</f>
        <v>PER-LUBANG</v>
      </c>
      <c r="N332" cm="1">
        <f t="array" ref="N332">IF($M332="PER-M2",
  IFERROR(
     _xlfn.IFS(
        $G332="Hollow",
            INDEX('Referensi Harga'!$C:$C,
                  MATCH($F332&amp;$C332,'Referensi Harga'!$A:$A&amp;'Referensi Harga'!$B:$B,0)),
        $G332="Hollow Stainless",
            INDEX('Referensi Harga'!$D:$D,
                  MATCH($F332&amp;$C332,'Referensi Harga'!$A:$A&amp;'Referensi Harga'!$B:$B,0)),
        $G332="Pipa Stainless",
            INDEX('Referensi Harga'!$E:$E,
                  MATCH($F332&amp;$C332,'Referensi Harga'!$A:$A&amp;'Referensi Harga'!$B:$B,0))
     ),0)
  + IFERROR(VLOOKUP($H332,'Profile Size'!$A:$B,2,FALSE),0)
  + IFERROR(VLOOKUP($I332,'Ketebalan Material'!$A:$B,2,FALSE),0),
0)</f>
        <v>0</v>
      </c>
      <c r="O332">
        <f>IF($M332="PER-M",
  IFERROR(
    IF($G332="Hollow",
       INDEX('Referensi Harga'!$C:$C, MATCH($F332 &amp; "|" &amp; $C332, 'Referensi Harga'!$F:$F, 0)),
    IF($G332="Hollow Stainless",
       INDEX('Referensi Harga'!$D:$D, MATCH($F332 &amp; "|" &amp; $C332, 'Referensi Harga'!$F:$F, 0)),
       INDEX('Referensi Harga'!$E:$E, MATCH($F332 &amp; "|" &amp; $C332, 'Referensi Harga'!$F:$F, 0))
    ))
    + IFERROR(VLOOKUP($H332, 'Profile Size'!$A:$B, 2, FALSE), 0)
    + IFERROR(VLOOKUP($I332, 'Ketebalan Material'!$A:$B, 2, FALSE), 0), 0),
0)</f>
        <v>0</v>
      </c>
      <c r="P332" cm="1">
        <f t="array" ref="P332">IF($M332="PER-LUBANG",
  IFERROR(
     _xlfn.IFS(
        $G332="Hollow",
            INDEX('Referensi Harga'!$C:$C,
                  MATCH($F332&amp;$C332,'Referensi Harga'!$A:$A&amp;'Referensi Harga'!$B:$B,0)),
        $G332="Hollow Stainless",
            INDEX('Referensi Harga'!$D:$D,
                  MATCH($F332&amp;$C332,'Referensi Harga'!$A:$A&amp;'Referensi Harga'!$B:$B,0)),
        $G332="Pipa Stainless",
            INDEX('Referensi Harga'!$E:$E,
                  MATCH($F332&amp;$C332,'Referensi Harga'!$A:$A&amp;'Referensi Harga'!$B:$B,0))
     ),0)
  + IFERROR(VLOOKUP($H332,'Profile Size'!$A:$B,2,FALSE),0)
  + IFERROR(VLOOKUP($I332,'Ketebalan Material'!$A:$B,2,FALSE),0),
0)</f>
        <v>900000</v>
      </c>
      <c r="Q332">
        <f>IF($M332="PER-M2",
    IFERROR(
        SUMIFS('Upah Tenaga Ahli'!$C:$C,
               'Upah Tenaga Ahli'!$A:$A,"PER-M2",
               'Upah Tenaga Ahli'!$B:$B,$G332
        ) * $J332 * $K332,
    0),
IF($M332="PER-LUBANG",
    IFERROR(
        SUMIFS('Upah Tenaga Ahli'!$D:$D,
               'Upah Tenaga Ahli'!$A:$A,"PER-LUBANG",
               'Upah Tenaga Ahli'!$B:$B,$G332
        ) * $L332 * $K332,
    0),
IF($M332="PER-M",
    IFERROR(
        SUMIFS('Upah Tenaga Ahli'!$E:$E,
               'Upah Tenaga Ahli'!$A:$A,"PER-M",
               'Upah Tenaga Ahli'!$B:$B,$G332
        ) * $J332 * $K332,
    0),
0)))</f>
        <v>600000</v>
      </c>
      <c r="R332" t="s">
        <v>617</v>
      </c>
      <c r="S332" t="s">
        <v>23</v>
      </c>
      <c r="T332">
        <f>IF($M332="PER-M2",
   ($N332 * $J332 * $K332)
   + IFERROR(VLOOKUP($R332,Finishing!A:B,2,FALSE),0)
   + IFERROR(VLOOKUP($S332,Kerumitan!A:B,2,FALSE),0),
IF($M332="PER-LUBANG",
   ($P332 * $L332 * $K332)
   + IFERROR(VLOOKUP($R332,Finishing!A:B,2,FALSE),0)
   + IFERROR(VLOOKUP($S332,Kerumitan!A:B,2,FALSE),0),
IF($M332="PER-M",
   ($O332 * $J332 * $K332)
   + IFERROR(VLOOKUP($R332,Finishing!A:B,2,FALSE),0)
   + IFERROR(VLOOKUP($S332,Kerumitan!A:B,2,FALSE),0),
0)))</f>
        <v>3600000</v>
      </c>
    </row>
    <row r="333" spans="1:20" x14ac:dyDescent="0.45">
      <c r="A333" t="s">
        <v>430</v>
      </c>
      <c r="B333" s="5">
        <v>45456</v>
      </c>
      <c r="C333">
        <f t="shared" si="5"/>
        <v>2024</v>
      </c>
      <c r="D333" t="s">
        <v>37</v>
      </c>
      <c r="E333" t="s">
        <v>121</v>
      </c>
      <c r="F333" t="s">
        <v>10</v>
      </c>
      <c r="G333" t="s">
        <v>13</v>
      </c>
      <c r="H333" t="s">
        <v>33</v>
      </c>
      <c r="I333">
        <v>1.2</v>
      </c>
      <c r="J333">
        <v>2.5099999999999998</v>
      </c>
      <c r="K333">
        <v>1</v>
      </c>
      <c r="L333">
        <v>0</v>
      </c>
      <c r="M333" t="str" cm="1">
        <f t="array" ref="M333">_xlfn.IFS(
   OR($F333="Pagar", $F333="Pintu Gerbang", $F333="Pintu Handerson", $F333="Kanopi"), "PER-M2",
   $F333="Teralis", "PER-LUBANG",
   OR($F333="Railing", $F333="Railing/Balkon"), "PER-M",
   TRUE, ""
)</f>
        <v>PER-M2</v>
      </c>
      <c r="N333" cm="1">
        <f t="array" ref="N333">IF($M333="PER-M2",
  IFERROR(
     _xlfn.IFS(
        $G333="Hollow",
            INDEX('Referensi Harga'!$C:$C,
                  MATCH($F333&amp;$C333,'Referensi Harga'!$A:$A&amp;'Referensi Harga'!$B:$B,0)),
        $G333="Hollow Stainless",
            INDEX('Referensi Harga'!$D:$D,
                  MATCH($F333&amp;$C333,'Referensi Harga'!$A:$A&amp;'Referensi Harga'!$B:$B,0)),
        $G333="Pipa Stainless",
            INDEX('Referensi Harga'!$E:$E,
                  MATCH($F333&amp;$C333,'Referensi Harga'!$A:$A&amp;'Referensi Harga'!$B:$B,0))
     ),0)
  + IFERROR(VLOOKUP($H333,'Profile Size'!$A:$B,2,FALSE),0)
  + IFERROR(VLOOKUP($I333,'Ketebalan Material'!$A:$B,2,FALSE),0),
0)</f>
        <v>1000000</v>
      </c>
      <c r="O333">
        <f>IF($M333="PER-M",
  IFERROR(
    IF($G333="Hollow",
       INDEX('Referensi Harga'!$C:$C, MATCH($F333 &amp; "|" &amp; $C333, 'Referensi Harga'!$F:$F, 0)),
    IF($G333="Hollow Stainless",
       INDEX('Referensi Harga'!$D:$D, MATCH($F333 &amp; "|" &amp; $C333, 'Referensi Harga'!$F:$F, 0)),
       INDEX('Referensi Harga'!$E:$E, MATCH($F333 &amp; "|" &amp; $C333, 'Referensi Harga'!$F:$F, 0))
    ))
    + IFERROR(VLOOKUP($H333, 'Profile Size'!$A:$B, 2, FALSE), 0)
    + IFERROR(VLOOKUP($I333, 'Ketebalan Material'!$A:$B, 2, FALSE), 0), 0),
0)</f>
        <v>0</v>
      </c>
      <c r="P333" cm="1">
        <f t="array" ref="P333">IF($M333="PER-LUBANG",
  IFERROR(
     _xlfn.IFS(
        $G333="Hollow",
            INDEX('Referensi Harga'!$C:$C,
                  MATCH($F333&amp;$C333,'Referensi Harga'!$A:$A&amp;'Referensi Harga'!$B:$B,0)),
        $G333="Hollow Stainless",
            INDEX('Referensi Harga'!$D:$D,
                  MATCH($F333&amp;$C333,'Referensi Harga'!$A:$A&amp;'Referensi Harga'!$B:$B,0)),
        $G333="Pipa Stainless",
            INDEX('Referensi Harga'!$E:$E,
                  MATCH($F333&amp;$C333,'Referensi Harga'!$A:$A&amp;'Referensi Harga'!$B:$B,0))
     ),0)
  + IFERROR(VLOOKUP($H333,'Profile Size'!$A:$B,2,FALSE),0)
  + IFERROR(VLOOKUP($I333,'Ketebalan Material'!$A:$B,2,FALSE),0),
0)</f>
        <v>0</v>
      </c>
      <c r="Q333">
        <f>IF($M333="PER-M2",
    IFERROR(
        SUMIFS('Upah Tenaga Ahli'!$C:$C,
               'Upah Tenaga Ahli'!$A:$A,"PER-M2",
               'Upah Tenaga Ahli'!$B:$B,$G333
        ) * $J333 * $K333,
    0),
IF($M333="PER-LUBANG",
    IFERROR(
        SUMIFS('Upah Tenaga Ahli'!$D:$D,
               'Upah Tenaga Ahli'!$A:$A,"PER-LUBANG",
               'Upah Tenaga Ahli'!$B:$B,$G333
        ) * $L333 * $K333,
    0),
IF($M333="PER-M",
    IFERROR(
        SUMIFS('Upah Tenaga Ahli'!$E:$E,
               'Upah Tenaga Ahli'!$A:$A,"PER-M",
               'Upah Tenaga Ahli'!$B:$B,$G333
        ) * $J333 * $K333,
    0),
0)))</f>
        <v>250999.99999999997</v>
      </c>
      <c r="R333" t="s">
        <v>18</v>
      </c>
      <c r="S333" t="s">
        <v>24</v>
      </c>
      <c r="T333">
        <f>IF($M333="PER-M2",
   ($N333 * $J333 * $K333)
   + IFERROR(VLOOKUP($R333,Finishing!A:B,2,FALSE),0)
   + IFERROR(VLOOKUP($S333,Kerumitan!A:B,2,FALSE),0),
IF($M333="PER-LUBANG",
   ($P333 * $L333 * $K333)
   + IFERROR(VLOOKUP($R333,Finishing!A:B,2,FALSE),0)
   + IFERROR(VLOOKUP($S333,Kerumitan!A:B,2,FALSE),0),
IF($M333="PER-M",
   ($O333 * $J333 * $K333)
   + IFERROR(VLOOKUP($R333,Finishing!A:B,2,FALSE),0)
   + IFERROR(VLOOKUP($S333,Kerumitan!A:B,2,FALSE),0),
0)))</f>
        <v>2610000</v>
      </c>
    </row>
    <row r="334" spans="1:20" x14ac:dyDescent="0.45">
      <c r="A334" t="s">
        <v>431</v>
      </c>
      <c r="B334" s="5">
        <v>43895</v>
      </c>
      <c r="C334">
        <f t="shared" si="5"/>
        <v>2020</v>
      </c>
      <c r="D334" t="s">
        <v>65</v>
      </c>
      <c r="E334" t="s">
        <v>91</v>
      </c>
      <c r="F334" t="s">
        <v>10</v>
      </c>
      <c r="G334" t="s">
        <v>13</v>
      </c>
      <c r="H334" t="s">
        <v>46</v>
      </c>
      <c r="I334">
        <v>0.8</v>
      </c>
      <c r="J334">
        <v>5.07</v>
      </c>
      <c r="K334">
        <v>1</v>
      </c>
      <c r="L334">
        <v>0</v>
      </c>
      <c r="M334" t="str" cm="1">
        <f t="array" ref="M334">_xlfn.IFS(
   OR($F334="Pagar", $F334="Pintu Gerbang", $F334="Pintu Handerson", $F334="Kanopi"), "PER-M2",
   $F334="Teralis", "PER-LUBANG",
   OR($F334="Railing", $F334="Railing/Balkon"), "PER-M",
   TRUE, ""
)</f>
        <v>PER-M2</v>
      </c>
      <c r="N334" cm="1">
        <f t="array" ref="N334">IF($M334="PER-M2",
  IFERROR(
     _xlfn.IFS(
        $G334="Hollow",
            INDEX('Referensi Harga'!$C:$C,
                  MATCH($F334&amp;$C334,'Referensi Harga'!$A:$A&amp;'Referensi Harga'!$B:$B,0)),
        $G334="Hollow Stainless",
            INDEX('Referensi Harga'!$D:$D,
                  MATCH($F334&amp;$C334,'Referensi Harga'!$A:$A&amp;'Referensi Harga'!$B:$B,0)),
        $G334="Pipa Stainless",
            INDEX('Referensi Harga'!$E:$E,
                  MATCH($F334&amp;$C334,'Referensi Harga'!$A:$A&amp;'Referensi Harga'!$B:$B,0))
     ),0)
  + IFERROR(VLOOKUP($H334,'Profile Size'!$A:$B,2,FALSE),0)
  + IFERROR(VLOOKUP($I334,'Ketebalan Material'!$A:$B,2,FALSE),0),
0)</f>
        <v>850000</v>
      </c>
      <c r="O334">
        <f>IF($M334="PER-M",
  IFERROR(
    IF($G334="Hollow",
       INDEX('Referensi Harga'!$C:$C, MATCH($F334 &amp; "|" &amp; $C334, 'Referensi Harga'!$F:$F, 0)),
    IF($G334="Hollow Stainless",
       INDEX('Referensi Harga'!$D:$D, MATCH($F334 &amp; "|" &amp; $C334, 'Referensi Harga'!$F:$F, 0)),
       INDEX('Referensi Harga'!$E:$E, MATCH($F334 &amp; "|" &amp; $C334, 'Referensi Harga'!$F:$F, 0))
    ))
    + IFERROR(VLOOKUP($H334, 'Profile Size'!$A:$B, 2, FALSE), 0)
    + IFERROR(VLOOKUP($I334, 'Ketebalan Material'!$A:$B, 2, FALSE), 0), 0),
0)</f>
        <v>0</v>
      </c>
      <c r="P334" cm="1">
        <f t="array" ref="P334">IF($M334="PER-LUBANG",
  IFERROR(
     _xlfn.IFS(
        $G334="Hollow",
            INDEX('Referensi Harga'!$C:$C,
                  MATCH($F334&amp;$C334,'Referensi Harga'!$A:$A&amp;'Referensi Harga'!$B:$B,0)),
        $G334="Hollow Stainless",
            INDEX('Referensi Harga'!$D:$D,
                  MATCH($F334&amp;$C334,'Referensi Harga'!$A:$A&amp;'Referensi Harga'!$B:$B,0)),
        $G334="Pipa Stainless",
            INDEX('Referensi Harga'!$E:$E,
                  MATCH($F334&amp;$C334,'Referensi Harga'!$A:$A&amp;'Referensi Harga'!$B:$B,0))
     ),0)
  + IFERROR(VLOOKUP($H334,'Profile Size'!$A:$B,2,FALSE),0)
  + IFERROR(VLOOKUP($I334,'Ketebalan Material'!$A:$B,2,FALSE),0),
0)</f>
        <v>0</v>
      </c>
      <c r="Q334">
        <f>IF($M334="PER-M2",
    IFERROR(
        SUMIFS('Upah Tenaga Ahli'!$C:$C,
               'Upah Tenaga Ahli'!$A:$A,"PER-M2",
               'Upah Tenaga Ahli'!$B:$B,$G334
        ) * $J334 * $K334,
    0),
IF($M334="PER-LUBANG",
    IFERROR(
        SUMIFS('Upah Tenaga Ahli'!$D:$D,
               'Upah Tenaga Ahli'!$A:$A,"PER-LUBANG",
               'Upah Tenaga Ahli'!$B:$B,$G334
        ) * $L334 * $K334,
    0),
IF($M334="PER-M",
    IFERROR(
        SUMIFS('Upah Tenaga Ahli'!$E:$E,
               'Upah Tenaga Ahli'!$A:$A,"PER-M",
               'Upah Tenaga Ahli'!$B:$B,$G334
        ) * $J334 * $K334,
    0),
0)))</f>
        <v>507000</v>
      </c>
      <c r="R334" t="s">
        <v>18</v>
      </c>
      <c r="S334" t="s">
        <v>23</v>
      </c>
      <c r="T334">
        <f>IF($M334="PER-M2",
   ($N334 * $J334 * $K334)
   + IFERROR(VLOOKUP($R334,Finishing!A:B,2,FALSE),0)
   + IFERROR(VLOOKUP($S334,Kerumitan!A:B,2,FALSE),0),
IF($M334="PER-LUBANG",
   ($P334 * $L334 * $K334)
   + IFERROR(VLOOKUP($R334,Finishing!A:B,2,FALSE),0)
   + IFERROR(VLOOKUP($S334,Kerumitan!A:B,2,FALSE),0),
IF($M334="PER-M",
   ($O334 * $J334 * $K334)
   + IFERROR(VLOOKUP($R334,Finishing!A:B,2,FALSE),0)
   + IFERROR(VLOOKUP($S334,Kerumitan!A:B,2,FALSE),0),
0)))</f>
        <v>4309500</v>
      </c>
    </row>
    <row r="335" spans="1:20" x14ac:dyDescent="0.45">
      <c r="A335" t="s">
        <v>432</v>
      </c>
      <c r="B335" s="5">
        <v>45355</v>
      </c>
      <c r="C335">
        <f t="shared" si="5"/>
        <v>2024</v>
      </c>
      <c r="D335" t="s">
        <v>163</v>
      </c>
      <c r="E335" t="s">
        <v>69</v>
      </c>
      <c r="F335" t="s">
        <v>7</v>
      </c>
      <c r="G335" t="s">
        <v>13</v>
      </c>
      <c r="H335" t="s">
        <v>33</v>
      </c>
      <c r="I335">
        <v>1.2</v>
      </c>
      <c r="J335">
        <v>8.65</v>
      </c>
      <c r="K335">
        <v>1</v>
      </c>
      <c r="L335">
        <v>0</v>
      </c>
      <c r="M335" t="str" cm="1">
        <f t="array" ref="M335">_xlfn.IFS(
   OR($F335="Pagar", $F335="Pintu Gerbang", $F335="Pintu Handerson", $F335="Kanopi"), "PER-M2",
   $F335="Teralis", "PER-LUBANG",
   OR($F335="Railing", $F335="Railing/Balkon"), "PER-M",
   TRUE, ""
)</f>
        <v>PER-M2</v>
      </c>
      <c r="N335" cm="1">
        <f t="array" ref="N335">IF($M335="PER-M2",
  IFERROR(
     _xlfn.IFS(
        $G335="Hollow",
            INDEX('Referensi Harga'!$C:$C,
                  MATCH($F335&amp;$C335,'Referensi Harga'!$A:$A&amp;'Referensi Harga'!$B:$B,0)),
        $G335="Hollow Stainless",
            INDEX('Referensi Harga'!$D:$D,
                  MATCH($F335&amp;$C335,'Referensi Harga'!$A:$A&amp;'Referensi Harga'!$B:$B,0)),
        $G335="Pipa Stainless",
            INDEX('Referensi Harga'!$E:$E,
                  MATCH($F335&amp;$C335,'Referensi Harga'!$A:$A&amp;'Referensi Harga'!$B:$B,0))
     ),0)
  + IFERROR(VLOOKUP($H335,'Profile Size'!$A:$B,2,FALSE),0)
  + IFERROR(VLOOKUP($I335,'Ketebalan Material'!$A:$B,2,FALSE),0),
0)</f>
        <v>850000</v>
      </c>
      <c r="O335">
        <f>IF($M335="PER-M",
  IFERROR(
    IF($G335="Hollow",
       INDEX('Referensi Harga'!$C:$C, MATCH($F335 &amp; "|" &amp; $C335, 'Referensi Harga'!$F:$F, 0)),
    IF($G335="Hollow Stainless",
       INDEX('Referensi Harga'!$D:$D, MATCH($F335 &amp; "|" &amp; $C335, 'Referensi Harga'!$F:$F, 0)),
       INDEX('Referensi Harga'!$E:$E, MATCH($F335 &amp; "|" &amp; $C335, 'Referensi Harga'!$F:$F, 0))
    ))
    + IFERROR(VLOOKUP($H335, 'Profile Size'!$A:$B, 2, FALSE), 0)
    + IFERROR(VLOOKUP($I335, 'Ketebalan Material'!$A:$B, 2, FALSE), 0), 0),
0)</f>
        <v>0</v>
      </c>
      <c r="P335" cm="1">
        <f t="array" ref="P335">IF($M335="PER-LUBANG",
  IFERROR(
     _xlfn.IFS(
        $G335="Hollow",
            INDEX('Referensi Harga'!$C:$C,
                  MATCH($F335&amp;$C335,'Referensi Harga'!$A:$A&amp;'Referensi Harga'!$B:$B,0)),
        $G335="Hollow Stainless",
            INDEX('Referensi Harga'!$D:$D,
                  MATCH($F335&amp;$C335,'Referensi Harga'!$A:$A&amp;'Referensi Harga'!$B:$B,0)),
        $G335="Pipa Stainless",
            INDEX('Referensi Harga'!$E:$E,
                  MATCH($F335&amp;$C335,'Referensi Harga'!$A:$A&amp;'Referensi Harga'!$B:$B,0))
     ),0)
  + IFERROR(VLOOKUP($H335,'Profile Size'!$A:$B,2,FALSE),0)
  + IFERROR(VLOOKUP($I335,'Ketebalan Material'!$A:$B,2,FALSE),0),
0)</f>
        <v>0</v>
      </c>
      <c r="Q335">
        <f>IF($M335="PER-M2",
    IFERROR(
        SUMIFS('Upah Tenaga Ahli'!$C:$C,
               'Upah Tenaga Ahli'!$A:$A,"PER-M2",
               'Upah Tenaga Ahli'!$B:$B,$G335
        ) * $J335 * $K335,
    0),
IF($M335="PER-LUBANG",
    IFERROR(
        SUMIFS('Upah Tenaga Ahli'!$D:$D,
               'Upah Tenaga Ahli'!$A:$A,"PER-LUBANG",
               'Upah Tenaga Ahli'!$B:$B,$G335
        ) * $L335 * $K335,
    0),
IF($M335="PER-M",
    IFERROR(
        SUMIFS('Upah Tenaga Ahli'!$E:$E,
               'Upah Tenaga Ahli'!$A:$A,"PER-M",
               'Upah Tenaga Ahli'!$B:$B,$G335
        ) * $J335 * $K335,
    0),
0)))</f>
        <v>865000</v>
      </c>
      <c r="R335" t="s">
        <v>19</v>
      </c>
      <c r="S335" t="s">
        <v>23</v>
      </c>
      <c r="T335">
        <f>IF($M335="PER-M2",
   ($N335 * $J335 * $K335)
   + IFERROR(VLOOKUP($R335,Finishing!A:B,2,FALSE),0)
   + IFERROR(VLOOKUP($S335,Kerumitan!A:B,2,FALSE),0),
IF($M335="PER-LUBANG",
   ($P335 * $L335 * $K335)
   + IFERROR(VLOOKUP($R335,Finishing!A:B,2,FALSE),0)
   + IFERROR(VLOOKUP($S335,Kerumitan!A:B,2,FALSE),0),
IF($M335="PER-M",
   ($O335 * $J335 * $K335)
   + IFERROR(VLOOKUP($R335,Finishing!A:B,2,FALSE),0)
   + IFERROR(VLOOKUP($S335,Kerumitan!A:B,2,FALSE),0),
0)))</f>
        <v>7402500</v>
      </c>
    </row>
    <row r="336" spans="1:20" x14ac:dyDescent="0.45">
      <c r="A336" t="s">
        <v>433</v>
      </c>
      <c r="B336" s="5">
        <v>45894</v>
      </c>
      <c r="C336">
        <f t="shared" si="5"/>
        <v>2025</v>
      </c>
      <c r="D336" t="s">
        <v>40</v>
      </c>
      <c r="E336" t="s">
        <v>69</v>
      </c>
      <c r="F336" t="s">
        <v>625</v>
      </c>
      <c r="G336" t="s">
        <v>14</v>
      </c>
      <c r="H336" t="s">
        <v>615</v>
      </c>
      <c r="I336">
        <v>1.2</v>
      </c>
      <c r="J336">
        <v>13.7</v>
      </c>
      <c r="K336">
        <v>3</v>
      </c>
      <c r="L336">
        <v>0</v>
      </c>
      <c r="M336" t="str" cm="1">
        <f t="array" ref="M336">_xlfn.IFS(
   OR($F336="Pagar", $F336="Pintu Gerbang", $F336="Pintu Handerson", $F336="Kanopi"), "PER-M2",
   $F336="Teralis", "PER-LUBANG",
   OR($F336="Railing", $F336="Railing/Balkon"), "PER-M",
   TRUE, ""
)</f>
        <v>PER-M</v>
      </c>
      <c r="N336" cm="1">
        <f t="array" ref="N336">IF($M336="PER-M2",
  IFERROR(
     _xlfn.IFS(
        $G336="Hollow",
            INDEX('Referensi Harga'!$C:$C,
                  MATCH($F336&amp;$C336,'Referensi Harga'!$A:$A&amp;'Referensi Harga'!$B:$B,0)),
        $G336="Hollow Stainless",
            INDEX('Referensi Harga'!$D:$D,
                  MATCH($F336&amp;$C336,'Referensi Harga'!$A:$A&amp;'Referensi Harga'!$B:$B,0)),
        $G336="Pipa Stainless",
            INDEX('Referensi Harga'!$E:$E,
                  MATCH($F336&amp;$C336,'Referensi Harga'!$A:$A&amp;'Referensi Harga'!$B:$B,0))
     ),0)
  + IFERROR(VLOOKUP($H336,'Profile Size'!$A:$B,2,FALSE),0)
  + IFERROR(VLOOKUP($I336,'Ketebalan Material'!$A:$B,2,FALSE),0),
0)</f>
        <v>0</v>
      </c>
      <c r="O336">
        <f>IF($M336="PER-M",
  IFERROR(
    IF($G336="Hollow",
       INDEX('Referensi Harga'!$C:$C, MATCH($F336 &amp; "|" &amp; $C336, 'Referensi Harga'!$F:$F, 0)),
    IF($G336="Hollow Stainless",
       INDEX('Referensi Harga'!$D:$D, MATCH($F336 &amp; "|" &amp; $C336, 'Referensi Harga'!$F:$F, 0)),
       INDEX('Referensi Harga'!$E:$E, MATCH($F336 &amp; "|" &amp; $C336, 'Referensi Harga'!$F:$F, 0))
    ))
    + IFERROR(VLOOKUP($H336, 'Profile Size'!$A:$B, 2, FALSE), 0)
    + IFERROR(VLOOKUP($I336, 'Ketebalan Material'!$A:$B, 2, FALSE), 0), 0),
0)</f>
        <v>1200000</v>
      </c>
      <c r="P336" cm="1">
        <f t="array" ref="P336">IF($M336="PER-LUBANG",
  IFERROR(
     _xlfn.IFS(
        $G336="Hollow",
            INDEX('Referensi Harga'!$C:$C,
                  MATCH($F336&amp;$C336,'Referensi Harga'!$A:$A&amp;'Referensi Harga'!$B:$B,0)),
        $G336="Hollow Stainless",
            INDEX('Referensi Harga'!$D:$D,
                  MATCH($F336&amp;$C336,'Referensi Harga'!$A:$A&amp;'Referensi Harga'!$B:$B,0)),
        $G336="Pipa Stainless",
            INDEX('Referensi Harga'!$E:$E,
                  MATCH($F336&amp;$C336,'Referensi Harga'!$A:$A&amp;'Referensi Harga'!$B:$B,0))
     ),0)
  + IFERROR(VLOOKUP($H336,'Profile Size'!$A:$B,2,FALSE),0)
  + IFERROR(VLOOKUP($I336,'Ketebalan Material'!$A:$B,2,FALSE),0),
0)</f>
        <v>0</v>
      </c>
      <c r="Q336">
        <f>IF($M336="PER-M2",
    IFERROR(
        SUMIFS('Upah Tenaga Ahli'!$C:$C,
               'Upah Tenaga Ahli'!$A:$A,"PER-M2",
               'Upah Tenaga Ahli'!$B:$B,$G336
        ) * $J336 * $K336,
    0),
IF($M336="PER-LUBANG",
    IFERROR(
        SUMIFS('Upah Tenaga Ahli'!$D:$D,
               'Upah Tenaga Ahli'!$A:$A,"PER-LUBANG",
               'Upah Tenaga Ahli'!$B:$B,$G336
        ) * $L336 * $K336,
    0),
IF($M336="PER-M",
    IFERROR(
        SUMIFS('Upah Tenaga Ahli'!$E:$E,
               'Upah Tenaga Ahli'!$A:$A,"PER-M",
               'Upah Tenaga Ahli'!$B:$B,$G336
        ) * $J336 * $K336,
    0),
0)))</f>
        <v>8220000</v>
      </c>
      <c r="R336" t="s">
        <v>617</v>
      </c>
      <c r="S336" t="s">
        <v>23</v>
      </c>
      <c r="T336">
        <f>IF($M336="PER-M2",
   ($N336 * $J336 * $K336)
   + IFERROR(VLOOKUP($R336,Finishing!A:B,2,FALSE),0)
   + IFERROR(VLOOKUP($S336,Kerumitan!A:B,2,FALSE),0),
IF($M336="PER-LUBANG",
   ($P336 * $L336 * $K336)
   + IFERROR(VLOOKUP($R336,Finishing!A:B,2,FALSE),0)
   + IFERROR(VLOOKUP($S336,Kerumitan!A:B,2,FALSE),0),
IF($M336="PER-M",
   ($O336 * $J336 * $K336)
   + IFERROR(VLOOKUP($R336,Finishing!A:B,2,FALSE),0)
   + IFERROR(VLOOKUP($S336,Kerumitan!A:B,2,FALSE),0),
0)))</f>
        <v>49320000</v>
      </c>
    </row>
    <row r="337" spans="1:20" x14ac:dyDescent="0.45">
      <c r="A337" t="s">
        <v>434</v>
      </c>
      <c r="B337" s="5">
        <v>45099</v>
      </c>
      <c r="C337">
        <f t="shared" si="5"/>
        <v>2023</v>
      </c>
      <c r="D337" t="s">
        <v>133</v>
      </c>
      <c r="E337" t="s">
        <v>61</v>
      </c>
      <c r="F337" t="s">
        <v>8</v>
      </c>
      <c r="G337" t="s">
        <v>15</v>
      </c>
      <c r="H337" t="s">
        <v>612</v>
      </c>
      <c r="I337">
        <v>1.2</v>
      </c>
      <c r="J337">
        <v>0</v>
      </c>
      <c r="K337">
        <v>1</v>
      </c>
      <c r="L337">
        <v>13</v>
      </c>
      <c r="M337" t="str" cm="1">
        <f t="array" ref="M337">_xlfn.IFS(
   OR($F337="Pagar", $F337="Pintu Gerbang", $F337="Pintu Handerson", $F337="Kanopi"), "PER-M2",
   $F337="Teralis", "PER-LUBANG",
   OR($F337="Railing", $F337="Railing/Balkon"), "PER-M",
   TRUE, ""
)</f>
        <v>PER-LUBANG</v>
      </c>
      <c r="N337" cm="1">
        <f t="array" ref="N337">IF($M337="PER-M2",
  IFERROR(
     _xlfn.IFS(
        $G337="Hollow",
            INDEX('Referensi Harga'!$C:$C,
                  MATCH($F337&amp;$C337,'Referensi Harga'!$A:$A&amp;'Referensi Harga'!$B:$B,0)),
        $G337="Hollow Stainless",
            INDEX('Referensi Harga'!$D:$D,
                  MATCH($F337&amp;$C337,'Referensi Harga'!$A:$A&amp;'Referensi Harga'!$B:$B,0)),
        $G337="Pipa Stainless",
            INDEX('Referensi Harga'!$E:$E,
                  MATCH($F337&amp;$C337,'Referensi Harga'!$A:$A&amp;'Referensi Harga'!$B:$B,0))
     ),0)
  + IFERROR(VLOOKUP($H337,'Profile Size'!$A:$B,2,FALSE),0)
  + IFERROR(VLOOKUP($I337,'Ketebalan Material'!$A:$B,2,FALSE),0),
0)</f>
        <v>0</v>
      </c>
      <c r="O337">
        <f>IF($M337="PER-M",
  IFERROR(
    IF($G337="Hollow",
       INDEX('Referensi Harga'!$C:$C, MATCH($F337 &amp; "|" &amp; $C337, 'Referensi Harga'!$F:$F, 0)),
    IF($G337="Hollow Stainless",
       INDEX('Referensi Harga'!$D:$D, MATCH($F337 &amp; "|" &amp; $C337, 'Referensi Harga'!$F:$F, 0)),
       INDEX('Referensi Harga'!$E:$E, MATCH($F337 &amp; "|" &amp; $C337, 'Referensi Harga'!$F:$F, 0))
    ))
    + IFERROR(VLOOKUP($H337, 'Profile Size'!$A:$B, 2, FALSE), 0)
    + IFERROR(VLOOKUP($I337, 'Ketebalan Material'!$A:$B, 2, FALSE), 0), 0),
0)</f>
        <v>0</v>
      </c>
      <c r="P337" cm="1">
        <f t="array" ref="P337">IF($M337="PER-LUBANG",
  IFERROR(
     _xlfn.IFS(
        $G337="Hollow",
            INDEX('Referensi Harga'!$C:$C,
                  MATCH($F337&amp;$C337,'Referensi Harga'!$A:$A&amp;'Referensi Harga'!$B:$B,0)),
        $G337="Hollow Stainless",
            INDEX('Referensi Harga'!$D:$D,
                  MATCH($F337&amp;$C337,'Referensi Harga'!$A:$A&amp;'Referensi Harga'!$B:$B,0)),
        $G337="Pipa Stainless",
            INDEX('Referensi Harga'!$E:$E,
                  MATCH($F337&amp;$C337,'Referensi Harga'!$A:$A&amp;'Referensi Harga'!$B:$B,0))
     ),0)
  + IFERROR(VLOOKUP($H337,'Profile Size'!$A:$B,2,FALSE),0)
  + IFERROR(VLOOKUP($I337,'Ketebalan Material'!$A:$B,2,FALSE),0),
0)</f>
        <v>900000</v>
      </c>
      <c r="Q337">
        <f>IF($M337="PER-M2",
    IFERROR(
        SUMIFS('Upah Tenaga Ahli'!$C:$C,
               'Upah Tenaga Ahli'!$A:$A,"PER-M2",
               'Upah Tenaga Ahli'!$B:$B,$G337
        ) * $J337 * $K337,
    0),
IF($M337="PER-LUBANG",
    IFERROR(
        SUMIFS('Upah Tenaga Ahli'!$D:$D,
               'Upah Tenaga Ahli'!$A:$A,"PER-LUBANG",
               'Upah Tenaga Ahli'!$B:$B,$G337
        ) * $L337 * $K337,
    0),
IF($M337="PER-M",
    IFERROR(
        SUMIFS('Upah Tenaga Ahli'!$E:$E,
               'Upah Tenaga Ahli'!$A:$A,"PER-M",
               'Upah Tenaga Ahli'!$B:$B,$G337
        ) * $J337 * $K337,
    0),
0)))</f>
        <v>1950000</v>
      </c>
      <c r="R337" t="s">
        <v>617</v>
      </c>
      <c r="S337" t="s">
        <v>24</v>
      </c>
      <c r="T337">
        <f>IF($M337="PER-M2",
   ($N337 * $J337 * $K337)
   + IFERROR(VLOOKUP($R337,Finishing!A:B,2,FALSE),0)
   + IFERROR(VLOOKUP($S337,Kerumitan!A:B,2,FALSE),0),
IF($M337="PER-LUBANG",
   ($P337 * $L337 * $K337)
   + IFERROR(VLOOKUP($R337,Finishing!A:B,2,FALSE),0)
   + IFERROR(VLOOKUP($S337,Kerumitan!A:B,2,FALSE),0),
IF($M337="PER-M",
   ($O337 * $J337 * $K337)
   + IFERROR(VLOOKUP($R337,Finishing!A:B,2,FALSE),0)
   + IFERROR(VLOOKUP($S337,Kerumitan!A:B,2,FALSE),0),
0)))</f>
        <v>11800000</v>
      </c>
    </row>
    <row r="338" spans="1:20" x14ac:dyDescent="0.45">
      <c r="A338" t="s">
        <v>435</v>
      </c>
      <c r="B338" s="5">
        <v>45539</v>
      </c>
      <c r="C338">
        <f t="shared" si="5"/>
        <v>2024</v>
      </c>
      <c r="D338" t="s">
        <v>344</v>
      </c>
      <c r="E338" t="s">
        <v>44</v>
      </c>
      <c r="F338" t="s">
        <v>7</v>
      </c>
      <c r="G338" t="s">
        <v>13</v>
      </c>
      <c r="H338" t="s">
        <v>35</v>
      </c>
      <c r="I338">
        <v>1</v>
      </c>
      <c r="J338">
        <v>9.42</v>
      </c>
      <c r="K338">
        <v>1</v>
      </c>
      <c r="L338">
        <v>0</v>
      </c>
      <c r="M338" t="str" cm="1">
        <f t="array" ref="M338">_xlfn.IFS(
   OR($F338="Pagar", $F338="Pintu Gerbang", $F338="Pintu Handerson", $F338="Kanopi"), "PER-M2",
   $F338="Teralis", "PER-LUBANG",
   OR($F338="Railing", $F338="Railing/Balkon"), "PER-M",
   TRUE, ""
)</f>
        <v>PER-M2</v>
      </c>
      <c r="N338" cm="1">
        <f t="array" ref="N338">IF($M338="PER-M2",
  IFERROR(
     _xlfn.IFS(
        $G338="Hollow",
            INDEX('Referensi Harga'!$C:$C,
                  MATCH($F338&amp;$C338,'Referensi Harga'!$A:$A&amp;'Referensi Harga'!$B:$B,0)),
        $G338="Hollow Stainless",
            INDEX('Referensi Harga'!$D:$D,
                  MATCH($F338&amp;$C338,'Referensi Harga'!$A:$A&amp;'Referensi Harga'!$B:$B,0)),
        $G338="Pipa Stainless",
            INDEX('Referensi Harga'!$E:$E,
                  MATCH($F338&amp;$C338,'Referensi Harga'!$A:$A&amp;'Referensi Harga'!$B:$B,0))
     ),0)
  + IFERROR(VLOOKUP($H338,'Profile Size'!$A:$B,2,FALSE),0)
  + IFERROR(VLOOKUP($I338,'Ketebalan Material'!$A:$B,2,FALSE),0),
0)</f>
        <v>900000</v>
      </c>
      <c r="O338">
        <f>IF($M338="PER-M",
  IFERROR(
    IF($G338="Hollow",
       INDEX('Referensi Harga'!$C:$C, MATCH($F338 &amp; "|" &amp; $C338, 'Referensi Harga'!$F:$F, 0)),
    IF($G338="Hollow Stainless",
       INDEX('Referensi Harga'!$D:$D, MATCH($F338 &amp; "|" &amp; $C338, 'Referensi Harga'!$F:$F, 0)),
       INDEX('Referensi Harga'!$E:$E, MATCH($F338 &amp; "|" &amp; $C338, 'Referensi Harga'!$F:$F, 0))
    ))
    + IFERROR(VLOOKUP($H338, 'Profile Size'!$A:$B, 2, FALSE), 0)
    + IFERROR(VLOOKUP($I338, 'Ketebalan Material'!$A:$B, 2, FALSE), 0), 0),
0)</f>
        <v>0</v>
      </c>
      <c r="P338" cm="1">
        <f t="array" ref="P338">IF($M338="PER-LUBANG",
  IFERROR(
     _xlfn.IFS(
        $G338="Hollow",
            INDEX('Referensi Harga'!$C:$C,
                  MATCH($F338&amp;$C338,'Referensi Harga'!$A:$A&amp;'Referensi Harga'!$B:$B,0)),
        $G338="Hollow Stainless",
            INDEX('Referensi Harga'!$D:$D,
                  MATCH($F338&amp;$C338,'Referensi Harga'!$A:$A&amp;'Referensi Harga'!$B:$B,0)),
        $G338="Pipa Stainless",
            INDEX('Referensi Harga'!$E:$E,
                  MATCH($F338&amp;$C338,'Referensi Harga'!$A:$A&amp;'Referensi Harga'!$B:$B,0))
     ),0)
  + IFERROR(VLOOKUP($H338,'Profile Size'!$A:$B,2,FALSE),0)
  + IFERROR(VLOOKUP($I338,'Ketebalan Material'!$A:$B,2,FALSE),0),
0)</f>
        <v>0</v>
      </c>
      <c r="Q338">
        <f>IF($M338="PER-M2",
    IFERROR(
        SUMIFS('Upah Tenaga Ahli'!$C:$C,
               'Upah Tenaga Ahli'!$A:$A,"PER-M2",
               'Upah Tenaga Ahli'!$B:$B,$G338
        ) * $J338 * $K338,
    0),
IF($M338="PER-LUBANG",
    IFERROR(
        SUMIFS('Upah Tenaga Ahli'!$D:$D,
               'Upah Tenaga Ahli'!$A:$A,"PER-LUBANG",
               'Upah Tenaga Ahli'!$B:$B,$G338
        ) * $L338 * $K338,
    0),
IF($M338="PER-M",
    IFERROR(
        SUMIFS('Upah Tenaga Ahli'!$E:$E,
               'Upah Tenaga Ahli'!$A:$A,"PER-M",
               'Upah Tenaga Ahli'!$B:$B,$G338
        ) * $J338 * $K338,
    0),
0)))</f>
        <v>942000</v>
      </c>
      <c r="R338" t="s">
        <v>18</v>
      </c>
      <c r="S338" t="s">
        <v>23</v>
      </c>
      <c r="T338">
        <f>IF($M338="PER-M2",
   ($N338 * $J338 * $K338)
   + IFERROR(VLOOKUP($R338,Finishing!A:B,2,FALSE),0)
   + IFERROR(VLOOKUP($S338,Kerumitan!A:B,2,FALSE),0),
IF($M338="PER-LUBANG",
   ($P338 * $L338 * $K338)
   + IFERROR(VLOOKUP($R338,Finishing!A:B,2,FALSE),0)
   + IFERROR(VLOOKUP($S338,Kerumitan!A:B,2,FALSE),0),
IF($M338="PER-M",
   ($O338 * $J338 * $K338)
   + IFERROR(VLOOKUP($R338,Finishing!A:B,2,FALSE),0)
   + IFERROR(VLOOKUP($S338,Kerumitan!A:B,2,FALSE),0),
0)))</f>
        <v>8478000</v>
      </c>
    </row>
    <row r="339" spans="1:20" x14ac:dyDescent="0.45">
      <c r="A339" t="s">
        <v>436</v>
      </c>
      <c r="B339" s="5">
        <v>44339</v>
      </c>
      <c r="C339">
        <f t="shared" si="5"/>
        <v>2021</v>
      </c>
      <c r="D339" t="s">
        <v>65</v>
      </c>
      <c r="E339" t="s">
        <v>28</v>
      </c>
      <c r="F339" t="s">
        <v>8</v>
      </c>
      <c r="G339" t="s">
        <v>13</v>
      </c>
      <c r="H339" t="s">
        <v>612</v>
      </c>
      <c r="I339">
        <v>1.2</v>
      </c>
      <c r="J339">
        <v>0</v>
      </c>
      <c r="K339">
        <v>1</v>
      </c>
      <c r="L339">
        <v>10</v>
      </c>
      <c r="M339" t="str" cm="1">
        <f t="array" ref="M339">_xlfn.IFS(
   OR($F339="Pagar", $F339="Pintu Gerbang", $F339="Pintu Handerson", $F339="Kanopi"), "PER-M2",
   $F339="Teralis", "PER-LUBANG",
   OR($F339="Railing", $F339="Railing/Balkon"), "PER-M",
   TRUE, ""
)</f>
        <v>PER-LUBANG</v>
      </c>
      <c r="N339" cm="1">
        <f t="array" ref="N339">IF($M339="PER-M2",
  IFERROR(
     _xlfn.IFS(
        $G339="Hollow",
            INDEX('Referensi Harga'!$C:$C,
                  MATCH($F339&amp;$C339,'Referensi Harga'!$A:$A&amp;'Referensi Harga'!$B:$B,0)),
        $G339="Hollow Stainless",
            INDEX('Referensi Harga'!$D:$D,
                  MATCH($F339&amp;$C339,'Referensi Harga'!$A:$A&amp;'Referensi Harga'!$B:$B,0)),
        $G339="Pipa Stainless",
            INDEX('Referensi Harga'!$E:$E,
                  MATCH($F339&amp;$C339,'Referensi Harga'!$A:$A&amp;'Referensi Harga'!$B:$B,0))
     ),0)
  + IFERROR(VLOOKUP($H339,'Profile Size'!$A:$B,2,FALSE),0)
  + IFERROR(VLOOKUP($I339,'Ketebalan Material'!$A:$B,2,FALSE),0),
0)</f>
        <v>0</v>
      </c>
      <c r="O339">
        <f>IF($M339="PER-M",
  IFERROR(
    IF($G339="Hollow",
       INDEX('Referensi Harga'!$C:$C, MATCH($F339 &amp; "|" &amp; $C339, 'Referensi Harga'!$F:$F, 0)),
    IF($G339="Hollow Stainless",
       INDEX('Referensi Harga'!$D:$D, MATCH($F339 &amp; "|" &amp; $C339, 'Referensi Harga'!$F:$F, 0)),
       INDEX('Referensi Harga'!$E:$E, MATCH($F339 &amp; "|" &amp; $C339, 'Referensi Harga'!$F:$F, 0))
    ))
    + IFERROR(VLOOKUP($H339, 'Profile Size'!$A:$B, 2, FALSE), 0)
    + IFERROR(VLOOKUP($I339, 'Ketebalan Material'!$A:$B, 2, FALSE), 0), 0),
0)</f>
        <v>0</v>
      </c>
      <c r="P339" cm="1">
        <f t="array" ref="P339">IF($M339="PER-LUBANG",
  IFERROR(
     _xlfn.IFS(
        $G339="Hollow",
            INDEX('Referensi Harga'!$C:$C,
                  MATCH($F339&amp;$C339,'Referensi Harga'!$A:$A&amp;'Referensi Harga'!$B:$B,0)),
        $G339="Hollow Stainless",
            INDEX('Referensi Harga'!$D:$D,
                  MATCH($F339&amp;$C339,'Referensi Harga'!$A:$A&amp;'Referensi Harga'!$B:$B,0)),
        $G339="Pipa Stainless",
            INDEX('Referensi Harga'!$E:$E,
                  MATCH($F339&amp;$C339,'Referensi Harga'!$A:$A&amp;'Referensi Harga'!$B:$B,0))
     ),0)
  + IFERROR(VLOOKUP($H339,'Profile Size'!$A:$B,2,FALSE),0)
  + IFERROR(VLOOKUP($I339,'Ketebalan Material'!$A:$B,2,FALSE),0),
0)</f>
        <v>400000</v>
      </c>
      <c r="Q339">
        <f>IF($M339="PER-M2",
    IFERROR(
        SUMIFS('Upah Tenaga Ahli'!$C:$C,
               'Upah Tenaga Ahli'!$A:$A,"PER-M2",
               'Upah Tenaga Ahli'!$B:$B,$G339
        ) * $J339 * $K339,
    0),
IF($M339="PER-LUBANG",
    IFERROR(
        SUMIFS('Upah Tenaga Ahli'!$D:$D,
               'Upah Tenaga Ahli'!$A:$A,"PER-LUBANG",
               'Upah Tenaga Ahli'!$B:$B,$G339
        ) * $L339 * $K339,
    0),
IF($M339="PER-M",
    IFERROR(
        SUMIFS('Upah Tenaga Ahli'!$E:$E,
               'Upah Tenaga Ahli'!$A:$A,"PER-M",
               'Upah Tenaga Ahli'!$B:$B,$G339
        ) * $J339 * $K339,
    0),
0)))</f>
        <v>750000</v>
      </c>
      <c r="R339" t="s">
        <v>18</v>
      </c>
      <c r="S339" t="s">
        <v>24</v>
      </c>
      <c r="T339">
        <f>IF($M339="PER-M2",
   ($N339 * $J339 * $K339)
   + IFERROR(VLOOKUP($R339,Finishing!A:B,2,FALSE),0)
   + IFERROR(VLOOKUP($S339,Kerumitan!A:B,2,FALSE),0),
IF($M339="PER-LUBANG",
   ($P339 * $L339 * $K339)
   + IFERROR(VLOOKUP($R339,Finishing!A:B,2,FALSE),0)
   + IFERROR(VLOOKUP($S339,Kerumitan!A:B,2,FALSE),0),
IF($M339="PER-M",
   ($O339 * $J339 * $K339)
   + IFERROR(VLOOKUP($R339,Finishing!A:B,2,FALSE),0)
   + IFERROR(VLOOKUP($S339,Kerumitan!A:B,2,FALSE),0),
0)))</f>
        <v>4100000</v>
      </c>
    </row>
    <row r="340" spans="1:20" x14ac:dyDescent="0.45">
      <c r="A340" t="s">
        <v>437</v>
      </c>
      <c r="B340" s="5">
        <v>44398</v>
      </c>
      <c r="C340">
        <f t="shared" si="5"/>
        <v>2021</v>
      </c>
      <c r="D340" t="s">
        <v>40</v>
      </c>
      <c r="E340" t="s">
        <v>41</v>
      </c>
      <c r="F340" t="s">
        <v>625</v>
      </c>
      <c r="G340" t="s">
        <v>14</v>
      </c>
      <c r="H340" t="s">
        <v>615</v>
      </c>
      <c r="I340">
        <v>0.8</v>
      </c>
      <c r="J340">
        <v>2.1</v>
      </c>
      <c r="K340">
        <v>3</v>
      </c>
      <c r="L340">
        <v>0</v>
      </c>
      <c r="M340" t="str" cm="1">
        <f t="array" ref="M340">_xlfn.IFS(
   OR($F340="Pagar", $F340="Pintu Gerbang", $F340="Pintu Handerson", $F340="Kanopi"), "PER-M2",
   $F340="Teralis", "PER-LUBANG",
   OR($F340="Railing", $F340="Railing/Balkon"), "PER-M",
   TRUE, ""
)</f>
        <v>PER-M</v>
      </c>
      <c r="N340" cm="1">
        <f t="array" ref="N340">IF($M340="PER-M2",
  IFERROR(
     _xlfn.IFS(
        $G340="Hollow",
            INDEX('Referensi Harga'!$C:$C,
                  MATCH($F340&amp;$C340,'Referensi Harga'!$A:$A&amp;'Referensi Harga'!$B:$B,0)),
        $G340="Hollow Stainless",
            INDEX('Referensi Harga'!$D:$D,
                  MATCH($F340&amp;$C340,'Referensi Harga'!$A:$A&amp;'Referensi Harga'!$B:$B,0)),
        $G340="Pipa Stainless",
            INDEX('Referensi Harga'!$E:$E,
                  MATCH($F340&amp;$C340,'Referensi Harga'!$A:$A&amp;'Referensi Harga'!$B:$B,0))
     ),0)
  + IFERROR(VLOOKUP($H340,'Profile Size'!$A:$B,2,FALSE),0)
  + IFERROR(VLOOKUP($I340,'Ketebalan Material'!$A:$B,2,FALSE),0),
0)</f>
        <v>0</v>
      </c>
      <c r="O340">
        <f>IF($M340="PER-M",
  IFERROR(
    IF($G340="Hollow",
       INDEX('Referensi Harga'!$C:$C, MATCH($F340 &amp; "|" &amp; $C340, 'Referensi Harga'!$F:$F, 0)),
    IF($G340="Hollow Stainless",
       INDEX('Referensi Harga'!$D:$D, MATCH($F340 &amp; "|" &amp; $C340, 'Referensi Harga'!$F:$F, 0)),
       INDEX('Referensi Harga'!$E:$E, MATCH($F340 &amp; "|" &amp; $C340, 'Referensi Harga'!$F:$F, 0))
    ))
    + IFERROR(VLOOKUP($H340, 'Profile Size'!$A:$B, 2, FALSE), 0)
    + IFERROR(VLOOKUP($I340, 'Ketebalan Material'!$A:$B, 2, FALSE), 0), 0),
0)</f>
        <v>1000000</v>
      </c>
      <c r="P340" cm="1">
        <f t="array" ref="P340">IF($M340="PER-LUBANG",
  IFERROR(
     _xlfn.IFS(
        $G340="Hollow",
            INDEX('Referensi Harga'!$C:$C,
                  MATCH($F340&amp;$C340,'Referensi Harga'!$A:$A&amp;'Referensi Harga'!$B:$B,0)),
        $G340="Hollow Stainless",
            INDEX('Referensi Harga'!$D:$D,
                  MATCH($F340&amp;$C340,'Referensi Harga'!$A:$A&amp;'Referensi Harga'!$B:$B,0)),
        $G340="Pipa Stainless",
            INDEX('Referensi Harga'!$E:$E,
                  MATCH($F340&amp;$C340,'Referensi Harga'!$A:$A&amp;'Referensi Harga'!$B:$B,0))
     ),0)
  + IFERROR(VLOOKUP($H340,'Profile Size'!$A:$B,2,FALSE),0)
  + IFERROR(VLOOKUP($I340,'Ketebalan Material'!$A:$B,2,FALSE),0),
0)</f>
        <v>0</v>
      </c>
      <c r="Q340">
        <f>IF($M340="PER-M2",
    IFERROR(
        SUMIFS('Upah Tenaga Ahli'!$C:$C,
               'Upah Tenaga Ahli'!$A:$A,"PER-M2",
               'Upah Tenaga Ahli'!$B:$B,$G340
        ) * $J340 * $K340,
    0),
IF($M340="PER-LUBANG",
    IFERROR(
        SUMIFS('Upah Tenaga Ahli'!$D:$D,
               'Upah Tenaga Ahli'!$A:$A,"PER-LUBANG",
               'Upah Tenaga Ahli'!$B:$B,$G340
        ) * $L340 * $K340,
    0),
IF($M340="PER-M",
    IFERROR(
        SUMIFS('Upah Tenaga Ahli'!$E:$E,
               'Upah Tenaga Ahli'!$A:$A,"PER-M",
               'Upah Tenaga Ahli'!$B:$B,$G340
        ) * $J340 * $K340,
    0),
0)))</f>
        <v>1260000</v>
      </c>
      <c r="R340" t="s">
        <v>617</v>
      </c>
      <c r="S340" t="s">
        <v>24</v>
      </c>
      <c r="T340">
        <f>IF($M340="PER-M2",
   ($N340 * $J340 * $K340)
   + IFERROR(VLOOKUP($R340,Finishing!A:B,2,FALSE),0)
   + IFERROR(VLOOKUP($S340,Kerumitan!A:B,2,FALSE),0),
IF($M340="PER-LUBANG",
   ($P340 * $L340 * $K340)
   + IFERROR(VLOOKUP($R340,Finishing!A:B,2,FALSE),0)
   + IFERROR(VLOOKUP($S340,Kerumitan!A:B,2,FALSE),0),
IF($M340="PER-M",
   ($O340 * $J340 * $K340)
   + IFERROR(VLOOKUP($R340,Finishing!A:B,2,FALSE),0)
   + IFERROR(VLOOKUP($S340,Kerumitan!A:B,2,FALSE),0),
0)))</f>
        <v>6400000</v>
      </c>
    </row>
    <row r="341" spans="1:20" x14ac:dyDescent="0.45">
      <c r="A341" t="s">
        <v>438</v>
      </c>
      <c r="B341" s="5">
        <v>43873</v>
      </c>
      <c r="C341">
        <f t="shared" si="5"/>
        <v>2020</v>
      </c>
      <c r="D341" t="s">
        <v>156</v>
      </c>
      <c r="E341" t="s">
        <v>105</v>
      </c>
      <c r="F341" t="s">
        <v>8</v>
      </c>
      <c r="G341" t="s">
        <v>13</v>
      </c>
      <c r="H341" t="s">
        <v>612</v>
      </c>
      <c r="I341">
        <v>1.2</v>
      </c>
      <c r="J341">
        <v>0</v>
      </c>
      <c r="K341">
        <v>1</v>
      </c>
      <c r="L341">
        <v>13</v>
      </c>
      <c r="M341" t="str" cm="1">
        <f t="array" ref="M341">_xlfn.IFS(
   OR($F341="Pagar", $F341="Pintu Gerbang", $F341="Pintu Handerson", $F341="Kanopi"), "PER-M2",
   $F341="Teralis", "PER-LUBANG",
   OR($F341="Railing", $F341="Railing/Balkon"), "PER-M",
   TRUE, ""
)</f>
        <v>PER-LUBANG</v>
      </c>
      <c r="N341" cm="1">
        <f t="array" ref="N341">IF($M341="PER-M2",
  IFERROR(
     _xlfn.IFS(
        $G341="Hollow",
            INDEX('Referensi Harga'!$C:$C,
                  MATCH($F341&amp;$C341,'Referensi Harga'!$A:$A&amp;'Referensi Harga'!$B:$B,0)),
        $G341="Hollow Stainless",
            INDEX('Referensi Harga'!$D:$D,
                  MATCH($F341&amp;$C341,'Referensi Harga'!$A:$A&amp;'Referensi Harga'!$B:$B,0)),
        $G341="Pipa Stainless",
            INDEX('Referensi Harga'!$E:$E,
                  MATCH($F341&amp;$C341,'Referensi Harga'!$A:$A&amp;'Referensi Harga'!$B:$B,0))
     ),0)
  + IFERROR(VLOOKUP($H341,'Profile Size'!$A:$B,2,FALSE),0)
  + IFERROR(VLOOKUP($I341,'Ketebalan Material'!$A:$B,2,FALSE),0),
0)</f>
        <v>0</v>
      </c>
      <c r="O341">
        <f>IF($M341="PER-M",
  IFERROR(
    IF($G341="Hollow",
       INDEX('Referensi Harga'!$C:$C, MATCH($F341 &amp; "|" &amp; $C341, 'Referensi Harga'!$F:$F, 0)),
    IF($G341="Hollow Stainless",
       INDEX('Referensi Harga'!$D:$D, MATCH($F341 &amp; "|" &amp; $C341, 'Referensi Harga'!$F:$F, 0)),
       INDEX('Referensi Harga'!$E:$E, MATCH($F341 &amp; "|" &amp; $C341, 'Referensi Harga'!$F:$F, 0))
    ))
    + IFERROR(VLOOKUP($H341, 'Profile Size'!$A:$B, 2, FALSE), 0)
    + IFERROR(VLOOKUP($I341, 'Ketebalan Material'!$A:$B, 2, FALSE), 0), 0),
0)</f>
        <v>0</v>
      </c>
      <c r="P341" cm="1">
        <f t="array" ref="P341">IF($M341="PER-LUBANG",
  IFERROR(
     _xlfn.IFS(
        $G341="Hollow",
            INDEX('Referensi Harga'!$C:$C,
                  MATCH($F341&amp;$C341,'Referensi Harga'!$A:$A&amp;'Referensi Harga'!$B:$B,0)),
        $G341="Hollow Stainless",
            INDEX('Referensi Harga'!$D:$D,
                  MATCH($F341&amp;$C341,'Referensi Harga'!$A:$A&amp;'Referensi Harga'!$B:$B,0)),
        $G341="Pipa Stainless",
            INDEX('Referensi Harga'!$E:$E,
                  MATCH($F341&amp;$C341,'Referensi Harga'!$A:$A&amp;'Referensi Harga'!$B:$B,0))
     ),0)
  + IFERROR(VLOOKUP($H341,'Profile Size'!$A:$B,2,FALSE),0)
  + IFERROR(VLOOKUP($I341,'Ketebalan Material'!$A:$B,2,FALSE),0),
0)</f>
        <v>400000</v>
      </c>
      <c r="Q341">
        <f>IF($M341="PER-M2",
    IFERROR(
        SUMIFS('Upah Tenaga Ahli'!$C:$C,
               'Upah Tenaga Ahli'!$A:$A,"PER-M2",
               'Upah Tenaga Ahli'!$B:$B,$G341
        ) * $J341 * $K341,
    0),
IF($M341="PER-LUBANG",
    IFERROR(
        SUMIFS('Upah Tenaga Ahli'!$D:$D,
               'Upah Tenaga Ahli'!$A:$A,"PER-LUBANG",
               'Upah Tenaga Ahli'!$B:$B,$G341
        ) * $L341 * $K341,
    0),
IF($M341="PER-M",
    IFERROR(
        SUMIFS('Upah Tenaga Ahli'!$E:$E,
               'Upah Tenaga Ahli'!$A:$A,"PER-M",
               'Upah Tenaga Ahli'!$B:$B,$G341
        ) * $J341 * $K341,
    0),
0)))</f>
        <v>975000</v>
      </c>
      <c r="R341" t="s">
        <v>18</v>
      </c>
      <c r="S341" t="s">
        <v>24</v>
      </c>
      <c r="T341">
        <f>IF($M341="PER-M2",
   ($N341 * $J341 * $K341)
   + IFERROR(VLOOKUP($R341,Finishing!A:B,2,FALSE),0)
   + IFERROR(VLOOKUP($S341,Kerumitan!A:B,2,FALSE),0),
IF($M341="PER-LUBANG",
   ($P341 * $L341 * $K341)
   + IFERROR(VLOOKUP($R341,Finishing!A:B,2,FALSE),0)
   + IFERROR(VLOOKUP($S341,Kerumitan!A:B,2,FALSE),0),
IF($M341="PER-M",
   ($O341 * $J341 * $K341)
   + IFERROR(VLOOKUP($R341,Finishing!A:B,2,FALSE),0)
   + IFERROR(VLOOKUP($S341,Kerumitan!A:B,2,FALSE),0),
0)))</f>
        <v>5300000</v>
      </c>
    </row>
    <row r="342" spans="1:20" x14ac:dyDescent="0.45">
      <c r="A342" t="s">
        <v>439</v>
      </c>
      <c r="B342" s="5">
        <v>45152</v>
      </c>
      <c r="C342">
        <f t="shared" si="5"/>
        <v>2023</v>
      </c>
      <c r="D342" t="s">
        <v>68</v>
      </c>
      <c r="E342" t="s">
        <v>44</v>
      </c>
      <c r="F342" t="s">
        <v>625</v>
      </c>
      <c r="G342" t="s">
        <v>14</v>
      </c>
      <c r="H342" t="s">
        <v>615</v>
      </c>
      <c r="I342">
        <v>1</v>
      </c>
      <c r="J342">
        <v>4.12</v>
      </c>
      <c r="K342">
        <v>1</v>
      </c>
      <c r="L342">
        <v>0</v>
      </c>
      <c r="M342" t="str" cm="1">
        <f t="array" ref="M342">_xlfn.IFS(
   OR($F342="Pagar", $F342="Pintu Gerbang", $F342="Pintu Handerson", $F342="Kanopi"), "PER-M2",
   $F342="Teralis", "PER-LUBANG",
   OR($F342="Railing", $F342="Railing/Balkon"), "PER-M",
   TRUE, ""
)</f>
        <v>PER-M</v>
      </c>
      <c r="N342" cm="1">
        <f t="array" ref="N342">IF($M342="PER-M2",
  IFERROR(
     _xlfn.IFS(
        $G342="Hollow",
            INDEX('Referensi Harga'!$C:$C,
                  MATCH($F342&amp;$C342,'Referensi Harga'!$A:$A&amp;'Referensi Harga'!$B:$B,0)),
        $G342="Hollow Stainless",
            INDEX('Referensi Harga'!$D:$D,
                  MATCH($F342&amp;$C342,'Referensi Harga'!$A:$A&amp;'Referensi Harga'!$B:$B,0)),
        $G342="Pipa Stainless",
            INDEX('Referensi Harga'!$E:$E,
                  MATCH($F342&amp;$C342,'Referensi Harga'!$A:$A&amp;'Referensi Harga'!$B:$B,0))
     ),0)
  + IFERROR(VLOOKUP($H342,'Profile Size'!$A:$B,2,FALSE),0)
  + IFERROR(VLOOKUP($I342,'Ketebalan Material'!$A:$B,2,FALSE),0),
0)</f>
        <v>0</v>
      </c>
      <c r="O342">
        <f>IF($M342="PER-M",
  IFERROR(
    IF($G342="Hollow",
       INDEX('Referensi Harga'!$C:$C, MATCH($F342 &amp; "|" &amp; $C342, 'Referensi Harga'!$F:$F, 0)),
    IF($G342="Hollow Stainless",
       INDEX('Referensi Harga'!$D:$D, MATCH($F342 &amp; "|" &amp; $C342, 'Referensi Harga'!$F:$F, 0)),
       INDEX('Referensi Harga'!$E:$E, MATCH($F342 &amp; "|" &amp; $C342, 'Referensi Harga'!$F:$F, 0))
    ))
    + IFERROR(VLOOKUP($H342, 'Profile Size'!$A:$B, 2, FALSE), 0)
    + IFERROR(VLOOKUP($I342, 'Ketebalan Material'!$A:$B, 2, FALSE), 0), 0),
0)</f>
        <v>1100000</v>
      </c>
      <c r="P342" cm="1">
        <f t="array" ref="P342">IF($M342="PER-LUBANG",
  IFERROR(
     _xlfn.IFS(
        $G342="Hollow",
            INDEX('Referensi Harga'!$C:$C,
                  MATCH($F342&amp;$C342,'Referensi Harga'!$A:$A&amp;'Referensi Harga'!$B:$B,0)),
        $G342="Hollow Stainless",
            INDEX('Referensi Harga'!$D:$D,
                  MATCH($F342&amp;$C342,'Referensi Harga'!$A:$A&amp;'Referensi Harga'!$B:$B,0)),
        $G342="Pipa Stainless",
            INDEX('Referensi Harga'!$E:$E,
                  MATCH($F342&amp;$C342,'Referensi Harga'!$A:$A&amp;'Referensi Harga'!$B:$B,0))
     ),0)
  + IFERROR(VLOOKUP($H342,'Profile Size'!$A:$B,2,FALSE),0)
  + IFERROR(VLOOKUP($I342,'Ketebalan Material'!$A:$B,2,FALSE),0),
0)</f>
        <v>0</v>
      </c>
      <c r="Q342">
        <f>IF($M342="PER-M2",
    IFERROR(
        SUMIFS('Upah Tenaga Ahli'!$C:$C,
               'Upah Tenaga Ahli'!$A:$A,"PER-M2",
               'Upah Tenaga Ahli'!$B:$B,$G342
        ) * $J342 * $K342,
    0),
IF($M342="PER-LUBANG",
    IFERROR(
        SUMIFS('Upah Tenaga Ahli'!$D:$D,
               'Upah Tenaga Ahli'!$A:$A,"PER-LUBANG",
               'Upah Tenaga Ahli'!$B:$B,$G342
        ) * $L342 * $K342,
    0),
IF($M342="PER-M",
    IFERROR(
        SUMIFS('Upah Tenaga Ahli'!$E:$E,
               'Upah Tenaga Ahli'!$A:$A,"PER-M",
               'Upah Tenaga Ahli'!$B:$B,$G342
        ) * $J342 * $K342,
    0),
0)))</f>
        <v>824000</v>
      </c>
      <c r="R342" t="s">
        <v>18</v>
      </c>
      <c r="S342" t="s">
        <v>23</v>
      </c>
      <c r="T342">
        <f>IF($M342="PER-M2",
   ($N342 * $J342 * $K342)
   + IFERROR(VLOOKUP($R342,Finishing!A:B,2,FALSE),0)
   + IFERROR(VLOOKUP($S342,Kerumitan!A:B,2,FALSE),0),
IF($M342="PER-LUBANG",
   ($P342 * $L342 * $K342)
   + IFERROR(VLOOKUP($R342,Finishing!A:B,2,FALSE),0)
   + IFERROR(VLOOKUP($S342,Kerumitan!A:B,2,FALSE),0),
IF($M342="PER-M",
   ($O342 * $J342 * $K342)
   + IFERROR(VLOOKUP($R342,Finishing!A:B,2,FALSE),0)
   + IFERROR(VLOOKUP($S342,Kerumitan!A:B,2,FALSE),0),
0)))</f>
        <v>4532000</v>
      </c>
    </row>
    <row r="343" spans="1:20" x14ac:dyDescent="0.45">
      <c r="A343" t="s">
        <v>440</v>
      </c>
      <c r="B343" s="5">
        <v>44143</v>
      </c>
      <c r="C343">
        <f t="shared" si="5"/>
        <v>2020</v>
      </c>
      <c r="D343" t="s">
        <v>143</v>
      </c>
      <c r="E343" t="s">
        <v>28</v>
      </c>
      <c r="F343" t="s">
        <v>7</v>
      </c>
      <c r="G343" t="s">
        <v>13</v>
      </c>
      <c r="H343" t="s">
        <v>46</v>
      </c>
      <c r="I343">
        <v>1</v>
      </c>
      <c r="J343">
        <v>5.09</v>
      </c>
      <c r="K343">
        <v>1</v>
      </c>
      <c r="L343">
        <v>0</v>
      </c>
      <c r="M343" t="str" cm="1">
        <f t="array" ref="M343">_xlfn.IFS(
   OR($F343="Pagar", $F343="Pintu Gerbang", $F343="Pintu Handerson", $F343="Kanopi"), "PER-M2",
   $F343="Teralis", "PER-LUBANG",
   OR($F343="Railing", $F343="Railing/Balkon"), "PER-M",
   TRUE, ""
)</f>
        <v>PER-M2</v>
      </c>
      <c r="N343" cm="1">
        <f t="array" ref="N343">IF($M343="PER-M2",
  IFERROR(
     _xlfn.IFS(
        $G343="Hollow",
            INDEX('Referensi Harga'!$C:$C,
                  MATCH($F343&amp;$C343,'Referensi Harga'!$A:$A&amp;'Referensi Harga'!$B:$B,0)),
        $G343="Hollow Stainless",
            INDEX('Referensi Harga'!$D:$D,
                  MATCH($F343&amp;$C343,'Referensi Harga'!$A:$A&amp;'Referensi Harga'!$B:$B,0)),
        $G343="Pipa Stainless",
            INDEX('Referensi Harga'!$E:$E,
                  MATCH($F343&amp;$C343,'Referensi Harga'!$A:$A&amp;'Referensi Harga'!$B:$B,0))
     ),0)
  + IFERROR(VLOOKUP($H343,'Profile Size'!$A:$B,2,FALSE),0)
  + IFERROR(VLOOKUP($I343,'Ketebalan Material'!$A:$B,2,FALSE),0),
0)</f>
        <v>700000</v>
      </c>
      <c r="O343">
        <f>IF($M343="PER-M",
  IFERROR(
    IF($G343="Hollow",
       INDEX('Referensi Harga'!$C:$C, MATCH($F343 &amp; "|" &amp; $C343, 'Referensi Harga'!$F:$F, 0)),
    IF($G343="Hollow Stainless",
       INDEX('Referensi Harga'!$D:$D, MATCH($F343 &amp; "|" &amp; $C343, 'Referensi Harga'!$F:$F, 0)),
       INDEX('Referensi Harga'!$E:$E, MATCH($F343 &amp; "|" &amp; $C343, 'Referensi Harga'!$F:$F, 0))
    ))
    + IFERROR(VLOOKUP($H343, 'Profile Size'!$A:$B, 2, FALSE), 0)
    + IFERROR(VLOOKUP($I343, 'Ketebalan Material'!$A:$B, 2, FALSE), 0), 0),
0)</f>
        <v>0</v>
      </c>
      <c r="P343" cm="1">
        <f t="array" ref="P343">IF($M343="PER-LUBANG",
  IFERROR(
     _xlfn.IFS(
        $G343="Hollow",
            INDEX('Referensi Harga'!$C:$C,
                  MATCH($F343&amp;$C343,'Referensi Harga'!$A:$A&amp;'Referensi Harga'!$B:$B,0)),
        $G343="Hollow Stainless",
            INDEX('Referensi Harga'!$D:$D,
                  MATCH($F343&amp;$C343,'Referensi Harga'!$A:$A&amp;'Referensi Harga'!$B:$B,0)),
        $G343="Pipa Stainless",
            INDEX('Referensi Harga'!$E:$E,
                  MATCH($F343&amp;$C343,'Referensi Harga'!$A:$A&amp;'Referensi Harga'!$B:$B,0))
     ),0)
  + IFERROR(VLOOKUP($H343,'Profile Size'!$A:$B,2,FALSE),0)
  + IFERROR(VLOOKUP($I343,'Ketebalan Material'!$A:$B,2,FALSE),0),
0)</f>
        <v>0</v>
      </c>
      <c r="Q343">
        <f>IF($M343="PER-M2",
    IFERROR(
        SUMIFS('Upah Tenaga Ahli'!$C:$C,
               'Upah Tenaga Ahli'!$A:$A,"PER-M2",
               'Upah Tenaga Ahli'!$B:$B,$G343
        ) * $J343 * $K343,
    0),
IF($M343="PER-LUBANG",
    IFERROR(
        SUMIFS('Upah Tenaga Ahli'!$D:$D,
               'Upah Tenaga Ahli'!$A:$A,"PER-LUBANG",
               'Upah Tenaga Ahli'!$B:$B,$G343
        ) * $L343 * $K343,
    0),
IF($M343="PER-M",
    IFERROR(
        SUMIFS('Upah Tenaga Ahli'!$E:$E,
               'Upah Tenaga Ahli'!$A:$A,"PER-M",
               'Upah Tenaga Ahli'!$B:$B,$G343
        ) * $J343 * $K343,
    0),
0)))</f>
        <v>509000</v>
      </c>
      <c r="R343" t="s">
        <v>19</v>
      </c>
      <c r="S343" t="s">
        <v>24</v>
      </c>
      <c r="T343">
        <f>IF($M343="PER-M2",
   ($N343 * $J343 * $K343)
   + IFERROR(VLOOKUP($R343,Finishing!A:B,2,FALSE),0)
   + IFERROR(VLOOKUP($S343,Kerumitan!A:B,2,FALSE),0),
IF($M343="PER-LUBANG",
   ($P343 * $L343 * $K343)
   + IFERROR(VLOOKUP($R343,Finishing!A:B,2,FALSE),0)
   + IFERROR(VLOOKUP($S343,Kerumitan!A:B,2,FALSE),0),
IF($M343="PER-M",
   ($O343 * $J343 * $K343)
   + IFERROR(VLOOKUP($R343,Finishing!A:B,2,FALSE),0)
   + IFERROR(VLOOKUP($S343,Kerumitan!A:B,2,FALSE),0),
0)))</f>
        <v>3713000</v>
      </c>
    </row>
    <row r="344" spans="1:20" x14ac:dyDescent="0.45">
      <c r="A344" t="s">
        <v>441</v>
      </c>
      <c r="B344" s="5">
        <v>45671</v>
      </c>
      <c r="C344">
        <f t="shared" si="5"/>
        <v>2025</v>
      </c>
      <c r="D344" t="s">
        <v>133</v>
      </c>
      <c r="E344" t="s">
        <v>87</v>
      </c>
      <c r="F344" t="s">
        <v>4</v>
      </c>
      <c r="G344" t="s">
        <v>13</v>
      </c>
      <c r="H344" t="s">
        <v>33</v>
      </c>
      <c r="I344">
        <v>1.2</v>
      </c>
      <c r="J344">
        <v>11.99</v>
      </c>
      <c r="K344">
        <v>1</v>
      </c>
      <c r="L344">
        <v>0</v>
      </c>
      <c r="M344" t="str" cm="1">
        <f t="array" ref="M344">_xlfn.IFS(
   OR($F344="Pagar", $F344="Pintu Gerbang", $F344="Pintu Handerson", $F344="Kanopi"), "PER-M2",
   $F344="Teralis", "PER-LUBANG",
   OR($F344="Railing", $F344="Railing/Balkon"), "PER-M",
   TRUE, ""
)</f>
        <v>PER-M2</v>
      </c>
      <c r="N344" cm="1">
        <f t="array" ref="N344">IF($M344="PER-M2",
  IFERROR(
     _xlfn.IFS(
        $G344="Hollow",
            INDEX('Referensi Harga'!$C:$C,
                  MATCH($F344&amp;$C344,'Referensi Harga'!$A:$A&amp;'Referensi Harga'!$B:$B,0)),
        $G344="Hollow Stainless",
            INDEX('Referensi Harga'!$D:$D,
                  MATCH($F344&amp;$C344,'Referensi Harga'!$A:$A&amp;'Referensi Harga'!$B:$B,0)),
        $G344="Pipa Stainless",
            INDEX('Referensi Harga'!$E:$E,
                  MATCH($F344&amp;$C344,'Referensi Harga'!$A:$A&amp;'Referensi Harga'!$B:$B,0))
     ),0)
  + IFERROR(VLOOKUP($H344,'Profile Size'!$A:$B,2,FALSE),0)
  + IFERROR(VLOOKUP($I344,'Ketebalan Material'!$A:$B,2,FALSE),0),
0)</f>
        <v>700000</v>
      </c>
      <c r="O344">
        <f>IF($M344="PER-M",
  IFERROR(
    IF($G344="Hollow",
       INDEX('Referensi Harga'!$C:$C, MATCH($F344 &amp; "|" &amp; $C344, 'Referensi Harga'!$F:$F, 0)),
    IF($G344="Hollow Stainless",
       INDEX('Referensi Harga'!$D:$D, MATCH($F344 &amp; "|" &amp; $C344, 'Referensi Harga'!$F:$F, 0)),
       INDEX('Referensi Harga'!$E:$E, MATCH($F344 &amp; "|" &amp; $C344, 'Referensi Harga'!$F:$F, 0))
    ))
    + IFERROR(VLOOKUP($H344, 'Profile Size'!$A:$B, 2, FALSE), 0)
    + IFERROR(VLOOKUP($I344, 'Ketebalan Material'!$A:$B, 2, FALSE), 0), 0),
0)</f>
        <v>0</v>
      </c>
      <c r="P344" cm="1">
        <f t="array" ref="P344">IF($M344="PER-LUBANG",
  IFERROR(
     _xlfn.IFS(
        $G344="Hollow",
            INDEX('Referensi Harga'!$C:$C,
                  MATCH($F344&amp;$C344,'Referensi Harga'!$A:$A&amp;'Referensi Harga'!$B:$B,0)),
        $G344="Hollow Stainless",
            INDEX('Referensi Harga'!$D:$D,
                  MATCH($F344&amp;$C344,'Referensi Harga'!$A:$A&amp;'Referensi Harga'!$B:$B,0)),
        $G344="Pipa Stainless",
            INDEX('Referensi Harga'!$E:$E,
                  MATCH($F344&amp;$C344,'Referensi Harga'!$A:$A&amp;'Referensi Harga'!$B:$B,0))
     ),0)
  + IFERROR(VLOOKUP($H344,'Profile Size'!$A:$B,2,FALSE),0)
  + IFERROR(VLOOKUP($I344,'Ketebalan Material'!$A:$B,2,FALSE),0),
0)</f>
        <v>0</v>
      </c>
      <c r="Q344">
        <f>IF($M344="PER-M2",
    IFERROR(
        SUMIFS('Upah Tenaga Ahli'!$C:$C,
               'Upah Tenaga Ahli'!$A:$A,"PER-M2",
               'Upah Tenaga Ahli'!$B:$B,$G344
        ) * $J344 * $K344,
    0),
IF($M344="PER-LUBANG",
    IFERROR(
        SUMIFS('Upah Tenaga Ahli'!$D:$D,
               'Upah Tenaga Ahli'!$A:$A,"PER-LUBANG",
               'Upah Tenaga Ahli'!$B:$B,$G344
        ) * $L344 * $K344,
    0),
IF($M344="PER-M",
    IFERROR(
        SUMIFS('Upah Tenaga Ahli'!$E:$E,
               'Upah Tenaga Ahli'!$A:$A,"PER-M",
               'Upah Tenaga Ahli'!$B:$B,$G344
        ) * $J344 * $K344,
    0),
0)))</f>
        <v>1199000</v>
      </c>
      <c r="R344" t="s">
        <v>19</v>
      </c>
      <c r="S344" t="s">
        <v>23</v>
      </c>
      <c r="T344">
        <f>IF($M344="PER-M2",
   ($N344 * $J344 * $K344)
   + IFERROR(VLOOKUP($R344,Finishing!A:B,2,FALSE),0)
   + IFERROR(VLOOKUP($S344,Kerumitan!A:B,2,FALSE),0),
IF($M344="PER-LUBANG",
   ($P344 * $L344 * $K344)
   + IFERROR(VLOOKUP($R344,Finishing!A:B,2,FALSE),0)
   + IFERROR(VLOOKUP($S344,Kerumitan!A:B,2,FALSE),0),
IF($M344="PER-M",
   ($O344 * $J344 * $K344)
   + IFERROR(VLOOKUP($R344,Finishing!A:B,2,FALSE),0)
   + IFERROR(VLOOKUP($S344,Kerumitan!A:B,2,FALSE),0),
0)))</f>
        <v>8443000</v>
      </c>
    </row>
    <row r="345" spans="1:20" x14ac:dyDescent="0.45">
      <c r="A345" t="s">
        <v>442</v>
      </c>
      <c r="B345" s="5">
        <v>44338</v>
      </c>
      <c r="C345">
        <f t="shared" si="5"/>
        <v>2021</v>
      </c>
      <c r="D345" t="s">
        <v>37</v>
      </c>
      <c r="E345" t="s">
        <v>54</v>
      </c>
      <c r="F345" t="s">
        <v>625</v>
      </c>
      <c r="G345" t="s">
        <v>14</v>
      </c>
      <c r="H345" t="s">
        <v>615</v>
      </c>
      <c r="I345">
        <v>0.8</v>
      </c>
      <c r="J345">
        <v>5.52</v>
      </c>
      <c r="K345">
        <v>1</v>
      </c>
      <c r="L345">
        <v>0</v>
      </c>
      <c r="M345" t="str" cm="1">
        <f t="array" ref="M345">_xlfn.IFS(
   OR($F345="Pagar", $F345="Pintu Gerbang", $F345="Pintu Handerson", $F345="Kanopi"), "PER-M2",
   $F345="Teralis", "PER-LUBANG",
   OR($F345="Railing", $F345="Railing/Balkon"), "PER-M",
   TRUE, ""
)</f>
        <v>PER-M</v>
      </c>
      <c r="N345" cm="1">
        <f t="array" ref="N345">IF($M345="PER-M2",
  IFERROR(
     _xlfn.IFS(
        $G345="Hollow",
            INDEX('Referensi Harga'!$C:$C,
                  MATCH($F345&amp;$C345,'Referensi Harga'!$A:$A&amp;'Referensi Harga'!$B:$B,0)),
        $G345="Hollow Stainless",
            INDEX('Referensi Harga'!$D:$D,
                  MATCH($F345&amp;$C345,'Referensi Harga'!$A:$A&amp;'Referensi Harga'!$B:$B,0)),
        $G345="Pipa Stainless",
            INDEX('Referensi Harga'!$E:$E,
                  MATCH($F345&amp;$C345,'Referensi Harga'!$A:$A&amp;'Referensi Harga'!$B:$B,0))
     ),0)
  + IFERROR(VLOOKUP($H345,'Profile Size'!$A:$B,2,FALSE),0)
  + IFERROR(VLOOKUP($I345,'Ketebalan Material'!$A:$B,2,FALSE),0),
0)</f>
        <v>0</v>
      </c>
      <c r="O345">
        <f>IF($M345="PER-M",
  IFERROR(
    IF($G345="Hollow",
       INDEX('Referensi Harga'!$C:$C, MATCH($F345 &amp; "|" &amp; $C345, 'Referensi Harga'!$F:$F, 0)),
    IF($G345="Hollow Stainless",
       INDEX('Referensi Harga'!$D:$D, MATCH($F345 &amp; "|" &amp; $C345, 'Referensi Harga'!$F:$F, 0)),
       INDEX('Referensi Harga'!$E:$E, MATCH($F345 &amp; "|" &amp; $C345, 'Referensi Harga'!$F:$F, 0))
    ))
    + IFERROR(VLOOKUP($H345, 'Profile Size'!$A:$B, 2, FALSE), 0)
    + IFERROR(VLOOKUP($I345, 'Ketebalan Material'!$A:$B, 2, FALSE), 0), 0),
0)</f>
        <v>1000000</v>
      </c>
      <c r="P345" cm="1">
        <f t="array" ref="P345">IF($M345="PER-LUBANG",
  IFERROR(
     _xlfn.IFS(
        $G345="Hollow",
            INDEX('Referensi Harga'!$C:$C,
                  MATCH($F345&amp;$C345,'Referensi Harga'!$A:$A&amp;'Referensi Harga'!$B:$B,0)),
        $G345="Hollow Stainless",
            INDEX('Referensi Harga'!$D:$D,
                  MATCH($F345&amp;$C345,'Referensi Harga'!$A:$A&amp;'Referensi Harga'!$B:$B,0)),
        $G345="Pipa Stainless",
            INDEX('Referensi Harga'!$E:$E,
                  MATCH($F345&amp;$C345,'Referensi Harga'!$A:$A&amp;'Referensi Harga'!$B:$B,0))
     ),0)
  + IFERROR(VLOOKUP($H345,'Profile Size'!$A:$B,2,FALSE),0)
  + IFERROR(VLOOKUP($I345,'Ketebalan Material'!$A:$B,2,FALSE),0),
0)</f>
        <v>0</v>
      </c>
      <c r="Q345">
        <f>IF($M345="PER-M2",
    IFERROR(
        SUMIFS('Upah Tenaga Ahli'!$C:$C,
               'Upah Tenaga Ahli'!$A:$A,"PER-M2",
               'Upah Tenaga Ahli'!$B:$B,$G345
        ) * $J345 * $K345,
    0),
IF($M345="PER-LUBANG",
    IFERROR(
        SUMIFS('Upah Tenaga Ahli'!$D:$D,
               'Upah Tenaga Ahli'!$A:$A,"PER-LUBANG",
               'Upah Tenaga Ahli'!$B:$B,$G345
        ) * $L345 * $K345,
    0),
IF($M345="PER-M",
    IFERROR(
        SUMIFS('Upah Tenaga Ahli'!$E:$E,
               'Upah Tenaga Ahli'!$A:$A,"PER-M",
               'Upah Tenaga Ahli'!$B:$B,$G345
        ) * $J345 * $K345,
    0),
0)))</f>
        <v>1104000</v>
      </c>
      <c r="R345" t="s">
        <v>617</v>
      </c>
      <c r="S345" t="s">
        <v>24</v>
      </c>
      <c r="T345">
        <f>IF($M345="PER-M2",
   ($N345 * $J345 * $K345)
   + IFERROR(VLOOKUP($R345,Finishing!A:B,2,FALSE),0)
   + IFERROR(VLOOKUP($S345,Kerumitan!A:B,2,FALSE),0),
IF($M345="PER-LUBANG",
   ($P345 * $L345 * $K345)
   + IFERROR(VLOOKUP($R345,Finishing!A:B,2,FALSE),0)
   + IFERROR(VLOOKUP($S345,Kerumitan!A:B,2,FALSE),0),
IF($M345="PER-M",
   ($O345 * $J345 * $K345)
   + IFERROR(VLOOKUP($R345,Finishing!A:B,2,FALSE),0)
   + IFERROR(VLOOKUP($S345,Kerumitan!A:B,2,FALSE),0),
0)))</f>
        <v>5620000</v>
      </c>
    </row>
    <row r="346" spans="1:20" x14ac:dyDescent="0.45">
      <c r="A346" t="s">
        <v>443</v>
      </c>
      <c r="B346" s="5">
        <v>43645</v>
      </c>
      <c r="C346">
        <f t="shared" si="5"/>
        <v>2019</v>
      </c>
      <c r="D346" t="s">
        <v>81</v>
      </c>
      <c r="E346" t="s">
        <v>91</v>
      </c>
      <c r="F346" t="s">
        <v>7</v>
      </c>
      <c r="G346" t="s">
        <v>14</v>
      </c>
      <c r="H346" t="s">
        <v>615</v>
      </c>
      <c r="I346">
        <v>1.2</v>
      </c>
      <c r="J346">
        <v>4.83</v>
      </c>
      <c r="K346">
        <v>1</v>
      </c>
      <c r="L346">
        <v>0</v>
      </c>
      <c r="M346" t="str" cm="1">
        <f t="array" ref="M346">_xlfn.IFS(
   OR($F346="Pagar", $F346="Pintu Gerbang", $F346="Pintu Handerson", $F346="Kanopi"), "PER-M2",
   $F346="Teralis", "PER-LUBANG",
   OR($F346="Railing", $F346="Railing/Balkon"), "PER-M",
   TRUE, ""
)</f>
        <v>PER-M2</v>
      </c>
      <c r="N346" cm="1">
        <f t="array" ref="N346">IF($M346="PER-M2",
  IFERROR(
     _xlfn.IFS(
        $G346="Hollow",
            INDEX('Referensi Harga'!$C:$C,
                  MATCH($F346&amp;$C346,'Referensi Harga'!$A:$A&amp;'Referensi Harga'!$B:$B,0)),
        $G346="Hollow Stainless",
            INDEX('Referensi Harga'!$D:$D,
                  MATCH($F346&amp;$C346,'Referensi Harga'!$A:$A&amp;'Referensi Harga'!$B:$B,0)),
        $G346="Pipa Stainless",
            INDEX('Referensi Harga'!$E:$E,
                  MATCH($F346&amp;$C346,'Referensi Harga'!$A:$A&amp;'Referensi Harga'!$B:$B,0))
     ),0)
  + IFERROR(VLOOKUP($H346,'Profile Size'!$A:$B,2,FALSE),0)
  + IFERROR(VLOOKUP($I346,'Ketebalan Material'!$A:$B,2,FALSE),0),
0)</f>
        <v>1150000</v>
      </c>
      <c r="O346">
        <f>IF($M346="PER-M",
  IFERROR(
    IF($G346="Hollow",
       INDEX('Referensi Harga'!$C:$C, MATCH($F346 &amp; "|" &amp; $C346, 'Referensi Harga'!$F:$F, 0)),
    IF($G346="Hollow Stainless",
       INDEX('Referensi Harga'!$D:$D, MATCH($F346 &amp; "|" &amp; $C346, 'Referensi Harga'!$F:$F, 0)),
       INDEX('Referensi Harga'!$E:$E, MATCH($F346 &amp; "|" &amp; $C346, 'Referensi Harga'!$F:$F, 0))
    ))
    + IFERROR(VLOOKUP($H346, 'Profile Size'!$A:$B, 2, FALSE), 0)
    + IFERROR(VLOOKUP($I346, 'Ketebalan Material'!$A:$B, 2, FALSE), 0), 0),
0)</f>
        <v>0</v>
      </c>
      <c r="P346" cm="1">
        <f t="array" ref="P346">IF($M346="PER-LUBANG",
  IFERROR(
     _xlfn.IFS(
        $G346="Hollow",
            INDEX('Referensi Harga'!$C:$C,
                  MATCH($F346&amp;$C346,'Referensi Harga'!$A:$A&amp;'Referensi Harga'!$B:$B,0)),
        $G346="Hollow Stainless",
            INDEX('Referensi Harga'!$D:$D,
                  MATCH($F346&amp;$C346,'Referensi Harga'!$A:$A&amp;'Referensi Harga'!$B:$B,0)),
        $G346="Pipa Stainless",
            INDEX('Referensi Harga'!$E:$E,
                  MATCH($F346&amp;$C346,'Referensi Harga'!$A:$A&amp;'Referensi Harga'!$B:$B,0))
     ),0)
  + IFERROR(VLOOKUP($H346,'Profile Size'!$A:$B,2,FALSE),0)
  + IFERROR(VLOOKUP($I346,'Ketebalan Material'!$A:$B,2,FALSE),0),
0)</f>
        <v>0</v>
      </c>
      <c r="Q346">
        <f>IF($M346="PER-M2",
    IFERROR(
        SUMIFS('Upah Tenaga Ahli'!$C:$C,
               'Upah Tenaga Ahli'!$A:$A,"PER-M2",
               'Upah Tenaga Ahli'!$B:$B,$G346
        ) * $J346 * $K346,
    0),
IF($M346="PER-LUBANG",
    IFERROR(
        SUMIFS('Upah Tenaga Ahli'!$D:$D,
               'Upah Tenaga Ahli'!$A:$A,"PER-LUBANG",
               'Upah Tenaga Ahli'!$B:$B,$G346
        ) * $L346 * $K346,
    0),
IF($M346="PER-M",
    IFERROR(
        SUMIFS('Upah Tenaga Ahli'!$E:$E,
               'Upah Tenaga Ahli'!$A:$A,"PER-M",
               'Upah Tenaga Ahli'!$B:$B,$G346
        ) * $J346 * $K346,
    0),
0)))</f>
        <v>966000</v>
      </c>
      <c r="R346" t="s">
        <v>617</v>
      </c>
      <c r="S346" t="s">
        <v>24</v>
      </c>
      <c r="T346">
        <f>IF($M346="PER-M2",
   ($N346 * $J346 * $K346)
   + IFERROR(VLOOKUP($R346,Finishing!A:B,2,FALSE),0)
   + IFERROR(VLOOKUP($S346,Kerumitan!A:B,2,FALSE),0),
IF($M346="PER-LUBANG",
   ($P346 * $L346 * $K346)
   + IFERROR(VLOOKUP($R346,Finishing!A:B,2,FALSE),0)
   + IFERROR(VLOOKUP($S346,Kerumitan!A:B,2,FALSE),0),
IF($M346="PER-M",
   ($O346 * $J346 * $K346)
   + IFERROR(VLOOKUP($R346,Finishing!A:B,2,FALSE),0)
   + IFERROR(VLOOKUP($S346,Kerumitan!A:B,2,FALSE),0),
0)))</f>
        <v>5654500</v>
      </c>
    </row>
    <row r="347" spans="1:20" x14ac:dyDescent="0.45">
      <c r="A347" t="s">
        <v>444</v>
      </c>
      <c r="B347" s="5">
        <v>45847</v>
      </c>
      <c r="C347">
        <f t="shared" si="5"/>
        <v>2025</v>
      </c>
      <c r="D347" t="s">
        <v>251</v>
      </c>
      <c r="E347" t="s">
        <v>69</v>
      </c>
      <c r="F347" t="s">
        <v>6</v>
      </c>
      <c r="G347" t="s">
        <v>14</v>
      </c>
      <c r="H347" t="s">
        <v>615</v>
      </c>
      <c r="I347">
        <v>0.8</v>
      </c>
      <c r="J347">
        <v>22.7</v>
      </c>
      <c r="K347">
        <v>1</v>
      </c>
      <c r="L347">
        <v>0</v>
      </c>
      <c r="M347" t="str" cm="1">
        <f t="array" ref="M347">_xlfn.IFS(
   OR($F347="Pagar", $F347="Pintu Gerbang", $F347="Pintu Handerson", $F347="Kanopi"), "PER-M2",
   $F347="Teralis", "PER-LUBANG",
   OR($F347="Railing", $F347="Railing/Balkon"), "PER-M",
   TRUE, ""
)</f>
        <v>PER-M2</v>
      </c>
      <c r="N347" cm="1">
        <f t="array" ref="N347">IF($M347="PER-M2",
  IFERROR(
     _xlfn.IFS(
        $G347="Hollow",
            INDEX('Referensi Harga'!$C:$C,
                  MATCH($F347&amp;$C347,'Referensi Harga'!$A:$A&amp;'Referensi Harga'!$B:$B,0)),
        $G347="Hollow Stainless",
            INDEX('Referensi Harga'!$D:$D,
                  MATCH($F347&amp;$C347,'Referensi Harga'!$A:$A&amp;'Referensi Harga'!$B:$B,0)),
        $G347="Pipa Stainless",
            INDEX('Referensi Harga'!$E:$E,
                  MATCH($F347&amp;$C347,'Referensi Harga'!$A:$A&amp;'Referensi Harga'!$B:$B,0))
     ),0)
  + IFERROR(VLOOKUP($H347,'Profile Size'!$A:$B,2,FALSE),0)
  + IFERROR(VLOOKUP($I347,'Ketebalan Material'!$A:$B,2,FALSE),0),
0)</f>
        <v>800000</v>
      </c>
      <c r="O347">
        <f>IF($M347="PER-M",
  IFERROR(
    IF($G347="Hollow",
       INDEX('Referensi Harga'!$C:$C, MATCH($F347 &amp; "|" &amp; $C347, 'Referensi Harga'!$F:$F, 0)),
    IF($G347="Hollow Stainless",
       INDEX('Referensi Harga'!$D:$D, MATCH($F347 &amp; "|" &amp; $C347, 'Referensi Harga'!$F:$F, 0)),
       INDEX('Referensi Harga'!$E:$E, MATCH($F347 &amp; "|" &amp; $C347, 'Referensi Harga'!$F:$F, 0))
    ))
    + IFERROR(VLOOKUP($H347, 'Profile Size'!$A:$B, 2, FALSE), 0)
    + IFERROR(VLOOKUP($I347, 'Ketebalan Material'!$A:$B, 2, FALSE), 0), 0),
0)</f>
        <v>0</v>
      </c>
      <c r="P347" cm="1">
        <f t="array" ref="P347">IF($M347="PER-LUBANG",
  IFERROR(
     _xlfn.IFS(
        $G347="Hollow",
            INDEX('Referensi Harga'!$C:$C,
                  MATCH($F347&amp;$C347,'Referensi Harga'!$A:$A&amp;'Referensi Harga'!$B:$B,0)),
        $G347="Hollow Stainless",
            INDEX('Referensi Harga'!$D:$D,
                  MATCH($F347&amp;$C347,'Referensi Harga'!$A:$A&amp;'Referensi Harga'!$B:$B,0)),
        $G347="Pipa Stainless",
            INDEX('Referensi Harga'!$E:$E,
                  MATCH($F347&amp;$C347,'Referensi Harga'!$A:$A&amp;'Referensi Harga'!$B:$B,0))
     ),0)
  + IFERROR(VLOOKUP($H347,'Profile Size'!$A:$B,2,FALSE),0)
  + IFERROR(VLOOKUP($I347,'Ketebalan Material'!$A:$B,2,FALSE),0),
0)</f>
        <v>0</v>
      </c>
      <c r="Q347">
        <f>IF($M347="PER-M2",
    IFERROR(
        SUMIFS('Upah Tenaga Ahli'!$C:$C,
               'Upah Tenaga Ahli'!$A:$A,"PER-M2",
               'Upah Tenaga Ahli'!$B:$B,$G347
        ) * $J347 * $K347,
    0),
IF($M347="PER-LUBANG",
    IFERROR(
        SUMIFS('Upah Tenaga Ahli'!$D:$D,
               'Upah Tenaga Ahli'!$A:$A,"PER-LUBANG",
               'Upah Tenaga Ahli'!$B:$B,$G347
        ) * $L347 * $K347,
    0),
IF($M347="PER-M",
    IFERROR(
        SUMIFS('Upah Tenaga Ahli'!$E:$E,
               'Upah Tenaga Ahli'!$A:$A,"PER-M",
               'Upah Tenaga Ahli'!$B:$B,$G347
        ) * $J347 * $K347,
    0),
0)))</f>
        <v>4540000</v>
      </c>
      <c r="R347" t="s">
        <v>617</v>
      </c>
      <c r="S347" t="s">
        <v>24</v>
      </c>
      <c r="T347">
        <f>IF($M347="PER-M2",
   ($N347 * $J347 * $K347)
   + IFERROR(VLOOKUP($R347,Finishing!A:B,2,FALSE),0)
   + IFERROR(VLOOKUP($S347,Kerumitan!A:B,2,FALSE),0),
IF($M347="PER-LUBANG",
   ($P347 * $L347 * $K347)
   + IFERROR(VLOOKUP($R347,Finishing!A:B,2,FALSE),0)
   + IFERROR(VLOOKUP($S347,Kerumitan!A:B,2,FALSE),0),
IF($M347="PER-M",
   ($O347 * $J347 * $K347)
   + IFERROR(VLOOKUP($R347,Finishing!A:B,2,FALSE),0)
   + IFERROR(VLOOKUP($S347,Kerumitan!A:B,2,FALSE),0),
0)))</f>
        <v>18260000</v>
      </c>
    </row>
    <row r="348" spans="1:20" x14ac:dyDescent="0.45">
      <c r="A348" t="s">
        <v>445</v>
      </c>
      <c r="B348" s="5">
        <v>44666</v>
      </c>
      <c r="C348">
        <f t="shared" si="5"/>
        <v>2022</v>
      </c>
      <c r="D348" t="s">
        <v>31</v>
      </c>
      <c r="E348" t="s">
        <v>105</v>
      </c>
      <c r="F348" t="s">
        <v>625</v>
      </c>
      <c r="G348" t="s">
        <v>13</v>
      </c>
      <c r="H348" t="s">
        <v>33</v>
      </c>
      <c r="I348">
        <v>1</v>
      </c>
      <c r="J348">
        <v>10.75</v>
      </c>
      <c r="K348">
        <v>3</v>
      </c>
      <c r="L348">
        <v>0</v>
      </c>
      <c r="M348" t="str" cm="1">
        <f t="array" ref="M348">_xlfn.IFS(
   OR($F348="Pagar", $F348="Pintu Gerbang", $F348="Pintu Handerson", $F348="Kanopi"), "PER-M2",
   $F348="Teralis", "PER-LUBANG",
   OR($F348="Railing", $F348="Railing/Balkon"), "PER-M",
   TRUE, ""
)</f>
        <v>PER-M</v>
      </c>
      <c r="N348" cm="1">
        <f t="array" ref="N348">IF($M348="PER-M2",
  IFERROR(
     _xlfn.IFS(
        $G348="Hollow",
            INDEX('Referensi Harga'!$C:$C,
                  MATCH($F348&amp;$C348,'Referensi Harga'!$A:$A&amp;'Referensi Harga'!$B:$B,0)),
        $G348="Hollow Stainless",
            INDEX('Referensi Harga'!$D:$D,
                  MATCH($F348&amp;$C348,'Referensi Harga'!$A:$A&amp;'Referensi Harga'!$B:$B,0)),
        $G348="Pipa Stainless",
            INDEX('Referensi Harga'!$E:$E,
                  MATCH($F348&amp;$C348,'Referensi Harga'!$A:$A&amp;'Referensi Harga'!$B:$B,0))
     ),0)
  + IFERROR(VLOOKUP($H348,'Profile Size'!$A:$B,2,FALSE),0)
  + IFERROR(VLOOKUP($I348,'Ketebalan Material'!$A:$B,2,FALSE),0),
0)</f>
        <v>0</v>
      </c>
      <c r="O348">
        <f>IF($M348="PER-M",
  IFERROR(
    IF($G348="Hollow",
       INDEX('Referensi Harga'!$C:$C, MATCH($F348 &amp; "|" &amp; $C348, 'Referensi Harga'!$F:$F, 0)),
    IF($G348="Hollow Stainless",
       INDEX('Referensi Harga'!$D:$D, MATCH($F348 &amp; "|" &amp; $C348, 'Referensi Harga'!$F:$F, 0)),
       INDEX('Referensi Harga'!$E:$E, MATCH($F348 &amp; "|" &amp; $C348, 'Referensi Harga'!$F:$F, 0))
    ))
    + IFERROR(VLOOKUP($H348, 'Profile Size'!$A:$B, 2, FALSE), 0)
    + IFERROR(VLOOKUP($I348, 'Ketebalan Material'!$A:$B, 2, FALSE), 0), 0),
0)</f>
        <v>500000</v>
      </c>
      <c r="P348" cm="1">
        <f t="array" ref="P348">IF($M348="PER-LUBANG",
  IFERROR(
     _xlfn.IFS(
        $G348="Hollow",
            INDEX('Referensi Harga'!$C:$C,
                  MATCH($F348&amp;$C348,'Referensi Harga'!$A:$A&amp;'Referensi Harga'!$B:$B,0)),
        $G348="Hollow Stainless",
            INDEX('Referensi Harga'!$D:$D,
                  MATCH($F348&amp;$C348,'Referensi Harga'!$A:$A&amp;'Referensi Harga'!$B:$B,0)),
        $G348="Pipa Stainless",
            INDEX('Referensi Harga'!$E:$E,
                  MATCH($F348&amp;$C348,'Referensi Harga'!$A:$A&amp;'Referensi Harga'!$B:$B,0))
     ),0)
  + IFERROR(VLOOKUP($H348,'Profile Size'!$A:$B,2,FALSE),0)
  + IFERROR(VLOOKUP($I348,'Ketebalan Material'!$A:$B,2,FALSE),0),
0)</f>
        <v>0</v>
      </c>
      <c r="Q348">
        <f>IF($M348="PER-M2",
    IFERROR(
        SUMIFS('Upah Tenaga Ahli'!$C:$C,
               'Upah Tenaga Ahli'!$A:$A,"PER-M2",
               'Upah Tenaga Ahli'!$B:$B,$G348
        ) * $J348 * $K348,
    0),
IF($M348="PER-LUBANG",
    IFERROR(
        SUMIFS('Upah Tenaga Ahli'!$D:$D,
               'Upah Tenaga Ahli'!$A:$A,"PER-LUBANG",
               'Upah Tenaga Ahli'!$B:$B,$G348
        ) * $L348 * $K348,
    0),
IF($M348="PER-M",
    IFERROR(
        SUMIFS('Upah Tenaga Ahli'!$E:$E,
               'Upah Tenaga Ahli'!$A:$A,"PER-M",
               'Upah Tenaga Ahli'!$B:$B,$G348
        ) * $J348 * $K348,
    0),
0)))</f>
        <v>3225000</v>
      </c>
      <c r="R348" t="s">
        <v>18</v>
      </c>
      <c r="S348" t="s">
        <v>23</v>
      </c>
      <c r="T348">
        <f>IF($M348="PER-M2",
   ($N348 * $J348 * $K348)
   + IFERROR(VLOOKUP($R348,Finishing!A:B,2,FALSE),0)
   + IFERROR(VLOOKUP($S348,Kerumitan!A:B,2,FALSE),0),
IF($M348="PER-LUBANG",
   ($P348 * $L348 * $K348)
   + IFERROR(VLOOKUP($R348,Finishing!A:B,2,FALSE),0)
   + IFERROR(VLOOKUP($S348,Kerumitan!A:B,2,FALSE),0),
IF($M348="PER-M",
   ($O348 * $J348 * $K348)
   + IFERROR(VLOOKUP($R348,Finishing!A:B,2,FALSE),0)
   + IFERROR(VLOOKUP($S348,Kerumitan!A:B,2,FALSE),0),
0)))</f>
        <v>16125000</v>
      </c>
    </row>
    <row r="349" spans="1:20" x14ac:dyDescent="0.45">
      <c r="A349" t="s">
        <v>446</v>
      </c>
      <c r="B349" s="5">
        <v>45487</v>
      </c>
      <c r="C349">
        <f t="shared" si="5"/>
        <v>2024</v>
      </c>
      <c r="D349" t="s">
        <v>258</v>
      </c>
      <c r="E349" t="s">
        <v>91</v>
      </c>
      <c r="F349" t="s">
        <v>625</v>
      </c>
      <c r="G349" t="s">
        <v>14</v>
      </c>
      <c r="H349" t="s">
        <v>615</v>
      </c>
      <c r="I349">
        <v>0.8</v>
      </c>
      <c r="J349">
        <v>7.77</v>
      </c>
      <c r="K349">
        <v>1</v>
      </c>
      <c r="L349">
        <v>0</v>
      </c>
      <c r="M349" t="str" cm="1">
        <f t="array" ref="M349">_xlfn.IFS(
   OR($F349="Pagar", $F349="Pintu Gerbang", $F349="Pintu Handerson", $F349="Kanopi"), "PER-M2",
   $F349="Teralis", "PER-LUBANG",
   OR($F349="Railing", $F349="Railing/Balkon"), "PER-M",
   TRUE, ""
)</f>
        <v>PER-M</v>
      </c>
      <c r="N349" cm="1">
        <f t="array" ref="N349">IF($M349="PER-M2",
  IFERROR(
     _xlfn.IFS(
        $G349="Hollow",
            INDEX('Referensi Harga'!$C:$C,
                  MATCH($F349&amp;$C349,'Referensi Harga'!$A:$A&amp;'Referensi Harga'!$B:$B,0)),
        $G349="Hollow Stainless",
            INDEX('Referensi Harga'!$D:$D,
                  MATCH($F349&amp;$C349,'Referensi Harga'!$A:$A&amp;'Referensi Harga'!$B:$B,0)),
        $G349="Pipa Stainless",
            INDEX('Referensi Harga'!$E:$E,
                  MATCH($F349&amp;$C349,'Referensi Harga'!$A:$A&amp;'Referensi Harga'!$B:$B,0))
     ),0)
  + IFERROR(VLOOKUP($H349,'Profile Size'!$A:$B,2,FALSE),0)
  + IFERROR(VLOOKUP($I349,'Ketebalan Material'!$A:$B,2,FALSE),0),
0)</f>
        <v>0</v>
      </c>
      <c r="O349">
        <f>IF($M349="PER-M",
  IFERROR(
    IF($G349="Hollow",
       INDEX('Referensi Harga'!$C:$C, MATCH($F349 &amp; "|" &amp; $C349, 'Referensi Harga'!$F:$F, 0)),
    IF($G349="Hollow Stainless",
       INDEX('Referensi Harga'!$D:$D, MATCH($F349 &amp; "|" &amp; $C349, 'Referensi Harga'!$F:$F, 0)),
       INDEX('Referensi Harga'!$E:$E, MATCH($F349 &amp; "|" &amp; $C349, 'Referensi Harga'!$F:$F, 0))
    ))
    + IFERROR(VLOOKUP($H349, 'Profile Size'!$A:$B, 2, FALSE), 0)
    + IFERROR(VLOOKUP($I349, 'Ketebalan Material'!$A:$B, 2, FALSE), 0), 0),
0)</f>
        <v>1100000</v>
      </c>
      <c r="P349" cm="1">
        <f t="array" ref="P349">IF($M349="PER-LUBANG",
  IFERROR(
     _xlfn.IFS(
        $G349="Hollow",
            INDEX('Referensi Harga'!$C:$C,
                  MATCH($F349&amp;$C349,'Referensi Harga'!$A:$A&amp;'Referensi Harga'!$B:$B,0)),
        $G349="Hollow Stainless",
            INDEX('Referensi Harga'!$D:$D,
                  MATCH($F349&amp;$C349,'Referensi Harga'!$A:$A&amp;'Referensi Harga'!$B:$B,0)),
        $G349="Pipa Stainless",
            INDEX('Referensi Harga'!$E:$E,
                  MATCH($F349&amp;$C349,'Referensi Harga'!$A:$A&amp;'Referensi Harga'!$B:$B,0))
     ),0)
  + IFERROR(VLOOKUP($H349,'Profile Size'!$A:$B,2,FALSE),0)
  + IFERROR(VLOOKUP($I349,'Ketebalan Material'!$A:$B,2,FALSE),0),
0)</f>
        <v>0</v>
      </c>
      <c r="Q349">
        <f>IF($M349="PER-M2",
    IFERROR(
        SUMIFS('Upah Tenaga Ahli'!$C:$C,
               'Upah Tenaga Ahli'!$A:$A,"PER-M2",
               'Upah Tenaga Ahli'!$B:$B,$G349
        ) * $J349 * $K349,
    0),
IF($M349="PER-LUBANG",
    IFERROR(
        SUMIFS('Upah Tenaga Ahli'!$D:$D,
               'Upah Tenaga Ahli'!$A:$A,"PER-LUBANG",
               'Upah Tenaga Ahli'!$B:$B,$G349
        ) * $L349 * $K349,
    0),
IF($M349="PER-M",
    IFERROR(
        SUMIFS('Upah Tenaga Ahli'!$E:$E,
               'Upah Tenaga Ahli'!$A:$A,"PER-M",
               'Upah Tenaga Ahli'!$B:$B,$G349
        ) * $J349 * $K349,
    0),
0)))</f>
        <v>1554000</v>
      </c>
      <c r="R349" t="s">
        <v>617</v>
      </c>
      <c r="S349" t="s">
        <v>24</v>
      </c>
      <c r="T349">
        <f>IF($M349="PER-M2",
   ($N349 * $J349 * $K349)
   + IFERROR(VLOOKUP($R349,Finishing!A:B,2,FALSE),0)
   + IFERROR(VLOOKUP($S349,Kerumitan!A:B,2,FALSE),0),
IF($M349="PER-LUBANG",
   ($P349 * $L349 * $K349)
   + IFERROR(VLOOKUP($R349,Finishing!A:B,2,FALSE),0)
   + IFERROR(VLOOKUP($S349,Kerumitan!A:B,2,FALSE),0),
IF($M349="PER-M",
   ($O349 * $J349 * $K349)
   + IFERROR(VLOOKUP($R349,Finishing!A:B,2,FALSE),0)
   + IFERROR(VLOOKUP($S349,Kerumitan!A:B,2,FALSE),0),
0)))</f>
        <v>8647000</v>
      </c>
    </row>
    <row r="350" spans="1:20" x14ac:dyDescent="0.45">
      <c r="A350" t="s">
        <v>447</v>
      </c>
      <c r="B350" s="5">
        <v>44750</v>
      </c>
      <c r="C350">
        <f t="shared" si="5"/>
        <v>2022</v>
      </c>
      <c r="D350" t="s">
        <v>59</v>
      </c>
      <c r="E350" t="s">
        <v>28</v>
      </c>
      <c r="F350" t="s">
        <v>10</v>
      </c>
      <c r="G350" t="s">
        <v>15</v>
      </c>
      <c r="H350" t="s">
        <v>35</v>
      </c>
      <c r="I350">
        <v>1</v>
      </c>
      <c r="J350">
        <v>5.59</v>
      </c>
      <c r="K350">
        <v>1</v>
      </c>
      <c r="L350">
        <v>0</v>
      </c>
      <c r="M350" t="str" cm="1">
        <f t="array" ref="M350">_xlfn.IFS(
   OR($F350="Pagar", $F350="Pintu Gerbang", $F350="Pintu Handerson", $F350="Kanopi"), "PER-M2",
   $F350="Teralis", "PER-LUBANG",
   OR($F350="Railing", $F350="Railing/Balkon"), "PER-M",
   TRUE, ""
)</f>
        <v>PER-M2</v>
      </c>
      <c r="N350" cm="1">
        <f t="array" ref="N350">IF($M350="PER-M2",
  IFERROR(
     _xlfn.IFS(
        $G350="Hollow",
            INDEX('Referensi Harga'!$C:$C,
                  MATCH($F350&amp;$C350,'Referensi Harga'!$A:$A&amp;'Referensi Harga'!$B:$B,0)),
        $G350="Hollow Stainless",
            INDEX('Referensi Harga'!$D:$D,
                  MATCH($F350&amp;$C350,'Referensi Harga'!$A:$A&amp;'Referensi Harga'!$B:$B,0)),
        $G350="Pipa Stainless",
            INDEX('Referensi Harga'!$E:$E,
                  MATCH($F350&amp;$C350,'Referensi Harga'!$A:$A&amp;'Referensi Harga'!$B:$B,0))
     ),0)
  + IFERROR(VLOOKUP($H350,'Profile Size'!$A:$B,2,FALSE),0)
  + IFERROR(VLOOKUP($I350,'Ketebalan Material'!$A:$B,2,FALSE),0),
0)</f>
        <v>1610000</v>
      </c>
      <c r="O350">
        <f>IF($M350="PER-M",
  IFERROR(
    IF($G350="Hollow",
       INDEX('Referensi Harga'!$C:$C, MATCH($F350 &amp; "|" &amp; $C350, 'Referensi Harga'!$F:$F, 0)),
    IF($G350="Hollow Stainless",
       INDEX('Referensi Harga'!$D:$D, MATCH($F350 &amp; "|" &amp; $C350, 'Referensi Harga'!$F:$F, 0)),
       INDEX('Referensi Harga'!$E:$E, MATCH($F350 &amp; "|" &amp; $C350, 'Referensi Harga'!$F:$F, 0))
    ))
    + IFERROR(VLOOKUP($H350, 'Profile Size'!$A:$B, 2, FALSE), 0)
    + IFERROR(VLOOKUP($I350, 'Ketebalan Material'!$A:$B, 2, FALSE), 0), 0),
0)</f>
        <v>0</v>
      </c>
      <c r="P350" cm="1">
        <f t="array" ref="P350">IF($M350="PER-LUBANG",
  IFERROR(
     _xlfn.IFS(
        $G350="Hollow",
            INDEX('Referensi Harga'!$C:$C,
                  MATCH($F350&amp;$C350,'Referensi Harga'!$A:$A&amp;'Referensi Harga'!$B:$B,0)),
        $G350="Hollow Stainless",
            INDEX('Referensi Harga'!$D:$D,
                  MATCH($F350&amp;$C350,'Referensi Harga'!$A:$A&amp;'Referensi Harga'!$B:$B,0)),
        $G350="Pipa Stainless",
            INDEX('Referensi Harga'!$E:$E,
                  MATCH($F350&amp;$C350,'Referensi Harga'!$A:$A&amp;'Referensi Harga'!$B:$B,0))
     ),0)
  + IFERROR(VLOOKUP($H350,'Profile Size'!$A:$B,2,FALSE),0)
  + IFERROR(VLOOKUP($I350,'Ketebalan Material'!$A:$B,2,FALSE),0),
0)</f>
        <v>0</v>
      </c>
      <c r="Q350">
        <f>IF($M350="PER-M2",
    IFERROR(
        SUMIFS('Upah Tenaga Ahli'!$C:$C,
               'Upah Tenaga Ahli'!$A:$A,"PER-M2",
               'Upah Tenaga Ahli'!$B:$B,$G350
        ) * $J350 * $K350,
    0),
IF($M350="PER-LUBANG",
    IFERROR(
        SUMIFS('Upah Tenaga Ahli'!$D:$D,
               'Upah Tenaga Ahli'!$A:$A,"PER-LUBANG",
               'Upah Tenaga Ahli'!$B:$B,$G350
        ) * $L350 * $K350,
    0),
IF($M350="PER-M",
    IFERROR(
        SUMIFS('Upah Tenaga Ahli'!$E:$E,
               'Upah Tenaga Ahli'!$A:$A,"PER-M",
               'Upah Tenaga Ahli'!$B:$B,$G350
        ) * $J350 * $K350,
    0),
0)))</f>
        <v>838500</v>
      </c>
      <c r="R350" t="s">
        <v>617</v>
      </c>
      <c r="S350" t="s">
        <v>24</v>
      </c>
      <c r="T350">
        <f>IF($M350="PER-M2",
   ($N350 * $J350 * $K350)
   + IFERROR(VLOOKUP($R350,Finishing!A:B,2,FALSE),0)
   + IFERROR(VLOOKUP($S350,Kerumitan!A:B,2,FALSE),0),
IF($M350="PER-LUBANG",
   ($P350 * $L350 * $K350)
   + IFERROR(VLOOKUP($R350,Finishing!A:B,2,FALSE),0)
   + IFERROR(VLOOKUP($S350,Kerumitan!A:B,2,FALSE),0),
IF($M350="PER-M",
   ($O350 * $J350 * $K350)
   + IFERROR(VLOOKUP($R350,Finishing!A:B,2,FALSE),0)
   + IFERROR(VLOOKUP($S350,Kerumitan!A:B,2,FALSE),0),
0)))</f>
        <v>9099900</v>
      </c>
    </row>
    <row r="351" spans="1:20" x14ac:dyDescent="0.45">
      <c r="A351" t="s">
        <v>448</v>
      </c>
      <c r="B351" s="5">
        <v>44619</v>
      </c>
      <c r="C351">
        <f t="shared" si="5"/>
        <v>2022</v>
      </c>
      <c r="D351" t="s">
        <v>117</v>
      </c>
      <c r="E351" t="s">
        <v>38</v>
      </c>
      <c r="F351" t="s">
        <v>6</v>
      </c>
      <c r="G351" t="s">
        <v>15</v>
      </c>
      <c r="H351" t="s">
        <v>46</v>
      </c>
      <c r="I351">
        <v>1.2</v>
      </c>
      <c r="J351">
        <v>17.62</v>
      </c>
      <c r="K351">
        <v>1</v>
      </c>
      <c r="L351">
        <v>0</v>
      </c>
      <c r="M351" t="str" cm="1">
        <f t="array" ref="M351">_xlfn.IFS(
   OR($F351="Pagar", $F351="Pintu Gerbang", $F351="Pintu Handerson", $F351="Kanopi"), "PER-M2",
   $F351="Teralis", "PER-LUBANG",
   OR($F351="Railing", $F351="Railing/Balkon"), "PER-M",
   TRUE, ""
)</f>
        <v>PER-M2</v>
      </c>
      <c r="N351" cm="1">
        <f t="array" ref="N351">IF($M351="PER-M2",
  IFERROR(
     _xlfn.IFS(
        $G351="Hollow",
            INDEX('Referensi Harga'!$C:$C,
                  MATCH($F351&amp;$C351,'Referensi Harga'!$A:$A&amp;'Referensi Harga'!$B:$B,0)),
        $G351="Hollow Stainless",
            INDEX('Referensi Harga'!$D:$D,
                  MATCH($F351&amp;$C351,'Referensi Harga'!$A:$A&amp;'Referensi Harga'!$B:$B,0)),
        $G351="Pipa Stainless",
            INDEX('Referensi Harga'!$E:$E,
                  MATCH($F351&amp;$C351,'Referensi Harga'!$A:$A&amp;'Referensi Harga'!$B:$B,0))
     ),0)
  + IFERROR(VLOOKUP($H351,'Profile Size'!$A:$B,2,FALSE),0)
  + IFERROR(VLOOKUP($I351,'Ketebalan Material'!$A:$B,2,FALSE),0),
0)</f>
        <v>930000</v>
      </c>
      <c r="O351">
        <f>IF($M351="PER-M",
  IFERROR(
    IF($G351="Hollow",
       INDEX('Referensi Harga'!$C:$C, MATCH($F351 &amp; "|" &amp; $C351, 'Referensi Harga'!$F:$F, 0)),
    IF($G351="Hollow Stainless",
       INDEX('Referensi Harga'!$D:$D, MATCH($F351 &amp; "|" &amp; $C351, 'Referensi Harga'!$F:$F, 0)),
       INDEX('Referensi Harga'!$E:$E, MATCH($F351 &amp; "|" &amp; $C351, 'Referensi Harga'!$F:$F, 0))
    ))
    + IFERROR(VLOOKUP($H351, 'Profile Size'!$A:$B, 2, FALSE), 0)
    + IFERROR(VLOOKUP($I351, 'Ketebalan Material'!$A:$B, 2, FALSE), 0), 0),
0)</f>
        <v>0</v>
      </c>
      <c r="P351" cm="1">
        <f t="array" ref="P351">IF($M351="PER-LUBANG",
  IFERROR(
     _xlfn.IFS(
        $G351="Hollow",
            INDEX('Referensi Harga'!$C:$C,
                  MATCH($F351&amp;$C351,'Referensi Harga'!$A:$A&amp;'Referensi Harga'!$B:$B,0)),
        $G351="Hollow Stainless",
            INDEX('Referensi Harga'!$D:$D,
                  MATCH($F351&amp;$C351,'Referensi Harga'!$A:$A&amp;'Referensi Harga'!$B:$B,0)),
        $G351="Pipa Stainless",
            INDEX('Referensi Harga'!$E:$E,
                  MATCH($F351&amp;$C351,'Referensi Harga'!$A:$A&amp;'Referensi Harga'!$B:$B,0))
     ),0)
  + IFERROR(VLOOKUP($H351,'Profile Size'!$A:$B,2,FALSE),0)
  + IFERROR(VLOOKUP($I351,'Ketebalan Material'!$A:$B,2,FALSE),0),
0)</f>
        <v>0</v>
      </c>
      <c r="Q351">
        <f>IF($M351="PER-M2",
    IFERROR(
        SUMIFS('Upah Tenaga Ahli'!$C:$C,
               'Upah Tenaga Ahli'!$A:$A,"PER-M2",
               'Upah Tenaga Ahli'!$B:$B,$G351
        ) * $J351 * $K351,
    0),
IF($M351="PER-LUBANG",
    IFERROR(
        SUMIFS('Upah Tenaga Ahli'!$D:$D,
               'Upah Tenaga Ahli'!$A:$A,"PER-LUBANG",
               'Upah Tenaga Ahli'!$B:$B,$G351
        ) * $L351 * $K351,
    0),
IF($M351="PER-M",
    IFERROR(
        SUMIFS('Upah Tenaga Ahli'!$E:$E,
               'Upah Tenaga Ahli'!$A:$A,"PER-M",
               'Upah Tenaga Ahli'!$B:$B,$G351
        ) * $J351 * $K351,
    0),
0)))</f>
        <v>2643000</v>
      </c>
      <c r="R351" t="s">
        <v>617</v>
      </c>
      <c r="S351" t="s">
        <v>24</v>
      </c>
      <c r="T351">
        <f>IF($M351="PER-M2",
   ($N351 * $J351 * $K351)
   + IFERROR(VLOOKUP($R351,Finishing!A:B,2,FALSE),0)
   + IFERROR(VLOOKUP($S351,Kerumitan!A:B,2,FALSE),0),
IF($M351="PER-LUBANG",
   ($P351 * $L351 * $K351)
   + IFERROR(VLOOKUP($R351,Finishing!A:B,2,FALSE),0)
   + IFERROR(VLOOKUP($S351,Kerumitan!A:B,2,FALSE),0),
IF($M351="PER-M",
   ($O351 * $J351 * $K351)
   + IFERROR(VLOOKUP($R351,Finishing!A:B,2,FALSE),0)
   + IFERROR(VLOOKUP($S351,Kerumitan!A:B,2,FALSE),0),
0)))</f>
        <v>16486600</v>
      </c>
    </row>
    <row r="352" spans="1:20" x14ac:dyDescent="0.45">
      <c r="A352" t="s">
        <v>449</v>
      </c>
      <c r="B352" s="5">
        <v>43634</v>
      </c>
      <c r="C352">
        <f t="shared" si="5"/>
        <v>2019</v>
      </c>
      <c r="D352" t="s">
        <v>86</v>
      </c>
      <c r="E352" t="s">
        <v>28</v>
      </c>
      <c r="F352" t="s">
        <v>4</v>
      </c>
      <c r="G352" t="s">
        <v>15</v>
      </c>
      <c r="H352" t="s">
        <v>46</v>
      </c>
      <c r="I352">
        <v>1.2</v>
      </c>
      <c r="J352">
        <v>23</v>
      </c>
      <c r="K352">
        <v>1</v>
      </c>
      <c r="L352">
        <v>0</v>
      </c>
      <c r="M352" t="str" cm="1">
        <f t="array" ref="M352">_xlfn.IFS(
   OR($F352="Pagar", $F352="Pintu Gerbang", $F352="Pintu Handerson", $F352="Kanopi"), "PER-M2",
   $F352="Teralis", "PER-LUBANG",
   OR($F352="Railing", $F352="Railing/Balkon"), "PER-M",
   TRUE, ""
)</f>
        <v>PER-M2</v>
      </c>
      <c r="N352" cm="1">
        <f t="array" ref="N352">IF($M352="PER-M2",
  IFERROR(
     _xlfn.IFS(
        $G352="Hollow",
            INDEX('Referensi Harga'!$C:$C,
                  MATCH($F352&amp;$C352,'Referensi Harga'!$A:$A&amp;'Referensi Harga'!$B:$B,0)),
        $G352="Hollow Stainless",
            INDEX('Referensi Harga'!$D:$D,
                  MATCH($F352&amp;$C352,'Referensi Harga'!$A:$A&amp;'Referensi Harga'!$B:$B,0)),
        $G352="Pipa Stainless",
            INDEX('Referensi Harga'!$E:$E,
                  MATCH($F352&amp;$C352,'Referensi Harga'!$A:$A&amp;'Referensi Harga'!$B:$B,0))
     ),0)
  + IFERROR(VLOOKUP($H352,'Profile Size'!$A:$B,2,FALSE),0)
  + IFERROR(VLOOKUP($I352,'Ketebalan Material'!$A:$B,2,FALSE),0),
0)</f>
        <v>1150000</v>
      </c>
      <c r="O352">
        <f>IF($M352="PER-M",
  IFERROR(
    IF($G352="Hollow",
       INDEX('Referensi Harga'!$C:$C, MATCH($F352 &amp; "|" &amp; $C352, 'Referensi Harga'!$F:$F, 0)),
    IF($G352="Hollow Stainless",
       INDEX('Referensi Harga'!$D:$D, MATCH($F352 &amp; "|" &amp; $C352, 'Referensi Harga'!$F:$F, 0)),
       INDEX('Referensi Harga'!$E:$E, MATCH($F352 &amp; "|" &amp; $C352, 'Referensi Harga'!$F:$F, 0))
    ))
    + IFERROR(VLOOKUP($H352, 'Profile Size'!$A:$B, 2, FALSE), 0)
    + IFERROR(VLOOKUP($I352, 'Ketebalan Material'!$A:$B, 2, FALSE), 0), 0),
0)</f>
        <v>0</v>
      </c>
      <c r="P352" cm="1">
        <f t="array" ref="P352">IF($M352="PER-LUBANG",
  IFERROR(
     _xlfn.IFS(
        $G352="Hollow",
            INDEX('Referensi Harga'!$C:$C,
                  MATCH($F352&amp;$C352,'Referensi Harga'!$A:$A&amp;'Referensi Harga'!$B:$B,0)),
        $G352="Hollow Stainless",
            INDEX('Referensi Harga'!$D:$D,
                  MATCH($F352&amp;$C352,'Referensi Harga'!$A:$A&amp;'Referensi Harga'!$B:$B,0)),
        $G352="Pipa Stainless",
            INDEX('Referensi Harga'!$E:$E,
                  MATCH($F352&amp;$C352,'Referensi Harga'!$A:$A&amp;'Referensi Harga'!$B:$B,0))
     ),0)
  + IFERROR(VLOOKUP($H352,'Profile Size'!$A:$B,2,FALSE),0)
  + IFERROR(VLOOKUP($I352,'Ketebalan Material'!$A:$B,2,FALSE),0),
0)</f>
        <v>0</v>
      </c>
      <c r="Q352">
        <f>IF($M352="PER-M2",
    IFERROR(
        SUMIFS('Upah Tenaga Ahli'!$C:$C,
               'Upah Tenaga Ahli'!$A:$A,"PER-M2",
               'Upah Tenaga Ahli'!$B:$B,$G352
        ) * $J352 * $K352,
    0),
IF($M352="PER-LUBANG",
    IFERROR(
        SUMIFS('Upah Tenaga Ahli'!$D:$D,
               'Upah Tenaga Ahli'!$A:$A,"PER-LUBANG",
               'Upah Tenaga Ahli'!$B:$B,$G352
        ) * $L352 * $K352,
    0),
IF($M352="PER-M",
    IFERROR(
        SUMIFS('Upah Tenaga Ahli'!$E:$E,
               'Upah Tenaga Ahli'!$A:$A,"PER-M",
               'Upah Tenaga Ahli'!$B:$B,$G352
        ) * $J352 * $K352,
    0),
0)))</f>
        <v>3450000</v>
      </c>
      <c r="R352" t="s">
        <v>617</v>
      </c>
      <c r="S352" t="s">
        <v>23</v>
      </c>
      <c r="T352">
        <f>IF($M352="PER-M2",
   ($N352 * $J352 * $K352)
   + IFERROR(VLOOKUP($R352,Finishing!A:B,2,FALSE),0)
   + IFERROR(VLOOKUP($S352,Kerumitan!A:B,2,FALSE),0),
IF($M352="PER-LUBANG",
   ($P352 * $L352 * $K352)
   + IFERROR(VLOOKUP($R352,Finishing!A:B,2,FALSE),0)
   + IFERROR(VLOOKUP($S352,Kerumitan!A:B,2,FALSE),0),
IF($M352="PER-M",
   ($O352 * $J352 * $K352)
   + IFERROR(VLOOKUP($R352,Finishing!A:B,2,FALSE),0)
   + IFERROR(VLOOKUP($S352,Kerumitan!A:B,2,FALSE),0),
0)))</f>
        <v>26450000</v>
      </c>
    </row>
    <row r="353" spans="1:20" x14ac:dyDescent="0.45">
      <c r="A353" t="s">
        <v>450</v>
      </c>
      <c r="B353" s="5">
        <v>45203</v>
      </c>
      <c r="C353">
        <f t="shared" si="5"/>
        <v>2023</v>
      </c>
      <c r="D353" t="s">
        <v>77</v>
      </c>
      <c r="E353" t="s">
        <v>91</v>
      </c>
      <c r="F353" t="s">
        <v>10</v>
      </c>
      <c r="G353" t="s">
        <v>13</v>
      </c>
      <c r="H353" t="s">
        <v>46</v>
      </c>
      <c r="I353">
        <v>0.8</v>
      </c>
      <c r="J353">
        <v>4.8499999999999996</v>
      </c>
      <c r="K353">
        <v>2</v>
      </c>
      <c r="L353">
        <v>0</v>
      </c>
      <c r="M353" t="str" cm="1">
        <f t="array" ref="M353">_xlfn.IFS(
   OR($F353="Pagar", $F353="Pintu Gerbang", $F353="Pintu Handerson", $F353="Kanopi"), "PER-M2",
   $F353="Teralis", "PER-LUBANG",
   OR($F353="Railing", $F353="Railing/Balkon"), "PER-M",
   TRUE, ""
)</f>
        <v>PER-M2</v>
      </c>
      <c r="N353" cm="1">
        <f t="array" ref="N353">IF($M353="PER-M2",
  IFERROR(
     _xlfn.IFS(
        $G353="Hollow",
            INDEX('Referensi Harga'!$C:$C,
                  MATCH($F353&amp;$C353,'Referensi Harga'!$A:$A&amp;'Referensi Harga'!$B:$B,0)),
        $G353="Hollow Stainless",
            INDEX('Referensi Harga'!$D:$D,
                  MATCH($F353&amp;$C353,'Referensi Harga'!$A:$A&amp;'Referensi Harga'!$B:$B,0)),
        $G353="Pipa Stainless",
            INDEX('Referensi Harga'!$E:$E,
                  MATCH($F353&amp;$C353,'Referensi Harga'!$A:$A&amp;'Referensi Harga'!$B:$B,0))
     ),0)
  + IFERROR(VLOOKUP($H353,'Profile Size'!$A:$B,2,FALSE),0)
  + IFERROR(VLOOKUP($I353,'Ketebalan Material'!$A:$B,2,FALSE),0),
0)</f>
        <v>900000</v>
      </c>
      <c r="O353">
        <f>IF($M353="PER-M",
  IFERROR(
    IF($G353="Hollow",
       INDEX('Referensi Harga'!$C:$C, MATCH($F353 &amp; "|" &amp; $C353, 'Referensi Harga'!$F:$F, 0)),
    IF($G353="Hollow Stainless",
       INDEX('Referensi Harga'!$D:$D, MATCH($F353 &amp; "|" &amp; $C353, 'Referensi Harga'!$F:$F, 0)),
       INDEX('Referensi Harga'!$E:$E, MATCH($F353 &amp; "|" &amp; $C353, 'Referensi Harga'!$F:$F, 0))
    ))
    + IFERROR(VLOOKUP($H353, 'Profile Size'!$A:$B, 2, FALSE), 0)
    + IFERROR(VLOOKUP($I353, 'Ketebalan Material'!$A:$B, 2, FALSE), 0), 0),
0)</f>
        <v>0</v>
      </c>
      <c r="P353" cm="1">
        <f t="array" ref="P353">IF($M353="PER-LUBANG",
  IFERROR(
     _xlfn.IFS(
        $G353="Hollow",
            INDEX('Referensi Harga'!$C:$C,
                  MATCH($F353&amp;$C353,'Referensi Harga'!$A:$A&amp;'Referensi Harga'!$B:$B,0)),
        $G353="Hollow Stainless",
            INDEX('Referensi Harga'!$D:$D,
                  MATCH($F353&amp;$C353,'Referensi Harga'!$A:$A&amp;'Referensi Harga'!$B:$B,0)),
        $G353="Pipa Stainless",
            INDEX('Referensi Harga'!$E:$E,
                  MATCH($F353&amp;$C353,'Referensi Harga'!$A:$A&amp;'Referensi Harga'!$B:$B,0))
     ),0)
  + IFERROR(VLOOKUP($H353,'Profile Size'!$A:$B,2,FALSE),0)
  + IFERROR(VLOOKUP($I353,'Ketebalan Material'!$A:$B,2,FALSE),0),
0)</f>
        <v>0</v>
      </c>
      <c r="Q353">
        <f>IF($M353="PER-M2",
    IFERROR(
        SUMIFS('Upah Tenaga Ahli'!$C:$C,
               'Upah Tenaga Ahli'!$A:$A,"PER-M2",
               'Upah Tenaga Ahli'!$B:$B,$G353
        ) * $J353 * $K353,
    0),
IF($M353="PER-LUBANG",
    IFERROR(
        SUMIFS('Upah Tenaga Ahli'!$D:$D,
               'Upah Tenaga Ahli'!$A:$A,"PER-LUBANG",
               'Upah Tenaga Ahli'!$B:$B,$G353
        ) * $L353 * $K353,
    0),
IF($M353="PER-M",
    IFERROR(
        SUMIFS('Upah Tenaga Ahli'!$E:$E,
               'Upah Tenaga Ahli'!$A:$A,"PER-M",
               'Upah Tenaga Ahli'!$B:$B,$G353
        ) * $J353 * $K353,
    0),
0)))</f>
        <v>969999.99999999988</v>
      </c>
      <c r="R353" t="s">
        <v>20</v>
      </c>
      <c r="S353" t="s">
        <v>24</v>
      </c>
      <c r="T353">
        <f>IF($M353="PER-M2",
   ($N353 * $J353 * $K353)
   + IFERROR(VLOOKUP($R353,Finishing!A:B,2,FALSE),0)
   + IFERROR(VLOOKUP($S353,Kerumitan!A:B,2,FALSE),0),
IF($M353="PER-LUBANG",
   ($P353 * $L353 * $K353)
   + IFERROR(VLOOKUP($R353,Finishing!A:B,2,FALSE),0)
   + IFERROR(VLOOKUP($S353,Kerumitan!A:B,2,FALSE),0),
IF($M353="PER-M",
   ($O353 * $J353 * $K353)
   + IFERROR(VLOOKUP($R353,Finishing!A:B,2,FALSE),0)
   + IFERROR(VLOOKUP($S353,Kerumitan!A:B,2,FALSE),0),
0)))</f>
        <v>8980000</v>
      </c>
    </row>
    <row r="354" spans="1:20" x14ac:dyDescent="0.45">
      <c r="A354" t="s">
        <v>451</v>
      </c>
      <c r="B354" s="5">
        <v>44652</v>
      </c>
      <c r="C354">
        <f t="shared" si="5"/>
        <v>2022</v>
      </c>
      <c r="D354" t="s">
        <v>40</v>
      </c>
      <c r="E354" t="s">
        <v>38</v>
      </c>
      <c r="F354" t="s">
        <v>10</v>
      </c>
      <c r="G354" t="s">
        <v>13</v>
      </c>
      <c r="H354" t="s">
        <v>33</v>
      </c>
      <c r="I354">
        <v>1.2</v>
      </c>
      <c r="J354">
        <v>3.76</v>
      </c>
      <c r="K354">
        <v>1</v>
      </c>
      <c r="L354">
        <v>0</v>
      </c>
      <c r="M354" t="str" cm="1">
        <f t="array" ref="M354">_xlfn.IFS(
   OR($F354="Pagar", $F354="Pintu Gerbang", $F354="Pintu Handerson", $F354="Kanopi"), "PER-M2",
   $F354="Teralis", "PER-LUBANG",
   OR($F354="Railing", $F354="Railing/Balkon"), "PER-M",
   TRUE, ""
)</f>
        <v>PER-M2</v>
      </c>
      <c r="N354" cm="1">
        <f t="array" ref="N354">IF($M354="PER-M2",
  IFERROR(
     _xlfn.IFS(
        $G354="Hollow",
            INDEX('Referensi Harga'!$C:$C,
                  MATCH($F354&amp;$C354,'Referensi Harga'!$A:$A&amp;'Referensi Harga'!$B:$B,0)),
        $G354="Hollow Stainless",
            INDEX('Referensi Harga'!$D:$D,
                  MATCH($F354&amp;$C354,'Referensi Harga'!$A:$A&amp;'Referensi Harga'!$B:$B,0)),
        $G354="Pipa Stainless",
            INDEX('Referensi Harga'!$E:$E,
                  MATCH($F354&amp;$C354,'Referensi Harga'!$A:$A&amp;'Referensi Harga'!$B:$B,0))
     ),0)
  + IFERROR(VLOOKUP($H354,'Profile Size'!$A:$B,2,FALSE),0)
  + IFERROR(VLOOKUP($I354,'Ketebalan Material'!$A:$B,2,FALSE),0),
0)</f>
        <v>900000</v>
      </c>
      <c r="O354">
        <f>IF($M354="PER-M",
  IFERROR(
    IF($G354="Hollow",
       INDEX('Referensi Harga'!$C:$C, MATCH($F354 &amp; "|" &amp; $C354, 'Referensi Harga'!$F:$F, 0)),
    IF($G354="Hollow Stainless",
       INDEX('Referensi Harga'!$D:$D, MATCH($F354 &amp; "|" &amp; $C354, 'Referensi Harga'!$F:$F, 0)),
       INDEX('Referensi Harga'!$E:$E, MATCH($F354 &amp; "|" &amp; $C354, 'Referensi Harga'!$F:$F, 0))
    ))
    + IFERROR(VLOOKUP($H354, 'Profile Size'!$A:$B, 2, FALSE), 0)
    + IFERROR(VLOOKUP($I354, 'Ketebalan Material'!$A:$B, 2, FALSE), 0), 0),
0)</f>
        <v>0</v>
      </c>
      <c r="P354" cm="1">
        <f t="array" ref="P354">IF($M354="PER-LUBANG",
  IFERROR(
     _xlfn.IFS(
        $G354="Hollow",
            INDEX('Referensi Harga'!$C:$C,
                  MATCH($F354&amp;$C354,'Referensi Harga'!$A:$A&amp;'Referensi Harga'!$B:$B,0)),
        $G354="Hollow Stainless",
            INDEX('Referensi Harga'!$D:$D,
                  MATCH($F354&amp;$C354,'Referensi Harga'!$A:$A&amp;'Referensi Harga'!$B:$B,0)),
        $G354="Pipa Stainless",
            INDEX('Referensi Harga'!$E:$E,
                  MATCH($F354&amp;$C354,'Referensi Harga'!$A:$A&amp;'Referensi Harga'!$B:$B,0))
     ),0)
  + IFERROR(VLOOKUP($H354,'Profile Size'!$A:$B,2,FALSE),0)
  + IFERROR(VLOOKUP($I354,'Ketebalan Material'!$A:$B,2,FALSE),0),
0)</f>
        <v>0</v>
      </c>
      <c r="Q354">
        <f>IF($M354="PER-M2",
    IFERROR(
        SUMIFS('Upah Tenaga Ahli'!$C:$C,
               'Upah Tenaga Ahli'!$A:$A,"PER-M2",
               'Upah Tenaga Ahli'!$B:$B,$G354
        ) * $J354 * $K354,
    0),
IF($M354="PER-LUBANG",
    IFERROR(
        SUMIFS('Upah Tenaga Ahli'!$D:$D,
               'Upah Tenaga Ahli'!$A:$A,"PER-LUBANG",
               'Upah Tenaga Ahli'!$B:$B,$G354
        ) * $L354 * $K354,
    0),
IF($M354="PER-M",
    IFERROR(
        SUMIFS('Upah Tenaga Ahli'!$E:$E,
               'Upah Tenaga Ahli'!$A:$A,"PER-M",
               'Upah Tenaga Ahli'!$B:$B,$G354
        ) * $J354 * $K354,
    0),
0)))</f>
        <v>376000</v>
      </c>
      <c r="R354" t="s">
        <v>19</v>
      </c>
      <c r="S354" t="s">
        <v>23</v>
      </c>
      <c r="T354">
        <f>IF($M354="PER-M2",
   ($N354 * $J354 * $K354)
   + IFERROR(VLOOKUP($R354,Finishing!A:B,2,FALSE),0)
   + IFERROR(VLOOKUP($S354,Kerumitan!A:B,2,FALSE),0),
IF($M354="PER-LUBANG",
   ($P354 * $L354 * $K354)
   + IFERROR(VLOOKUP($R354,Finishing!A:B,2,FALSE),0)
   + IFERROR(VLOOKUP($S354,Kerumitan!A:B,2,FALSE),0),
IF($M354="PER-M",
   ($O354 * $J354 * $K354)
   + IFERROR(VLOOKUP($R354,Finishing!A:B,2,FALSE),0)
   + IFERROR(VLOOKUP($S354,Kerumitan!A:B,2,FALSE),0),
0)))</f>
        <v>3434000</v>
      </c>
    </row>
    <row r="355" spans="1:20" x14ac:dyDescent="0.45">
      <c r="A355" t="s">
        <v>452</v>
      </c>
      <c r="B355" s="5">
        <v>44702</v>
      </c>
      <c r="C355">
        <f t="shared" si="5"/>
        <v>2022</v>
      </c>
      <c r="D355" t="s">
        <v>49</v>
      </c>
      <c r="E355" t="s">
        <v>87</v>
      </c>
      <c r="F355" t="s">
        <v>8</v>
      </c>
      <c r="G355" t="s">
        <v>15</v>
      </c>
      <c r="H355" t="s">
        <v>612</v>
      </c>
      <c r="I355">
        <v>1.2</v>
      </c>
      <c r="J355">
        <v>0</v>
      </c>
      <c r="K355">
        <v>1</v>
      </c>
      <c r="L355">
        <v>6</v>
      </c>
      <c r="M355" t="str" cm="1">
        <f t="array" ref="M355">_xlfn.IFS(
   OR($F355="Pagar", $F355="Pintu Gerbang", $F355="Pintu Handerson", $F355="Kanopi"), "PER-M2",
   $F355="Teralis", "PER-LUBANG",
   OR($F355="Railing", $F355="Railing/Balkon"), "PER-M",
   TRUE, ""
)</f>
        <v>PER-LUBANG</v>
      </c>
      <c r="N355" cm="1">
        <f t="array" ref="N355">IF($M355="PER-M2",
  IFERROR(
     _xlfn.IFS(
        $G355="Hollow",
            INDEX('Referensi Harga'!$C:$C,
                  MATCH($F355&amp;$C355,'Referensi Harga'!$A:$A&amp;'Referensi Harga'!$B:$B,0)),
        $G355="Hollow Stainless",
            INDEX('Referensi Harga'!$D:$D,
                  MATCH($F355&amp;$C355,'Referensi Harga'!$A:$A&amp;'Referensi Harga'!$B:$B,0)),
        $G355="Pipa Stainless",
            INDEX('Referensi Harga'!$E:$E,
                  MATCH($F355&amp;$C355,'Referensi Harga'!$A:$A&amp;'Referensi Harga'!$B:$B,0))
     ),0)
  + IFERROR(VLOOKUP($H355,'Profile Size'!$A:$B,2,FALSE),0)
  + IFERROR(VLOOKUP($I355,'Ketebalan Material'!$A:$B,2,FALSE),0),
0)</f>
        <v>0</v>
      </c>
      <c r="O355">
        <f>IF($M355="PER-M",
  IFERROR(
    IF($G355="Hollow",
       INDEX('Referensi Harga'!$C:$C, MATCH($F355 &amp; "|" &amp; $C355, 'Referensi Harga'!$F:$F, 0)),
    IF($G355="Hollow Stainless",
       INDEX('Referensi Harga'!$D:$D, MATCH($F355 &amp; "|" &amp; $C355, 'Referensi Harga'!$F:$F, 0)),
       INDEX('Referensi Harga'!$E:$E, MATCH($F355 &amp; "|" &amp; $C355, 'Referensi Harga'!$F:$F, 0))
    ))
    + IFERROR(VLOOKUP($H355, 'Profile Size'!$A:$B, 2, FALSE), 0)
    + IFERROR(VLOOKUP($I355, 'Ketebalan Material'!$A:$B, 2, FALSE), 0), 0),
0)</f>
        <v>0</v>
      </c>
      <c r="P355" cm="1">
        <f t="array" ref="P355">IF($M355="PER-LUBANG",
  IFERROR(
     _xlfn.IFS(
        $G355="Hollow",
            INDEX('Referensi Harga'!$C:$C,
                  MATCH($F355&amp;$C355,'Referensi Harga'!$A:$A&amp;'Referensi Harga'!$B:$B,0)),
        $G355="Hollow Stainless",
            INDEX('Referensi Harga'!$D:$D,
                  MATCH($F355&amp;$C355,'Referensi Harga'!$A:$A&amp;'Referensi Harga'!$B:$B,0)),
        $G355="Pipa Stainless",
            INDEX('Referensi Harga'!$E:$E,
                  MATCH($F355&amp;$C355,'Referensi Harga'!$A:$A&amp;'Referensi Harga'!$B:$B,0))
     ),0)
  + IFERROR(VLOOKUP($H355,'Profile Size'!$A:$B,2,FALSE),0)
  + IFERROR(VLOOKUP($I355,'Ketebalan Material'!$A:$B,2,FALSE),0),
0)</f>
        <v>880000</v>
      </c>
      <c r="Q355">
        <f>IF($M355="PER-M2",
    IFERROR(
        SUMIFS('Upah Tenaga Ahli'!$C:$C,
               'Upah Tenaga Ahli'!$A:$A,"PER-M2",
               'Upah Tenaga Ahli'!$B:$B,$G355
        ) * $J355 * $K355,
    0),
IF($M355="PER-LUBANG",
    IFERROR(
        SUMIFS('Upah Tenaga Ahli'!$D:$D,
               'Upah Tenaga Ahli'!$A:$A,"PER-LUBANG",
               'Upah Tenaga Ahli'!$B:$B,$G355
        ) * $L355 * $K355,
    0),
IF($M355="PER-M",
    IFERROR(
        SUMIFS('Upah Tenaga Ahli'!$E:$E,
               'Upah Tenaga Ahli'!$A:$A,"PER-M",
               'Upah Tenaga Ahli'!$B:$B,$G355
        ) * $J355 * $K355,
    0),
0)))</f>
        <v>900000</v>
      </c>
      <c r="R355" t="s">
        <v>617</v>
      </c>
      <c r="S355" t="s">
        <v>23</v>
      </c>
      <c r="T355">
        <f>IF($M355="PER-M2",
   ($N355 * $J355 * $K355)
   + IFERROR(VLOOKUP($R355,Finishing!A:B,2,FALSE),0)
   + IFERROR(VLOOKUP($S355,Kerumitan!A:B,2,FALSE),0),
IF($M355="PER-LUBANG",
   ($P355 * $L355 * $K355)
   + IFERROR(VLOOKUP($R355,Finishing!A:B,2,FALSE),0)
   + IFERROR(VLOOKUP($S355,Kerumitan!A:B,2,FALSE),0),
IF($M355="PER-M",
   ($O355 * $J355 * $K355)
   + IFERROR(VLOOKUP($R355,Finishing!A:B,2,FALSE),0)
   + IFERROR(VLOOKUP($S355,Kerumitan!A:B,2,FALSE),0),
0)))</f>
        <v>5280000</v>
      </c>
    </row>
    <row r="356" spans="1:20" x14ac:dyDescent="0.45">
      <c r="A356" t="s">
        <v>453</v>
      </c>
      <c r="B356" s="5">
        <v>44476</v>
      </c>
      <c r="C356">
        <f t="shared" si="5"/>
        <v>2021</v>
      </c>
      <c r="D356" t="s">
        <v>179</v>
      </c>
      <c r="E356" t="s">
        <v>105</v>
      </c>
      <c r="F356" t="s">
        <v>6</v>
      </c>
      <c r="G356" t="s">
        <v>13</v>
      </c>
      <c r="H356" t="s">
        <v>46</v>
      </c>
      <c r="I356">
        <v>0.8</v>
      </c>
      <c r="J356">
        <v>11.57</v>
      </c>
      <c r="K356">
        <v>2</v>
      </c>
      <c r="L356">
        <v>0</v>
      </c>
      <c r="M356" t="str" cm="1">
        <f t="array" ref="M356">_xlfn.IFS(
   OR($F356="Pagar", $F356="Pintu Gerbang", $F356="Pintu Handerson", $F356="Kanopi"), "PER-M2",
   $F356="Teralis", "PER-LUBANG",
   OR($F356="Railing", $F356="Railing/Balkon"), "PER-M",
   TRUE, ""
)</f>
        <v>PER-M2</v>
      </c>
      <c r="N356" cm="1">
        <f t="array" ref="N356">IF($M356="PER-M2",
  IFERROR(
     _xlfn.IFS(
        $G356="Hollow",
            INDEX('Referensi Harga'!$C:$C,
                  MATCH($F356&amp;$C356,'Referensi Harga'!$A:$A&amp;'Referensi Harga'!$B:$B,0)),
        $G356="Hollow Stainless",
            INDEX('Referensi Harga'!$D:$D,
                  MATCH($F356&amp;$C356,'Referensi Harga'!$A:$A&amp;'Referensi Harga'!$B:$B,0)),
        $G356="Pipa Stainless",
            INDEX('Referensi Harga'!$E:$E,
                  MATCH($F356&amp;$C356,'Referensi Harga'!$A:$A&amp;'Referensi Harga'!$B:$B,0))
     ),0)
  + IFERROR(VLOOKUP($H356,'Profile Size'!$A:$B,2,FALSE),0)
  + IFERROR(VLOOKUP($I356,'Ketebalan Material'!$A:$B,2,FALSE),0),
0)</f>
        <v>400000</v>
      </c>
      <c r="O356">
        <f>IF($M356="PER-M",
  IFERROR(
    IF($G356="Hollow",
       INDEX('Referensi Harga'!$C:$C, MATCH($F356 &amp; "|" &amp; $C356, 'Referensi Harga'!$F:$F, 0)),
    IF($G356="Hollow Stainless",
       INDEX('Referensi Harga'!$D:$D, MATCH($F356 &amp; "|" &amp; $C356, 'Referensi Harga'!$F:$F, 0)),
       INDEX('Referensi Harga'!$E:$E, MATCH($F356 &amp; "|" &amp; $C356, 'Referensi Harga'!$F:$F, 0))
    ))
    + IFERROR(VLOOKUP($H356, 'Profile Size'!$A:$B, 2, FALSE), 0)
    + IFERROR(VLOOKUP($I356, 'Ketebalan Material'!$A:$B, 2, FALSE), 0), 0),
0)</f>
        <v>0</v>
      </c>
      <c r="P356" cm="1">
        <f t="array" ref="P356">IF($M356="PER-LUBANG",
  IFERROR(
     _xlfn.IFS(
        $G356="Hollow",
            INDEX('Referensi Harga'!$C:$C,
                  MATCH($F356&amp;$C356,'Referensi Harga'!$A:$A&amp;'Referensi Harga'!$B:$B,0)),
        $G356="Hollow Stainless",
            INDEX('Referensi Harga'!$D:$D,
                  MATCH($F356&amp;$C356,'Referensi Harga'!$A:$A&amp;'Referensi Harga'!$B:$B,0)),
        $G356="Pipa Stainless",
            INDEX('Referensi Harga'!$E:$E,
                  MATCH($F356&amp;$C356,'Referensi Harga'!$A:$A&amp;'Referensi Harga'!$B:$B,0))
     ),0)
  + IFERROR(VLOOKUP($H356,'Profile Size'!$A:$B,2,FALSE),0)
  + IFERROR(VLOOKUP($I356,'Ketebalan Material'!$A:$B,2,FALSE),0),
0)</f>
        <v>0</v>
      </c>
      <c r="Q356">
        <f>IF($M356="PER-M2",
    IFERROR(
        SUMIFS('Upah Tenaga Ahli'!$C:$C,
               'Upah Tenaga Ahli'!$A:$A,"PER-M2",
               'Upah Tenaga Ahli'!$B:$B,$G356
        ) * $J356 * $K356,
    0),
IF($M356="PER-LUBANG",
    IFERROR(
        SUMIFS('Upah Tenaga Ahli'!$D:$D,
               'Upah Tenaga Ahli'!$A:$A,"PER-LUBANG",
               'Upah Tenaga Ahli'!$B:$B,$G356
        ) * $L356 * $K356,
    0),
IF($M356="PER-M",
    IFERROR(
        SUMIFS('Upah Tenaga Ahli'!$E:$E,
               'Upah Tenaga Ahli'!$A:$A,"PER-M",
               'Upah Tenaga Ahli'!$B:$B,$G356
        ) * $J356 * $K356,
    0),
0)))</f>
        <v>2314000</v>
      </c>
      <c r="R356" t="s">
        <v>20</v>
      </c>
      <c r="S356" t="s">
        <v>23</v>
      </c>
      <c r="T356">
        <f>IF($M356="PER-M2",
   ($N356 * $J356 * $K356)
   + IFERROR(VLOOKUP($R356,Finishing!A:B,2,FALSE),0)
   + IFERROR(VLOOKUP($S356,Kerumitan!A:B,2,FALSE),0),
IF($M356="PER-LUBANG",
   ($P356 * $L356 * $K356)
   + IFERROR(VLOOKUP($R356,Finishing!A:B,2,FALSE),0)
   + IFERROR(VLOOKUP($S356,Kerumitan!A:B,2,FALSE),0),
IF($M356="PER-M",
   ($O356 * $J356 * $K356)
   + IFERROR(VLOOKUP($R356,Finishing!A:B,2,FALSE),0)
   + IFERROR(VLOOKUP($S356,Kerumitan!A:B,2,FALSE),0),
0)))</f>
        <v>9406000</v>
      </c>
    </row>
    <row r="357" spans="1:20" x14ac:dyDescent="0.45">
      <c r="A357" t="s">
        <v>454</v>
      </c>
      <c r="B357" s="5">
        <v>43551</v>
      </c>
      <c r="C357">
        <f t="shared" si="5"/>
        <v>2019</v>
      </c>
      <c r="D357" t="s">
        <v>71</v>
      </c>
      <c r="E357" t="s">
        <v>121</v>
      </c>
      <c r="F357" t="s">
        <v>10</v>
      </c>
      <c r="G357" t="s">
        <v>13</v>
      </c>
      <c r="H357" t="s">
        <v>33</v>
      </c>
      <c r="I357">
        <v>0.8</v>
      </c>
      <c r="J357">
        <v>5.55</v>
      </c>
      <c r="K357">
        <v>1</v>
      </c>
      <c r="L357">
        <v>0</v>
      </c>
      <c r="M357" t="str" cm="1">
        <f t="array" ref="M357">_xlfn.IFS(
   OR($F357="Pagar", $F357="Pintu Gerbang", $F357="Pintu Handerson", $F357="Kanopi"), "PER-M2",
   $F357="Teralis", "PER-LUBANG",
   OR($F357="Railing", $F357="Railing/Balkon"), "PER-M",
   TRUE, ""
)</f>
        <v>PER-M2</v>
      </c>
      <c r="N357" cm="1">
        <f t="array" ref="N357">IF($M357="PER-M2",
  IFERROR(
     _xlfn.IFS(
        $G357="Hollow",
            INDEX('Referensi Harga'!$C:$C,
                  MATCH($F357&amp;$C357,'Referensi Harga'!$A:$A&amp;'Referensi Harga'!$B:$B,0)),
        $G357="Hollow Stainless",
            INDEX('Referensi Harga'!$D:$D,
                  MATCH($F357&amp;$C357,'Referensi Harga'!$A:$A&amp;'Referensi Harga'!$B:$B,0)),
        $G357="Pipa Stainless",
            INDEX('Referensi Harga'!$E:$E,
                  MATCH($F357&amp;$C357,'Referensi Harga'!$A:$A&amp;'Referensi Harga'!$B:$B,0))
     ),0)
  + IFERROR(VLOOKUP($H357,'Profile Size'!$A:$B,2,FALSE),0)
  + IFERROR(VLOOKUP($I357,'Ketebalan Material'!$A:$B,2,FALSE),0),
0)</f>
        <v>750000</v>
      </c>
      <c r="O357">
        <f>IF($M357="PER-M",
  IFERROR(
    IF($G357="Hollow",
       INDEX('Referensi Harga'!$C:$C, MATCH($F357 &amp; "|" &amp; $C357, 'Referensi Harga'!$F:$F, 0)),
    IF($G357="Hollow Stainless",
       INDEX('Referensi Harga'!$D:$D, MATCH($F357 &amp; "|" &amp; $C357, 'Referensi Harga'!$F:$F, 0)),
       INDEX('Referensi Harga'!$E:$E, MATCH($F357 &amp; "|" &amp; $C357, 'Referensi Harga'!$F:$F, 0))
    ))
    + IFERROR(VLOOKUP($H357, 'Profile Size'!$A:$B, 2, FALSE), 0)
    + IFERROR(VLOOKUP($I357, 'Ketebalan Material'!$A:$B, 2, FALSE), 0), 0),
0)</f>
        <v>0</v>
      </c>
      <c r="P357" cm="1">
        <f t="array" ref="P357">IF($M357="PER-LUBANG",
  IFERROR(
     _xlfn.IFS(
        $G357="Hollow",
            INDEX('Referensi Harga'!$C:$C,
                  MATCH($F357&amp;$C357,'Referensi Harga'!$A:$A&amp;'Referensi Harga'!$B:$B,0)),
        $G357="Hollow Stainless",
            INDEX('Referensi Harga'!$D:$D,
                  MATCH($F357&amp;$C357,'Referensi Harga'!$A:$A&amp;'Referensi Harga'!$B:$B,0)),
        $G357="Pipa Stainless",
            INDEX('Referensi Harga'!$E:$E,
                  MATCH($F357&amp;$C357,'Referensi Harga'!$A:$A&amp;'Referensi Harga'!$B:$B,0))
     ),0)
  + IFERROR(VLOOKUP($H357,'Profile Size'!$A:$B,2,FALSE),0)
  + IFERROR(VLOOKUP($I357,'Ketebalan Material'!$A:$B,2,FALSE),0),
0)</f>
        <v>0</v>
      </c>
      <c r="Q357">
        <f>IF($M357="PER-M2",
    IFERROR(
        SUMIFS('Upah Tenaga Ahli'!$C:$C,
               'Upah Tenaga Ahli'!$A:$A,"PER-M2",
               'Upah Tenaga Ahli'!$B:$B,$G357
        ) * $J357 * $K357,
    0),
IF($M357="PER-LUBANG",
    IFERROR(
        SUMIFS('Upah Tenaga Ahli'!$D:$D,
               'Upah Tenaga Ahli'!$A:$A,"PER-LUBANG",
               'Upah Tenaga Ahli'!$B:$B,$G357
        ) * $L357 * $K357,
    0),
IF($M357="PER-M",
    IFERROR(
        SUMIFS('Upah Tenaga Ahli'!$E:$E,
               'Upah Tenaga Ahli'!$A:$A,"PER-M",
               'Upah Tenaga Ahli'!$B:$B,$G357
        ) * $J357 * $K357,
    0),
0)))</f>
        <v>555000</v>
      </c>
      <c r="R357" t="s">
        <v>19</v>
      </c>
      <c r="S357" t="s">
        <v>23</v>
      </c>
      <c r="T357">
        <f>IF($M357="PER-M2",
   ($N357 * $J357 * $K357)
   + IFERROR(VLOOKUP($R357,Finishing!A:B,2,FALSE),0)
   + IFERROR(VLOOKUP($S357,Kerumitan!A:B,2,FALSE),0),
IF($M357="PER-LUBANG",
   ($P357 * $L357 * $K357)
   + IFERROR(VLOOKUP($R357,Finishing!A:B,2,FALSE),0)
   + IFERROR(VLOOKUP($S357,Kerumitan!A:B,2,FALSE),0),
IF($M357="PER-M",
   ($O357 * $J357 * $K357)
   + IFERROR(VLOOKUP($R357,Finishing!A:B,2,FALSE),0)
   + IFERROR(VLOOKUP($S357,Kerumitan!A:B,2,FALSE),0),
0)))</f>
        <v>4212500</v>
      </c>
    </row>
    <row r="358" spans="1:20" x14ac:dyDescent="0.45">
      <c r="A358" t="s">
        <v>455</v>
      </c>
      <c r="B358" s="5">
        <v>45304</v>
      </c>
      <c r="C358">
        <f t="shared" si="5"/>
        <v>2024</v>
      </c>
      <c r="D358" t="s">
        <v>117</v>
      </c>
      <c r="E358" t="s">
        <v>44</v>
      </c>
      <c r="F358" t="s">
        <v>8</v>
      </c>
      <c r="G358" t="s">
        <v>15</v>
      </c>
      <c r="H358" t="s">
        <v>612</v>
      </c>
      <c r="I358">
        <v>1.2</v>
      </c>
      <c r="J358">
        <v>0</v>
      </c>
      <c r="K358">
        <v>1</v>
      </c>
      <c r="L358">
        <v>6</v>
      </c>
      <c r="M358" t="str" cm="1">
        <f t="array" ref="M358">_xlfn.IFS(
   OR($F358="Pagar", $F358="Pintu Gerbang", $F358="Pintu Handerson", $F358="Kanopi"), "PER-M2",
   $F358="Teralis", "PER-LUBANG",
   OR($F358="Railing", $F358="Railing/Balkon"), "PER-M",
   TRUE, ""
)</f>
        <v>PER-LUBANG</v>
      </c>
      <c r="N358" cm="1">
        <f t="array" ref="N358">IF($M358="PER-M2",
  IFERROR(
     _xlfn.IFS(
        $G358="Hollow",
            INDEX('Referensi Harga'!$C:$C,
                  MATCH($F358&amp;$C358,'Referensi Harga'!$A:$A&amp;'Referensi Harga'!$B:$B,0)),
        $G358="Hollow Stainless",
            INDEX('Referensi Harga'!$D:$D,
                  MATCH($F358&amp;$C358,'Referensi Harga'!$A:$A&amp;'Referensi Harga'!$B:$B,0)),
        $G358="Pipa Stainless",
            INDEX('Referensi Harga'!$E:$E,
                  MATCH($F358&amp;$C358,'Referensi Harga'!$A:$A&amp;'Referensi Harga'!$B:$B,0))
     ),0)
  + IFERROR(VLOOKUP($H358,'Profile Size'!$A:$B,2,FALSE),0)
  + IFERROR(VLOOKUP($I358,'Ketebalan Material'!$A:$B,2,FALSE),0),
0)</f>
        <v>0</v>
      </c>
      <c r="O358">
        <f>IF($M358="PER-M",
  IFERROR(
    IF($G358="Hollow",
       INDEX('Referensi Harga'!$C:$C, MATCH($F358 &amp; "|" &amp; $C358, 'Referensi Harga'!$F:$F, 0)),
    IF($G358="Hollow Stainless",
       INDEX('Referensi Harga'!$D:$D, MATCH($F358 &amp; "|" &amp; $C358, 'Referensi Harga'!$F:$F, 0)),
       INDEX('Referensi Harga'!$E:$E, MATCH($F358 &amp; "|" &amp; $C358, 'Referensi Harga'!$F:$F, 0))
    ))
    + IFERROR(VLOOKUP($H358, 'Profile Size'!$A:$B, 2, FALSE), 0)
    + IFERROR(VLOOKUP($I358, 'Ketebalan Material'!$A:$B, 2, FALSE), 0), 0),
0)</f>
        <v>0</v>
      </c>
      <c r="P358" cm="1">
        <f t="array" ref="P358">IF($M358="PER-LUBANG",
  IFERROR(
     _xlfn.IFS(
        $G358="Hollow",
            INDEX('Referensi Harga'!$C:$C,
                  MATCH($F358&amp;$C358,'Referensi Harga'!$A:$A&amp;'Referensi Harga'!$B:$B,0)),
        $G358="Hollow Stainless",
            INDEX('Referensi Harga'!$D:$D,
                  MATCH($F358&amp;$C358,'Referensi Harga'!$A:$A&amp;'Referensi Harga'!$B:$B,0)),
        $G358="Pipa Stainless",
            INDEX('Referensi Harga'!$E:$E,
                  MATCH($F358&amp;$C358,'Referensi Harga'!$A:$A&amp;'Referensi Harga'!$B:$B,0))
     ),0)
  + IFERROR(VLOOKUP($H358,'Profile Size'!$A:$B,2,FALSE),0)
  + IFERROR(VLOOKUP($I358,'Ketebalan Material'!$A:$B,2,FALSE),0),
0)</f>
        <v>900000</v>
      </c>
      <c r="Q358">
        <f>IF($M358="PER-M2",
    IFERROR(
        SUMIFS('Upah Tenaga Ahli'!$C:$C,
               'Upah Tenaga Ahli'!$A:$A,"PER-M2",
               'Upah Tenaga Ahli'!$B:$B,$G358
        ) * $J358 * $K358,
    0),
IF($M358="PER-LUBANG",
    IFERROR(
        SUMIFS('Upah Tenaga Ahli'!$D:$D,
               'Upah Tenaga Ahli'!$A:$A,"PER-LUBANG",
               'Upah Tenaga Ahli'!$B:$B,$G358
        ) * $L358 * $K358,
    0),
IF($M358="PER-M",
    IFERROR(
        SUMIFS('Upah Tenaga Ahli'!$E:$E,
               'Upah Tenaga Ahli'!$A:$A,"PER-M",
               'Upah Tenaga Ahli'!$B:$B,$G358
        ) * $J358 * $K358,
    0),
0)))</f>
        <v>900000</v>
      </c>
      <c r="R358" t="s">
        <v>617</v>
      </c>
      <c r="S358" t="s">
        <v>23</v>
      </c>
      <c r="T358">
        <f>IF($M358="PER-M2",
   ($N358 * $J358 * $K358)
   + IFERROR(VLOOKUP($R358,Finishing!A:B,2,FALSE),0)
   + IFERROR(VLOOKUP($S358,Kerumitan!A:B,2,FALSE),0),
IF($M358="PER-LUBANG",
   ($P358 * $L358 * $K358)
   + IFERROR(VLOOKUP($R358,Finishing!A:B,2,FALSE),0)
   + IFERROR(VLOOKUP($S358,Kerumitan!A:B,2,FALSE),0),
IF($M358="PER-M",
   ($O358 * $J358 * $K358)
   + IFERROR(VLOOKUP($R358,Finishing!A:B,2,FALSE),0)
   + IFERROR(VLOOKUP($S358,Kerumitan!A:B,2,FALSE),0),
0)))</f>
        <v>5400000</v>
      </c>
    </row>
    <row r="359" spans="1:20" x14ac:dyDescent="0.45">
      <c r="A359" t="s">
        <v>456</v>
      </c>
      <c r="B359" s="5">
        <v>44351</v>
      </c>
      <c r="C359">
        <f t="shared" si="5"/>
        <v>2021</v>
      </c>
      <c r="D359" t="s">
        <v>86</v>
      </c>
      <c r="E359" t="s">
        <v>87</v>
      </c>
      <c r="F359" t="s">
        <v>4</v>
      </c>
      <c r="G359" t="s">
        <v>13</v>
      </c>
      <c r="H359" t="s">
        <v>46</v>
      </c>
      <c r="I359">
        <v>0.8</v>
      </c>
      <c r="J359">
        <v>16.12</v>
      </c>
      <c r="K359">
        <v>1</v>
      </c>
      <c r="L359">
        <v>0</v>
      </c>
      <c r="M359" t="str" cm="1">
        <f t="array" ref="M359">_xlfn.IFS(
   OR($F359="Pagar", $F359="Pintu Gerbang", $F359="Pintu Handerson", $F359="Kanopi"), "PER-M2",
   $F359="Teralis", "PER-LUBANG",
   OR($F359="Railing", $F359="Railing/Balkon"), "PER-M",
   TRUE, ""
)</f>
        <v>PER-M2</v>
      </c>
      <c r="N359" cm="1">
        <f t="array" ref="N359">IF($M359="PER-M2",
  IFERROR(
     _xlfn.IFS(
        $G359="Hollow",
            INDEX('Referensi Harga'!$C:$C,
                  MATCH($F359&amp;$C359,'Referensi Harga'!$A:$A&amp;'Referensi Harga'!$B:$B,0)),
        $G359="Hollow Stainless",
            INDEX('Referensi Harga'!$D:$D,
                  MATCH($F359&amp;$C359,'Referensi Harga'!$A:$A&amp;'Referensi Harga'!$B:$B,0)),
        $G359="Pipa Stainless",
            INDEX('Referensi Harga'!$E:$E,
                  MATCH($F359&amp;$C359,'Referensi Harga'!$A:$A&amp;'Referensi Harga'!$B:$B,0))
     ),0)
  + IFERROR(VLOOKUP($H359,'Profile Size'!$A:$B,2,FALSE),0)
  + IFERROR(VLOOKUP($I359,'Ketebalan Material'!$A:$B,2,FALSE),0),
0)</f>
        <v>550000</v>
      </c>
      <c r="O359">
        <f>IF($M359="PER-M",
  IFERROR(
    IF($G359="Hollow",
       INDEX('Referensi Harga'!$C:$C, MATCH($F359 &amp; "|" &amp; $C359, 'Referensi Harga'!$F:$F, 0)),
    IF($G359="Hollow Stainless",
       INDEX('Referensi Harga'!$D:$D, MATCH($F359 &amp; "|" &amp; $C359, 'Referensi Harga'!$F:$F, 0)),
       INDEX('Referensi Harga'!$E:$E, MATCH($F359 &amp; "|" &amp; $C359, 'Referensi Harga'!$F:$F, 0))
    ))
    + IFERROR(VLOOKUP($H359, 'Profile Size'!$A:$B, 2, FALSE), 0)
    + IFERROR(VLOOKUP($I359, 'Ketebalan Material'!$A:$B, 2, FALSE), 0), 0),
0)</f>
        <v>0</v>
      </c>
      <c r="P359" cm="1">
        <f t="array" ref="P359">IF($M359="PER-LUBANG",
  IFERROR(
     _xlfn.IFS(
        $G359="Hollow",
            INDEX('Referensi Harga'!$C:$C,
                  MATCH($F359&amp;$C359,'Referensi Harga'!$A:$A&amp;'Referensi Harga'!$B:$B,0)),
        $G359="Hollow Stainless",
            INDEX('Referensi Harga'!$D:$D,
                  MATCH($F359&amp;$C359,'Referensi Harga'!$A:$A&amp;'Referensi Harga'!$B:$B,0)),
        $G359="Pipa Stainless",
            INDEX('Referensi Harga'!$E:$E,
                  MATCH($F359&amp;$C359,'Referensi Harga'!$A:$A&amp;'Referensi Harga'!$B:$B,0))
     ),0)
  + IFERROR(VLOOKUP($H359,'Profile Size'!$A:$B,2,FALSE),0)
  + IFERROR(VLOOKUP($I359,'Ketebalan Material'!$A:$B,2,FALSE),0),
0)</f>
        <v>0</v>
      </c>
      <c r="Q359">
        <f>IF($M359="PER-M2",
    IFERROR(
        SUMIFS('Upah Tenaga Ahli'!$C:$C,
               'Upah Tenaga Ahli'!$A:$A,"PER-M2",
               'Upah Tenaga Ahli'!$B:$B,$G359
        ) * $J359 * $K359,
    0),
IF($M359="PER-LUBANG",
    IFERROR(
        SUMIFS('Upah Tenaga Ahli'!$D:$D,
               'Upah Tenaga Ahli'!$A:$A,"PER-LUBANG",
               'Upah Tenaga Ahli'!$B:$B,$G359
        ) * $L359 * $K359,
    0),
IF($M359="PER-M",
    IFERROR(
        SUMIFS('Upah Tenaga Ahli'!$E:$E,
               'Upah Tenaga Ahli'!$A:$A,"PER-M",
               'Upah Tenaga Ahli'!$B:$B,$G359
        ) * $J359 * $K359,
    0),
0)))</f>
        <v>1612000</v>
      </c>
      <c r="R359" t="s">
        <v>20</v>
      </c>
      <c r="S359" t="s">
        <v>24</v>
      </c>
      <c r="T359">
        <f>IF($M359="PER-M2",
   ($N359 * $J359 * $K359)
   + IFERROR(VLOOKUP($R359,Finishing!A:B,2,FALSE),0)
   + IFERROR(VLOOKUP($S359,Kerumitan!A:B,2,FALSE),0),
IF($M359="PER-LUBANG",
   ($P359 * $L359 * $K359)
   + IFERROR(VLOOKUP($R359,Finishing!A:B,2,FALSE),0)
   + IFERROR(VLOOKUP($S359,Kerumitan!A:B,2,FALSE),0),
IF($M359="PER-M",
   ($O359 * $J359 * $K359)
   + IFERROR(VLOOKUP($R359,Finishing!A:B,2,FALSE),0)
   + IFERROR(VLOOKUP($S359,Kerumitan!A:B,2,FALSE),0),
0)))</f>
        <v>9116000</v>
      </c>
    </row>
    <row r="360" spans="1:20" x14ac:dyDescent="0.45">
      <c r="A360" t="s">
        <v>457</v>
      </c>
      <c r="B360" s="5">
        <v>44962</v>
      </c>
      <c r="C360">
        <f t="shared" si="5"/>
        <v>2023</v>
      </c>
      <c r="D360" t="s">
        <v>71</v>
      </c>
      <c r="E360" t="s">
        <v>105</v>
      </c>
      <c r="F360" t="s">
        <v>4</v>
      </c>
      <c r="G360" t="s">
        <v>14</v>
      </c>
      <c r="H360" t="s">
        <v>615</v>
      </c>
      <c r="I360">
        <v>1</v>
      </c>
      <c r="J360">
        <v>17.61</v>
      </c>
      <c r="K360">
        <v>1</v>
      </c>
      <c r="L360">
        <v>0</v>
      </c>
      <c r="M360" t="str" cm="1">
        <f t="array" ref="M360">_xlfn.IFS(
   OR($F360="Pagar", $F360="Pintu Gerbang", $F360="Pintu Handerson", $F360="Kanopi"), "PER-M2",
   $F360="Teralis", "PER-LUBANG",
   OR($F360="Railing", $F360="Railing/Balkon"), "PER-M",
   TRUE, ""
)</f>
        <v>PER-M2</v>
      </c>
      <c r="N360" cm="1">
        <f t="array" ref="N360">IF($M360="PER-M2",
  IFERROR(
     _xlfn.IFS(
        $G360="Hollow",
            INDEX('Referensi Harga'!$C:$C,
                  MATCH($F360&amp;$C360,'Referensi Harga'!$A:$A&amp;'Referensi Harga'!$B:$B,0)),
        $G360="Hollow Stainless",
            INDEX('Referensi Harga'!$D:$D,
                  MATCH($F360&amp;$C360,'Referensi Harga'!$A:$A&amp;'Referensi Harga'!$B:$B,0)),
        $G360="Pipa Stainless",
            INDEX('Referensi Harga'!$E:$E,
                  MATCH($F360&amp;$C360,'Referensi Harga'!$A:$A&amp;'Referensi Harga'!$B:$B,0))
     ),0)
  + IFERROR(VLOOKUP($H360,'Profile Size'!$A:$B,2,FALSE),0)
  + IFERROR(VLOOKUP($I360,'Ketebalan Material'!$A:$B,2,FALSE),0),
0)</f>
        <v>1090000</v>
      </c>
      <c r="O360">
        <f>IF($M360="PER-M",
  IFERROR(
    IF($G360="Hollow",
       INDEX('Referensi Harga'!$C:$C, MATCH($F360 &amp; "|" &amp; $C360, 'Referensi Harga'!$F:$F, 0)),
    IF($G360="Hollow Stainless",
       INDEX('Referensi Harga'!$D:$D, MATCH($F360 &amp; "|" &amp; $C360, 'Referensi Harga'!$F:$F, 0)),
       INDEX('Referensi Harga'!$E:$E, MATCH($F360 &amp; "|" &amp; $C360, 'Referensi Harga'!$F:$F, 0))
    ))
    + IFERROR(VLOOKUP($H360, 'Profile Size'!$A:$B, 2, FALSE), 0)
    + IFERROR(VLOOKUP($I360, 'Ketebalan Material'!$A:$B, 2, FALSE), 0), 0),
0)</f>
        <v>0</v>
      </c>
      <c r="P360" cm="1">
        <f t="array" ref="P360">IF($M360="PER-LUBANG",
  IFERROR(
     _xlfn.IFS(
        $G360="Hollow",
            INDEX('Referensi Harga'!$C:$C,
                  MATCH($F360&amp;$C360,'Referensi Harga'!$A:$A&amp;'Referensi Harga'!$B:$B,0)),
        $G360="Hollow Stainless",
            INDEX('Referensi Harga'!$D:$D,
                  MATCH($F360&amp;$C360,'Referensi Harga'!$A:$A&amp;'Referensi Harga'!$B:$B,0)),
        $G360="Pipa Stainless",
            INDEX('Referensi Harga'!$E:$E,
                  MATCH($F360&amp;$C360,'Referensi Harga'!$A:$A&amp;'Referensi Harga'!$B:$B,0))
     ),0)
  + IFERROR(VLOOKUP($H360,'Profile Size'!$A:$B,2,FALSE),0)
  + IFERROR(VLOOKUP($I360,'Ketebalan Material'!$A:$B,2,FALSE),0),
0)</f>
        <v>0</v>
      </c>
      <c r="Q360">
        <f>IF($M360="PER-M2",
    IFERROR(
        SUMIFS('Upah Tenaga Ahli'!$C:$C,
               'Upah Tenaga Ahli'!$A:$A,"PER-M2",
               'Upah Tenaga Ahli'!$B:$B,$G360
        ) * $J360 * $K360,
    0),
IF($M360="PER-LUBANG",
    IFERROR(
        SUMIFS('Upah Tenaga Ahli'!$D:$D,
               'Upah Tenaga Ahli'!$A:$A,"PER-LUBANG",
               'Upah Tenaga Ahli'!$B:$B,$G360
        ) * $L360 * $K360,
    0),
IF($M360="PER-M",
    IFERROR(
        SUMIFS('Upah Tenaga Ahli'!$E:$E,
               'Upah Tenaga Ahli'!$A:$A,"PER-M",
               'Upah Tenaga Ahli'!$B:$B,$G360
        ) * $J360 * $K360,
    0),
0)))</f>
        <v>3522000</v>
      </c>
      <c r="R360" t="s">
        <v>617</v>
      </c>
      <c r="S360" t="s">
        <v>24</v>
      </c>
      <c r="T360">
        <f>IF($M360="PER-M2",
   ($N360 * $J360 * $K360)
   + IFERROR(VLOOKUP($R360,Finishing!A:B,2,FALSE),0)
   + IFERROR(VLOOKUP($S360,Kerumitan!A:B,2,FALSE),0),
IF($M360="PER-LUBANG",
   ($P360 * $L360 * $K360)
   + IFERROR(VLOOKUP($R360,Finishing!A:B,2,FALSE),0)
   + IFERROR(VLOOKUP($S360,Kerumitan!A:B,2,FALSE),0),
IF($M360="PER-M",
   ($O360 * $J360 * $K360)
   + IFERROR(VLOOKUP($R360,Finishing!A:B,2,FALSE),0)
   + IFERROR(VLOOKUP($S360,Kerumitan!A:B,2,FALSE),0),
0)))</f>
        <v>19294900</v>
      </c>
    </row>
    <row r="361" spans="1:20" x14ac:dyDescent="0.45">
      <c r="A361" t="s">
        <v>458</v>
      </c>
      <c r="B361" s="5">
        <v>43514</v>
      </c>
      <c r="C361">
        <f t="shared" si="5"/>
        <v>2019</v>
      </c>
      <c r="D361" t="s">
        <v>27</v>
      </c>
      <c r="E361" t="s">
        <v>54</v>
      </c>
      <c r="F361" t="s">
        <v>10</v>
      </c>
      <c r="G361" t="s">
        <v>15</v>
      </c>
      <c r="H361" t="s">
        <v>35</v>
      </c>
      <c r="I361">
        <v>1.2</v>
      </c>
      <c r="J361">
        <v>3.11</v>
      </c>
      <c r="K361">
        <v>2</v>
      </c>
      <c r="L361">
        <v>0</v>
      </c>
      <c r="M361" t="str" cm="1">
        <f t="array" ref="M361">_xlfn.IFS(
   OR($F361="Pagar", $F361="Pintu Gerbang", $F361="Pintu Handerson", $F361="Kanopi"), "PER-M2",
   $F361="Teralis", "PER-LUBANG",
   OR($F361="Railing", $F361="Railing/Balkon"), "PER-M",
   TRUE, ""
)</f>
        <v>PER-M2</v>
      </c>
      <c r="N361" cm="1">
        <f t="array" ref="N361">IF($M361="PER-M2",
  IFERROR(
     _xlfn.IFS(
        $G361="Hollow",
            INDEX('Referensi Harga'!$C:$C,
                  MATCH($F361&amp;$C361,'Referensi Harga'!$A:$A&amp;'Referensi Harga'!$B:$B,0)),
        $G361="Hollow Stainless",
            INDEX('Referensi Harga'!$D:$D,
                  MATCH($F361&amp;$C361,'Referensi Harga'!$A:$A&amp;'Referensi Harga'!$B:$B,0)),
        $G361="Pipa Stainless",
            INDEX('Referensi Harga'!$E:$E,
                  MATCH($F361&amp;$C361,'Referensi Harga'!$A:$A&amp;'Referensi Harga'!$B:$B,0))
     ),0)
  + IFERROR(VLOOKUP($H361,'Profile Size'!$A:$B,2,FALSE),0)
  + IFERROR(VLOOKUP($I361,'Ketebalan Material'!$A:$B,2,FALSE),0),
0)</f>
        <v>1500000</v>
      </c>
      <c r="O361">
        <f>IF($M361="PER-M",
  IFERROR(
    IF($G361="Hollow",
       INDEX('Referensi Harga'!$C:$C, MATCH($F361 &amp; "|" &amp; $C361, 'Referensi Harga'!$F:$F, 0)),
    IF($G361="Hollow Stainless",
       INDEX('Referensi Harga'!$D:$D, MATCH($F361 &amp; "|" &amp; $C361, 'Referensi Harga'!$F:$F, 0)),
       INDEX('Referensi Harga'!$E:$E, MATCH($F361 &amp; "|" &amp; $C361, 'Referensi Harga'!$F:$F, 0))
    ))
    + IFERROR(VLOOKUP($H361, 'Profile Size'!$A:$B, 2, FALSE), 0)
    + IFERROR(VLOOKUP($I361, 'Ketebalan Material'!$A:$B, 2, FALSE), 0), 0),
0)</f>
        <v>0</v>
      </c>
      <c r="P361" cm="1">
        <f t="array" ref="P361">IF($M361="PER-LUBANG",
  IFERROR(
     _xlfn.IFS(
        $G361="Hollow",
            INDEX('Referensi Harga'!$C:$C,
                  MATCH($F361&amp;$C361,'Referensi Harga'!$A:$A&amp;'Referensi Harga'!$B:$B,0)),
        $G361="Hollow Stainless",
            INDEX('Referensi Harga'!$D:$D,
                  MATCH($F361&amp;$C361,'Referensi Harga'!$A:$A&amp;'Referensi Harga'!$B:$B,0)),
        $G361="Pipa Stainless",
            INDEX('Referensi Harga'!$E:$E,
                  MATCH($F361&amp;$C361,'Referensi Harga'!$A:$A&amp;'Referensi Harga'!$B:$B,0))
     ),0)
  + IFERROR(VLOOKUP($H361,'Profile Size'!$A:$B,2,FALSE),0)
  + IFERROR(VLOOKUP($I361,'Ketebalan Material'!$A:$B,2,FALSE),0),
0)</f>
        <v>0</v>
      </c>
      <c r="Q361">
        <f>IF($M361="PER-M2",
    IFERROR(
        SUMIFS('Upah Tenaga Ahli'!$C:$C,
               'Upah Tenaga Ahli'!$A:$A,"PER-M2",
               'Upah Tenaga Ahli'!$B:$B,$G361
        ) * $J361 * $K361,
    0),
IF($M361="PER-LUBANG",
    IFERROR(
        SUMIFS('Upah Tenaga Ahli'!$D:$D,
               'Upah Tenaga Ahli'!$A:$A,"PER-LUBANG",
               'Upah Tenaga Ahli'!$B:$B,$G361
        ) * $L361 * $K361,
    0),
IF($M361="PER-M",
    IFERROR(
        SUMIFS('Upah Tenaga Ahli'!$E:$E,
               'Upah Tenaga Ahli'!$A:$A,"PER-M",
               'Upah Tenaga Ahli'!$B:$B,$G361
        ) * $J361 * $K361,
    0),
0)))</f>
        <v>933000</v>
      </c>
      <c r="R361" t="s">
        <v>617</v>
      </c>
      <c r="S361" t="s">
        <v>23</v>
      </c>
      <c r="T361">
        <f>IF($M361="PER-M2",
   ($N361 * $J361 * $K361)
   + IFERROR(VLOOKUP($R361,Finishing!A:B,2,FALSE),0)
   + IFERROR(VLOOKUP($S361,Kerumitan!A:B,2,FALSE),0),
IF($M361="PER-LUBANG",
   ($P361 * $L361 * $K361)
   + IFERROR(VLOOKUP($R361,Finishing!A:B,2,FALSE),0)
   + IFERROR(VLOOKUP($S361,Kerumitan!A:B,2,FALSE),0),
IF($M361="PER-M",
   ($O361 * $J361 * $K361)
   + IFERROR(VLOOKUP($R361,Finishing!A:B,2,FALSE),0)
   + IFERROR(VLOOKUP($S361,Kerumitan!A:B,2,FALSE),0),
0)))</f>
        <v>9330000</v>
      </c>
    </row>
    <row r="362" spans="1:20" x14ac:dyDescent="0.45">
      <c r="A362" t="s">
        <v>459</v>
      </c>
      <c r="B362" s="5">
        <v>45864</v>
      </c>
      <c r="C362">
        <f t="shared" si="5"/>
        <v>2025</v>
      </c>
      <c r="D362" t="s">
        <v>81</v>
      </c>
      <c r="E362" t="s">
        <v>38</v>
      </c>
      <c r="F362" t="s">
        <v>8</v>
      </c>
      <c r="G362" t="s">
        <v>15</v>
      </c>
      <c r="H362" t="s">
        <v>611</v>
      </c>
      <c r="I362">
        <v>0.8</v>
      </c>
      <c r="J362">
        <v>0</v>
      </c>
      <c r="K362">
        <v>1</v>
      </c>
      <c r="L362">
        <v>12</v>
      </c>
      <c r="M362" t="str" cm="1">
        <f t="array" ref="M362">_xlfn.IFS(
   OR($F362="Pagar", $F362="Pintu Gerbang", $F362="Pintu Handerson", $F362="Kanopi"), "PER-M2",
   $F362="Teralis", "PER-LUBANG",
   OR($F362="Railing", $F362="Railing/Balkon"), "PER-M",
   TRUE, ""
)</f>
        <v>PER-LUBANG</v>
      </c>
      <c r="N362" cm="1">
        <f t="array" ref="N362">IF($M362="PER-M2",
  IFERROR(
     _xlfn.IFS(
        $G362="Hollow",
            INDEX('Referensi Harga'!$C:$C,
                  MATCH($F362&amp;$C362,'Referensi Harga'!$A:$A&amp;'Referensi Harga'!$B:$B,0)),
        $G362="Hollow Stainless",
            INDEX('Referensi Harga'!$D:$D,
                  MATCH($F362&amp;$C362,'Referensi Harga'!$A:$A&amp;'Referensi Harga'!$B:$B,0)),
        $G362="Pipa Stainless",
            INDEX('Referensi Harga'!$E:$E,
                  MATCH($F362&amp;$C362,'Referensi Harga'!$A:$A&amp;'Referensi Harga'!$B:$B,0))
     ),0)
  + IFERROR(VLOOKUP($H362,'Profile Size'!$A:$B,2,FALSE),0)
  + IFERROR(VLOOKUP($I362,'Ketebalan Material'!$A:$B,2,FALSE),0),
0)</f>
        <v>0</v>
      </c>
      <c r="O362">
        <f>IF($M362="PER-M",
  IFERROR(
    IF($G362="Hollow",
       INDEX('Referensi Harga'!$C:$C, MATCH($F362 &amp; "|" &amp; $C362, 'Referensi Harga'!$F:$F, 0)),
    IF($G362="Hollow Stainless",
       INDEX('Referensi Harga'!$D:$D, MATCH($F362 &amp; "|" &amp; $C362, 'Referensi Harga'!$F:$F, 0)),
       INDEX('Referensi Harga'!$E:$E, MATCH($F362 &amp; "|" &amp; $C362, 'Referensi Harga'!$F:$F, 0))
    ))
    + IFERROR(VLOOKUP($H362, 'Profile Size'!$A:$B, 2, FALSE), 0)
    + IFERROR(VLOOKUP($I362, 'Ketebalan Material'!$A:$B, 2, FALSE), 0), 0),
0)</f>
        <v>0</v>
      </c>
      <c r="P362" cm="1">
        <f t="array" ref="P362">IF($M362="PER-LUBANG",
  IFERROR(
     _xlfn.IFS(
        $G362="Hollow",
            INDEX('Referensi Harga'!$C:$C,
                  MATCH($F362&amp;$C362,'Referensi Harga'!$A:$A&amp;'Referensi Harga'!$B:$B,0)),
        $G362="Hollow Stainless",
            INDEX('Referensi Harga'!$D:$D,
                  MATCH($F362&amp;$C362,'Referensi Harga'!$A:$A&amp;'Referensi Harga'!$B:$B,0)),
        $G362="Pipa Stainless",
            INDEX('Referensi Harga'!$E:$E,
                  MATCH($F362&amp;$C362,'Referensi Harga'!$A:$A&amp;'Referensi Harga'!$B:$B,0))
     ),0)
  + IFERROR(VLOOKUP($H362,'Profile Size'!$A:$B,2,FALSE),0)
  + IFERROR(VLOOKUP($I362,'Ketebalan Material'!$A:$B,2,FALSE),0),
0)</f>
        <v>800000</v>
      </c>
      <c r="Q362">
        <f>IF($M362="PER-M2",
    IFERROR(
        SUMIFS('Upah Tenaga Ahli'!$C:$C,
               'Upah Tenaga Ahli'!$A:$A,"PER-M2",
               'Upah Tenaga Ahli'!$B:$B,$G362
        ) * $J362 * $K362,
    0),
IF($M362="PER-LUBANG",
    IFERROR(
        SUMIFS('Upah Tenaga Ahli'!$D:$D,
               'Upah Tenaga Ahli'!$A:$A,"PER-LUBANG",
               'Upah Tenaga Ahli'!$B:$B,$G362
        ) * $L362 * $K362,
    0),
IF($M362="PER-M",
    IFERROR(
        SUMIFS('Upah Tenaga Ahli'!$E:$E,
               'Upah Tenaga Ahli'!$A:$A,"PER-M",
               'Upah Tenaga Ahli'!$B:$B,$G362
        ) * $J362 * $K362,
    0),
0)))</f>
        <v>1800000</v>
      </c>
      <c r="R362" t="s">
        <v>617</v>
      </c>
      <c r="S362" t="s">
        <v>24</v>
      </c>
      <c r="T362">
        <f>IF($M362="PER-M2",
   ($N362 * $J362 * $K362)
   + IFERROR(VLOOKUP($R362,Finishing!A:B,2,FALSE),0)
   + IFERROR(VLOOKUP($S362,Kerumitan!A:B,2,FALSE),0),
IF($M362="PER-LUBANG",
   ($P362 * $L362 * $K362)
   + IFERROR(VLOOKUP($R362,Finishing!A:B,2,FALSE),0)
   + IFERROR(VLOOKUP($S362,Kerumitan!A:B,2,FALSE),0),
IF($M362="PER-M",
   ($O362 * $J362 * $K362)
   + IFERROR(VLOOKUP($R362,Finishing!A:B,2,FALSE),0)
   + IFERROR(VLOOKUP($S362,Kerumitan!A:B,2,FALSE),0),
0)))</f>
        <v>9700000</v>
      </c>
    </row>
    <row r="363" spans="1:20" x14ac:dyDescent="0.45">
      <c r="A363" t="s">
        <v>460</v>
      </c>
      <c r="B363" s="5">
        <v>44470</v>
      </c>
      <c r="C363">
        <f t="shared" si="5"/>
        <v>2021</v>
      </c>
      <c r="D363" t="s">
        <v>270</v>
      </c>
      <c r="E363" t="s">
        <v>69</v>
      </c>
      <c r="F363" t="s">
        <v>7</v>
      </c>
      <c r="G363" t="s">
        <v>13</v>
      </c>
      <c r="H363" t="s">
        <v>33</v>
      </c>
      <c r="I363">
        <v>1</v>
      </c>
      <c r="J363">
        <v>10.09</v>
      </c>
      <c r="K363">
        <v>1</v>
      </c>
      <c r="L363">
        <v>0</v>
      </c>
      <c r="M363" t="str" cm="1">
        <f t="array" ref="M363">_xlfn.IFS(
   OR($F363="Pagar", $F363="Pintu Gerbang", $F363="Pintu Handerson", $F363="Kanopi"), "PER-M2",
   $F363="Teralis", "PER-LUBANG",
   OR($F363="Railing", $F363="Railing/Balkon"), "PER-M",
   TRUE, ""
)</f>
        <v>PER-M2</v>
      </c>
      <c r="N363" cm="1">
        <f t="array" ref="N363">IF($M363="PER-M2",
  IFERROR(
     _xlfn.IFS(
        $G363="Hollow",
            INDEX('Referensi Harga'!$C:$C,
                  MATCH($F363&amp;$C363,'Referensi Harga'!$A:$A&amp;'Referensi Harga'!$B:$B,0)),
        $G363="Hollow Stainless",
            INDEX('Referensi Harga'!$D:$D,
                  MATCH($F363&amp;$C363,'Referensi Harga'!$A:$A&amp;'Referensi Harga'!$B:$B,0)),
        $G363="Pipa Stainless",
            INDEX('Referensi Harga'!$E:$E,
                  MATCH($F363&amp;$C363,'Referensi Harga'!$A:$A&amp;'Referensi Harga'!$B:$B,0))
     ),0)
  + IFERROR(VLOOKUP($H363,'Profile Size'!$A:$B,2,FALSE),0)
  + IFERROR(VLOOKUP($I363,'Ketebalan Material'!$A:$B,2,FALSE),0),
0)</f>
        <v>650000</v>
      </c>
      <c r="O363">
        <f>IF($M363="PER-M",
  IFERROR(
    IF($G363="Hollow",
       INDEX('Referensi Harga'!$C:$C, MATCH($F363 &amp; "|" &amp; $C363, 'Referensi Harga'!$F:$F, 0)),
    IF($G363="Hollow Stainless",
       INDEX('Referensi Harga'!$D:$D, MATCH($F363 &amp; "|" &amp; $C363, 'Referensi Harga'!$F:$F, 0)),
       INDEX('Referensi Harga'!$E:$E, MATCH($F363 &amp; "|" &amp; $C363, 'Referensi Harga'!$F:$F, 0))
    ))
    + IFERROR(VLOOKUP($H363, 'Profile Size'!$A:$B, 2, FALSE), 0)
    + IFERROR(VLOOKUP($I363, 'Ketebalan Material'!$A:$B, 2, FALSE), 0), 0),
0)</f>
        <v>0</v>
      </c>
      <c r="P363" cm="1">
        <f t="array" ref="P363">IF($M363="PER-LUBANG",
  IFERROR(
     _xlfn.IFS(
        $G363="Hollow",
            INDEX('Referensi Harga'!$C:$C,
                  MATCH($F363&amp;$C363,'Referensi Harga'!$A:$A&amp;'Referensi Harga'!$B:$B,0)),
        $G363="Hollow Stainless",
            INDEX('Referensi Harga'!$D:$D,
                  MATCH($F363&amp;$C363,'Referensi Harga'!$A:$A&amp;'Referensi Harga'!$B:$B,0)),
        $G363="Pipa Stainless",
            INDEX('Referensi Harga'!$E:$E,
                  MATCH($F363&amp;$C363,'Referensi Harga'!$A:$A&amp;'Referensi Harga'!$B:$B,0))
     ),0)
  + IFERROR(VLOOKUP($H363,'Profile Size'!$A:$B,2,FALSE),0)
  + IFERROR(VLOOKUP($I363,'Ketebalan Material'!$A:$B,2,FALSE),0),
0)</f>
        <v>0</v>
      </c>
      <c r="Q363">
        <f>IF($M363="PER-M2",
    IFERROR(
        SUMIFS('Upah Tenaga Ahli'!$C:$C,
               'Upah Tenaga Ahli'!$A:$A,"PER-M2",
               'Upah Tenaga Ahli'!$B:$B,$G363
        ) * $J363 * $K363,
    0),
IF($M363="PER-LUBANG",
    IFERROR(
        SUMIFS('Upah Tenaga Ahli'!$D:$D,
               'Upah Tenaga Ahli'!$A:$A,"PER-LUBANG",
               'Upah Tenaga Ahli'!$B:$B,$G363
        ) * $L363 * $K363,
    0),
IF($M363="PER-M",
    IFERROR(
        SUMIFS('Upah Tenaga Ahli'!$E:$E,
               'Upah Tenaga Ahli'!$A:$A,"PER-M",
               'Upah Tenaga Ahli'!$B:$B,$G363
        ) * $J363 * $K363,
    0),
0)))</f>
        <v>1009000</v>
      </c>
      <c r="R363" t="s">
        <v>19</v>
      </c>
      <c r="S363" t="s">
        <v>23</v>
      </c>
      <c r="T363">
        <f>IF($M363="PER-M2",
   ($N363 * $J363 * $K363)
   + IFERROR(VLOOKUP($R363,Finishing!A:B,2,FALSE),0)
   + IFERROR(VLOOKUP($S363,Kerumitan!A:B,2,FALSE),0),
IF($M363="PER-LUBANG",
   ($P363 * $L363 * $K363)
   + IFERROR(VLOOKUP($R363,Finishing!A:B,2,FALSE),0)
   + IFERROR(VLOOKUP($S363,Kerumitan!A:B,2,FALSE),0),
IF($M363="PER-M",
   ($O363 * $J363 * $K363)
   + IFERROR(VLOOKUP($R363,Finishing!A:B,2,FALSE),0)
   + IFERROR(VLOOKUP($S363,Kerumitan!A:B,2,FALSE),0),
0)))</f>
        <v>6608500</v>
      </c>
    </row>
    <row r="364" spans="1:20" x14ac:dyDescent="0.45">
      <c r="A364" t="s">
        <v>461</v>
      </c>
      <c r="B364" s="5">
        <v>44912</v>
      </c>
      <c r="C364">
        <f t="shared" si="5"/>
        <v>2022</v>
      </c>
      <c r="D364" t="s">
        <v>129</v>
      </c>
      <c r="E364" t="s">
        <v>121</v>
      </c>
      <c r="F364" t="s">
        <v>4</v>
      </c>
      <c r="G364" t="s">
        <v>15</v>
      </c>
      <c r="H364" t="s">
        <v>33</v>
      </c>
      <c r="I364">
        <v>0.8</v>
      </c>
      <c r="J364">
        <v>19.84</v>
      </c>
      <c r="K364">
        <v>1</v>
      </c>
      <c r="L364">
        <v>0</v>
      </c>
      <c r="M364" t="str" cm="1">
        <f t="array" ref="M364">_xlfn.IFS(
   OR($F364="Pagar", $F364="Pintu Gerbang", $F364="Pintu Handerson", $F364="Kanopi"), "PER-M2",
   $F364="Teralis", "PER-LUBANG",
   OR($F364="Railing", $F364="Railing/Balkon"), "PER-M",
   TRUE, ""
)</f>
        <v>PER-M2</v>
      </c>
      <c r="N364" cm="1">
        <f t="array" ref="N364">IF($M364="PER-M2",
  IFERROR(
     _xlfn.IFS(
        $G364="Hollow",
            INDEX('Referensi Harga'!$C:$C,
                  MATCH($F364&amp;$C364,'Referensi Harga'!$A:$A&amp;'Referensi Harga'!$B:$B,0)),
        $G364="Hollow Stainless",
            INDEX('Referensi Harga'!$D:$D,
                  MATCH($F364&amp;$C364,'Referensi Harga'!$A:$A&amp;'Referensi Harga'!$B:$B,0)),
        $G364="Pipa Stainless",
            INDEX('Referensi Harga'!$E:$E,
                  MATCH($F364&amp;$C364,'Referensi Harga'!$A:$A&amp;'Referensi Harga'!$B:$B,0))
     ),0)
  + IFERROR(VLOOKUP($H364,'Profile Size'!$A:$B,2,FALSE),0)
  + IFERROR(VLOOKUP($I364,'Ketebalan Material'!$A:$B,2,FALSE),0),
0)</f>
        <v>1130000</v>
      </c>
      <c r="O364">
        <f>IF($M364="PER-M",
  IFERROR(
    IF($G364="Hollow",
       INDEX('Referensi Harga'!$C:$C, MATCH($F364 &amp; "|" &amp; $C364, 'Referensi Harga'!$F:$F, 0)),
    IF($G364="Hollow Stainless",
       INDEX('Referensi Harga'!$D:$D, MATCH($F364 &amp; "|" &amp; $C364, 'Referensi Harga'!$F:$F, 0)),
       INDEX('Referensi Harga'!$E:$E, MATCH($F364 &amp; "|" &amp; $C364, 'Referensi Harga'!$F:$F, 0))
    ))
    + IFERROR(VLOOKUP($H364, 'Profile Size'!$A:$B, 2, FALSE), 0)
    + IFERROR(VLOOKUP($I364, 'Ketebalan Material'!$A:$B, 2, FALSE), 0), 0),
0)</f>
        <v>0</v>
      </c>
      <c r="P364" cm="1">
        <f t="array" ref="P364">IF($M364="PER-LUBANG",
  IFERROR(
     _xlfn.IFS(
        $G364="Hollow",
            INDEX('Referensi Harga'!$C:$C,
                  MATCH($F364&amp;$C364,'Referensi Harga'!$A:$A&amp;'Referensi Harga'!$B:$B,0)),
        $G364="Hollow Stainless",
            INDEX('Referensi Harga'!$D:$D,
                  MATCH($F364&amp;$C364,'Referensi Harga'!$A:$A&amp;'Referensi Harga'!$B:$B,0)),
        $G364="Pipa Stainless",
            INDEX('Referensi Harga'!$E:$E,
                  MATCH($F364&amp;$C364,'Referensi Harga'!$A:$A&amp;'Referensi Harga'!$B:$B,0))
     ),0)
  + IFERROR(VLOOKUP($H364,'Profile Size'!$A:$B,2,FALSE),0)
  + IFERROR(VLOOKUP($I364,'Ketebalan Material'!$A:$B,2,FALSE),0),
0)</f>
        <v>0</v>
      </c>
      <c r="Q364">
        <f>IF($M364="PER-M2",
    IFERROR(
        SUMIFS('Upah Tenaga Ahli'!$C:$C,
               'Upah Tenaga Ahli'!$A:$A,"PER-M2",
               'Upah Tenaga Ahli'!$B:$B,$G364
        ) * $J364 * $K364,
    0),
IF($M364="PER-LUBANG",
    IFERROR(
        SUMIFS('Upah Tenaga Ahli'!$D:$D,
               'Upah Tenaga Ahli'!$A:$A,"PER-LUBANG",
               'Upah Tenaga Ahli'!$B:$B,$G364
        ) * $L364 * $K364,
    0),
IF($M364="PER-M",
    IFERROR(
        SUMIFS('Upah Tenaga Ahli'!$E:$E,
               'Upah Tenaga Ahli'!$A:$A,"PER-M",
               'Upah Tenaga Ahli'!$B:$B,$G364
        ) * $J364 * $K364,
    0),
0)))</f>
        <v>2976000</v>
      </c>
      <c r="R364" t="s">
        <v>617</v>
      </c>
      <c r="S364" t="s">
        <v>24</v>
      </c>
      <c r="T364">
        <f>IF($M364="PER-M2",
   ($N364 * $J364 * $K364)
   + IFERROR(VLOOKUP($R364,Finishing!A:B,2,FALSE),0)
   + IFERROR(VLOOKUP($S364,Kerumitan!A:B,2,FALSE),0),
IF($M364="PER-LUBANG",
   ($P364 * $L364 * $K364)
   + IFERROR(VLOOKUP($R364,Finishing!A:B,2,FALSE),0)
   + IFERROR(VLOOKUP($S364,Kerumitan!A:B,2,FALSE),0),
IF($M364="PER-M",
   ($O364 * $J364 * $K364)
   + IFERROR(VLOOKUP($R364,Finishing!A:B,2,FALSE),0)
   + IFERROR(VLOOKUP($S364,Kerumitan!A:B,2,FALSE),0),
0)))</f>
        <v>22519200</v>
      </c>
    </row>
    <row r="365" spans="1:20" x14ac:dyDescent="0.45">
      <c r="A365" t="s">
        <v>462</v>
      </c>
      <c r="B365" s="5">
        <v>45455</v>
      </c>
      <c r="C365">
        <f t="shared" si="5"/>
        <v>2024</v>
      </c>
      <c r="D365" t="s">
        <v>27</v>
      </c>
      <c r="E365" t="s">
        <v>91</v>
      </c>
      <c r="F365" t="s">
        <v>4</v>
      </c>
      <c r="G365" t="s">
        <v>14</v>
      </c>
      <c r="H365" t="s">
        <v>615</v>
      </c>
      <c r="I365">
        <v>0.8</v>
      </c>
      <c r="J365">
        <v>17.5</v>
      </c>
      <c r="K365">
        <v>1</v>
      </c>
      <c r="L365">
        <v>0</v>
      </c>
      <c r="M365" t="str" cm="1">
        <f t="array" ref="M365">_xlfn.IFS(
   OR($F365="Pagar", $F365="Pintu Gerbang", $F365="Pintu Handerson", $F365="Kanopi"), "PER-M2",
   $F365="Teralis", "PER-LUBANG",
   OR($F365="Railing", $F365="Railing/Balkon"), "PER-M",
   TRUE, ""
)</f>
        <v>PER-M2</v>
      </c>
      <c r="N365" cm="1">
        <f t="array" ref="N365">IF($M365="PER-M2",
  IFERROR(
     _xlfn.IFS(
        $G365="Hollow",
            INDEX('Referensi Harga'!$C:$C,
                  MATCH($F365&amp;$C365,'Referensi Harga'!$A:$A&amp;'Referensi Harga'!$B:$B,0)),
        $G365="Hollow Stainless",
            INDEX('Referensi Harga'!$D:$D,
                  MATCH($F365&amp;$C365,'Referensi Harga'!$A:$A&amp;'Referensi Harga'!$B:$B,0)),
        $G365="Pipa Stainless",
            INDEX('Referensi Harga'!$E:$E,
                  MATCH($F365&amp;$C365,'Referensi Harga'!$A:$A&amp;'Referensi Harga'!$B:$B,0))
     ),0)
  + IFERROR(VLOOKUP($H365,'Profile Size'!$A:$B,2,FALSE),0)
  + IFERROR(VLOOKUP($I365,'Ketebalan Material'!$A:$B,2,FALSE),0),
0)</f>
        <v>1060000</v>
      </c>
      <c r="O365">
        <f>IF($M365="PER-M",
  IFERROR(
    IF($G365="Hollow",
       INDEX('Referensi Harga'!$C:$C, MATCH($F365 &amp; "|" &amp; $C365, 'Referensi Harga'!$F:$F, 0)),
    IF($G365="Hollow Stainless",
       INDEX('Referensi Harga'!$D:$D, MATCH($F365 &amp; "|" &amp; $C365, 'Referensi Harga'!$F:$F, 0)),
       INDEX('Referensi Harga'!$E:$E, MATCH($F365 &amp; "|" &amp; $C365, 'Referensi Harga'!$F:$F, 0))
    ))
    + IFERROR(VLOOKUP($H365, 'Profile Size'!$A:$B, 2, FALSE), 0)
    + IFERROR(VLOOKUP($I365, 'Ketebalan Material'!$A:$B, 2, FALSE), 0), 0),
0)</f>
        <v>0</v>
      </c>
      <c r="P365" cm="1">
        <f t="array" ref="P365">IF($M365="PER-LUBANG",
  IFERROR(
     _xlfn.IFS(
        $G365="Hollow",
            INDEX('Referensi Harga'!$C:$C,
                  MATCH($F365&amp;$C365,'Referensi Harga'!$A:$A&amp;'Referensi Harga'!$B:$B,0)),
        $G365="Hollow Stainless",
            INDEX('Referensi Harga'!$D:$D,
                  MATCH($F365&amp;$C365,'Referensi Harga'!$A:$A&amp;'Referensi Harga'!$B:$B,0)),
        $G365="Pipa Stainless",
            INDEX('Referensi Harga'!$E:$E,
                  MATCH($F365&amp;$C365,'Referensi Harga'!$A:$A&amp;'Referensi Harga'!$B:$B,0))
     ),0)
  + IFERROR(VLOOKUP($H365,'Profile Size'!$A:$B,2,FALSE),0)
  + IFERROR(VLOOKUP($I365,'Ketebalan Material'!$A:$B,2,FALSE),0),
0)</f>
        <v>0</v>
      </c>
      <c r="Q365">
        <f>IF($M365="PER-M2",
    IFERROR(
        SUMIFS('Upah Tenaga Ahli'!$C:$C,
               'Upah Tenaga Ahli'!$A:$A,"PER-M2",
               'Upah Tenaga Ahli'!$B:$B,$G365
        ) * $J365 * $K365,
    0),
IF($M365="PER-LUBANG",
    IFERROR(
        SUMIFS('Upah Tenaga Ahli'!$D:$D,
               'Upah Tenaga Ahli'!$A:$A,"PER-LUBANG",
               'Upah Tenaga Ahli'!$B:$B,$G365
        ) * $L365 * $K365,
    0),
IF($M365="PER-M",
    IFERROR(
        SUMIFS('Upah Tenaga Ahli'!$E:$E,
               'Upah Tenaga Ahli'!$A:$A,"PER-M",
               'Upah Tenaga Ahli'!$B:$B,$G365
        ) * $J365 * $K365,
    0),
0)))</f>
        <v>3500000</v>
      </c>
      <c r="R365" t="s">
        <v>617</v>
      </c>
      <c r="S365" t="s">
        <v>24</v>
      </c>
      <c r="T365">
        <f>IF($M365="PER-M2",
   ($N365 * $J365 * $K365)
   + IFERROR(VLOOKUP($R365,Finishing!A:B,2,FALSE),0)
   + IFERROR(VLOOKUP($S365,Kerumitan!A:B,2,FALSE),0),
IF($M365="PER-LUBANG",
   ($P365 * $L365 * $K365)
   + IFERROR(VLOOKUP($R365,Finishing!A:B,2,FALSE),0)
   + IFERROR(VLOOKUP($S365,Kerumitan!A:B,2,FALSE),0),
IF($M365="PER-M",
   ($O365 * $J365 * $K365)
   + IFERROR(VLOOKUP($R365,Finishing!A:B,2,FALSE),0)
   + IFERROR(VLOOKUP($S365,Kerumitan!A:B,2,FALSE),0),
0)))</f>
        <v>18650000</v>
      </c>
    </row>
    <row r="366" spans="1:20" x14ac:dyDescent="0.45">
      <c r="A366" t="s">
        <v>463</v>
      </c>
      <c r="B366" s="5">
        <v>43867</v>
      </c>
      <c r="C366">
        <f t="shared" si="5"/>
        <v>2020</v>
      </c>
      <c r="D366" t="s">
        <v>37</v>
      </c>
      <c r="E366" t="s">
        <v>69</v>
      </c>
      <c r="F366" t="s">
        <v>4</v>
      </c>
      <c r="G366" t="s">
        <v>14</v>
      </c>
      <c r="H366" t="s">
        <v>615</v>
      </c>
      <c r="I366">
        <v>0.8</v>
      </c>
      <c r="J366">
        <v>15.77</v>
      </c>
      <c r="K366">
        <v>1</v>
      </c>
      <c r="L366">
        <v>0</v>
      </c>
      <c r="M366" t="str" cm="1">
        <f t="array" ref="M366">_xlfn.IFS(
   OR($F366="Pagar", $F366="Pintu Gerbang", $F366="Pintu Handerson", $F366="Kanopi"), "PER-M2",
   $F366="Teralis", "PER-LUBANG",
   OR($F366="Railing", $F366="Railing/Balkon"), "PER-M",
   TRUE, ""
)</f>
        <v>PER-M2</v>
      </c>
      <c r="N366" cm="1">
        <f t="array" ref="N366">IF($M366="PER-M2",
  IFERROR(
     _xlfn.IFS(
        $G366="Hollow",
            INDEX('Referensi Harga'!$C:$C,
                  MATCH($F366&amp;$C366,'Referensi Harga'!$A:$A&amp;'Referensi Harga'!$B:$B,0)),
        $G366="Hollow Stainless",
            INDEX('Referensi Harga'!$D:$D,
                  MATCH($F366&amp;$C366,'Referensi Harga'!$A:$A&amp;'Referensi Harga'!$B:$B,0)),
        $G366="Pipa Stainless",
            INDEX('Referensi Harga'!$E:$E,
                  MATCH($F366&amp;$C366,'Referensi Harga'!$A:$A&amp;'Referensi Harga'!$B:$B,0))
     ),0)
  + IFERROR(VLOOKUP($H366,'Profile Size'!$A:$B,2,FALSE),0)
  + IFERROR(VLOOKUP($I366,'Ketebalan Material'!$A:$B,2,FALSE),0),
0)</f>
        <v>980000</v>
      </c>
      <c r="O366">
        <f>IF($M366="PER-M",
  IFERROR(
    IF($G366="Hollow",
       INDEX('Referensi Harga'!$C:$C, MATCH($F366 &amp; "|" &amp; $C366, 'Referensi Harga'!$F:$F, 0)),
    IF($G366="Hollow Stainless",
       INDEX('Referensi Harga'!$D:$D, MATCH($F366 &amp; "|" &amp; $C366, 'Referensi Harga'!$F:$F, 0)),
       INDEX('Referensi Harga'!$E:$E, MATCH($F366 &amp; "|" &amp; $C366, 'Referensi Harga'!$F:$F, 0))
    ))
    + IFERROR(VLOOKUP($H366, 'Profile Size'!$A:$B, 2, FALSE), 0)
    + IFERROR(VLOOKUP($I366, 'Ketebalan Material'!$A:$B, 2, FALSE), 0), 0),
0)</f>
        <v>0</v>
      </c>
      <c r="P366" cm="1">
        <f t="array" ref="P366">IF($M366="PER-LUBANG",
  IFERROR(
     _xlfn.IFS(
        $G366="Hollow",
            INDEX('Referensi Harga'!$C:$C,
                  MATCH($F366&amp;$C366,'Referensi Harga'!$A:$A&amp;'Referensi Harga'!$B:$B,0)),
        $G366="Hollow Stainless",
            INDEX('Referensi Harga'!$D:$D,
                  MATCH($F366&amp;$C366,'Referensi Harga'!$A:$A&amp;'Referensi Harga'!$B:$B,0)),
        $G366="Pipa Stainless",
            INDEX('Referensi Harga'!$E:$E,
                  MATCH($F366&amp;$C366,'Referensi Harga'!$A:$A&amp;'Referensi Harga'!$B:$B,0))
     ),0)
  + IFERROR(VLOOKUP($H366,'Profile Size'!$A:$B,2,FALSE),0)
  + IFERROR(VLOOKUP($I366,'Ketebalan Material'!$A:$B,2,FALSE),0),
0)</f>
        <v>0</v>
      </c>
      <c r="Q366">
        <f>IF($M366="PER-M2",
    IFERROR(
        SUMIFS('Upah Tenaga Ahli'!$C:$C,
               'Upah Tenaga Ahli'!$A:$A,"PER-M2",
               'Upah Tenaga Ahli'!$B:$B,$G366
        ) * $J366 * $K366,
    0),
IF($M366="PER-LUBANG",
    IFERROR(
        SUMIFS('Upah Tenaga Ahli'!$D:$D,
               'Upah Tenaga Ahli'!$A:$A,"PER-LUBANG",
               'Upah Tenaga Ahli'!$B:$B,$G366
        ) * $L366 * $K366,
    0),
IF($M366="PER-M",
    IFERROR(
        SUMIFS('Upah Tenaga Ahli'!$E:$E,
               'Upah Tenaga Ahli'!$A:$A,"PER-M",
               'Upah Tenaga Ahli'!$B:$B,$G366
        ) * $J366 * $K366,
    0),
0)))</f>
        <v>3154000</v>
      </c>
      <c r="R366" t="s">
        <v>617</v>
      </c>
      <c r="S366" t="s">
        <v>23</v>
      </c>
      <c r="T366">
        <f>IF($M366="PER-M2",
   ($N366 * $J366 * $K366)
   + IFERROR(VLOOKUP($R366,Finishing!A:B,2,FALSE),0)
   + IFERROR(VLOOKUP($S366,Kerumitan!A:B,2,FALSE),0),
IF($M366="PER-LUBANG",
   ($P366 * $L366 * $K366)
   + IFERROR(VLOOKUP($R366,Finishing!A:B,2,FALSE),0)
   + IFERROR(VLOOKUP($S366,Kerumitan!A:B,2,FALSE),0),
IF($M366="PER-M",
   ($O366 * $J366 * $K366)
   + IFERROR(VLOOKUP($R366,Finishing!A:B,2,FALSE),0)
   + IFERROR(VLOOKUP($S366,Kerumitan!A:B,2,FALSE),0),
0)))</f>
        <v>15454600</v>
      </c>
    </row>
    <row r="367" spans="1:20" x14ac:dyDescent="0.45">
      <c r="A367" t="s">
        <v>464</v>
      </c>
      <c r="B367" s="5">
        <v>45659</v>
      </c>
      <c r="C367">
        <f t="shared" si="5"/>
        <v>2025</v>
      </c>
      <c r="D367" t="s">
        <v>49</v>
      </c>
      <c r="E367" t="s">
        <v>32</v>
      </c>
      <c r="F367" t="s">
        <v>8</v>
      </c>
      <c r="G367" t="s">
        <v>13</v>
      </c>
      <c r="H367" t="s">
        <v>612</v>
      </c>
      <c r="I367">
        <v>1.2</v>
      </c>
      <c r="J367">
        <v>0</v>
      </c>
      <c r="K367">
        <v>1</v>
      </c>
      <c r="L367">
        <v>7</v>
      </c>
      <c r="M367" t="str" cm="1">
        <f t="array" ref="M367">_xlfn.IFS(
   OR($F367="Pagar", $F367="Pintu Gerbang", $F367="Pintu Handerson", $F367="Kanopi"), "PER-M2",
   $F367="Teralis", "PER-LUBANG",
   OR($F367="Railing", $F367="Railing/Balkon"), "PER-M",
   TRUE, ""
)</f>
        <v>PER-LUBANG</v>
      </c>
      <c r="N367" cm="1">
        <f t="array" ref="N367">IF($M367="PER-M2",
  IFERROR(
     _xlfn.IFS(
        $G367="Hollow",
            INDEX('Referensi Harga'!$C:$C,
                  MATCH($F367&amp;$C367,'Referensi Harga'!$A:$A&amp;'Referensi Harga'!$B:$B,0)),
        $G367="Hollow Stainless",
            INDEX('Referensi Harga'!$D:$D,
                  MATCH($F367&amp;$C367,'Referensi Harga'!$A:$A&amp;'Referensi Harga'!$B:$B,0)),
        $G367="Pipa Stainless",
            INDEX('Referensi Harga'!$E:$E,
                  MATCH($F367&amp;$C367,'Referensi Harga'!$A:$A&amp;'Referensi Harga'!$B:$B,0))
     ),0)
  + IFERROR(VLOOKUP($H367,'Profile Size'!$A:$B,2,FALSE),0)
  + IFERROR(VLOOKUP($I367,'Ketebalan Material'!$A:$B,2,FALSE),0),
0)</f>
        <v>0</v>
      </c>
      <c r="O367">
        <f>IF($M367="PER-M",
  IFERROR(
    IF($G367="Hollow",
       INDEX('Referensi Harga'!$C:$C, MATCH($F367 &amp; "|" &amp; $C367, 'Referensi Harga'!$F:$F, 0)),
    IF($G367="Hollow Stainless",
       INDEX('Referensi Harga'!$D:$D, MATCH($F367 &amp; "|" &amp; $C367, 'Referensi Harga'!$F:$F, 0)),
       INDEX('Referensi Harga'!$E:$E, MATCH($F367 &amp; "|" &amp; $C367, 'Referensi Harga'!$F:$F, 0))
    ))
    + IFERROR(VLOOKUP($H367, 'Profile Size'!$A:$B, 2, FALSE), 0)
    + IFERROR(VLOOKUP($I367, 'Ketebalan Material'!$A:$B, 2, FALSE), 0), 0),
0)</f>
        <v>0</v>
      </c>
      <c r="P367" cm="1">
        <f t="array" ref="P367">IF($M367="PER-LUBANG",
  IFERROR(
     _xlfn.IFS(
        $G367="Hollow",
            INDEX('Referensi Harga'!$C:$C,
                  MATCH($F367&amp;$C367,'Referensi Harga'!$A:$A&amp;'Referensi Harga'!$B:$B,0)),
        $G367="Hollow Stainless",
            INDEX('Referensi Harga'!$D:$D,
                  MATCH($F367&amp;$C367,'Referensi Harga'!$A:$A&amp;'Referensi Harga'!$B:$B,0)),
        $G367="Pipa Stainless",
            INDEX('Referensi Harga'!$E:$E,
                  MATCH($F367&amp;$C367,'Referensi Harga'!$A:$A&amp;'Referensi Harga'!$B:$B,0))
     ),0)
  + IFERROR(VLOOKUP($H367,'Profile Size'!$A:$B,2,FALSE),0)
  + IFERROR(VLOOKUP($I367,'Ketebalan Material'!$A:$B,2,FALSE),0),
0)</f>
        <v>450000</v>
      </c>
      <c r="Q367">
        <f>IF($M367="PER-M2",
    IFERROR(
        SUMIFS('Upah Tenaga Ahli'!$C:$C,
               'Upah Tenaga Ahli'!$A:$A,"PER-M2",
               'Upah Tenaga Ahli'!$B:$B,$G367
        ) * $J367 * $K367,
    0),
IF($M367="PER-LUBANG",
    IFERROR(
        SUMIFS('Upah Tenaga Ahli'!$D:$D,
               'Upah Tenaga Ahli'!$A:$A,"PER-LUBANG",
               'Upah Tenaga Ahli'!$B:$B,$G367
        ) * $L367 * $K367,
    0),
IF($M367="PER-M",
    IFERROR(
        SUMIFS('Upah Tenaga Ahli'!$E:$E,
               'Upah Tenaga Ahli'!$A:$A,"PER-M",
               'Upah Tenaga Ahli'!$B:$B,$G367
        ) * $J367 * $K367,
    0),
0)))</f>
        <v>525000</v>
      </c>
      <c r="R367" t="s">
        <v>18</v>
      </c>
      <c r="S367" t="s">
        <v>23</v>
      </c>
      <c r="T367">
        <f>IF($M367="PER-M2",
   ($N367 * $J367 * $K367)
   + IFERROR(VLOOKUP($R367,Finishing!A:B,2,FALSE),0)
   + IFERROR(VLOOKUP($S367,Kerumitan!A:B,2,FALSE),0),
IF($M367="PER-LUBANG",
   ($P367 * $L367 * $K367)
   + IFERROR(VLOOKUP($R367,Finishing!A:B,2,FALSE),0)
   + IFERROR(VLOOKUP($S367,Kerumitan!A:B,2,FALSE),0),
IF($M367="PER-M",
   ($O367 * $J367 * $K367)
   + IFERROR(VLOOKUP($R367,Finishing!A:B,2,FALSE),0)
   + IFERROR(VLOOKUP($S367,Kerumitan!A:B,2,FALSE),0),
0)))</f>
        <v>3150000</v>
      </c>
    </row>
    <row r="368" spans="1:20" x14ac:dyDescent="0.45">
      <c r="A368" t="s">
        <v>465</v>
      </c>
      <c r="B368" s="5">
        <v>44188</v>
      </c>
      <c r="C368">
        <f t="shared" si="5"/>
        <v>2020</v>
      </c>
      <c r="D368" t="s">
        <v>49</v>
      </c>
      <c r="E368" t="s">
        <v>28</v>
      </c>
      <c r="F368" t="s">
        <v>10</v>
      </c>
      <c r="G368" t="s">
        <v>14</v>
      </c>
      <c r="H368" t="s">
        <v>615</v>
      </c>
      <c r="I368">
        <v>0.8</v>
      </c>
      <c r="J368">
        <v>4.17</v>
      </c>
      <c r="K368">
        <v>2</v>
      </c>
      <c r="L368">
        <v>0</v>
      </c>
      <c r="M368" t="str" cm="1">
        <f t="array" ref="M368">_xlfn.IFS(
   OR($F368="Pagar", $F368="Pintu Gerbang", $F368="Pintu Handerson", $F368="Kanopi"), "PER-M2",
   $F368="Teralis", "PER-LUBANG",
   OR($F368="Railing", $F368="Railing/Balkon"), "PER-M",
   TRUE, ""
)</f>
        <v>PER-M2</v>
      </c>
      <c r="N368" cm="1">
        <f t="array" ref="N368">IF($M368="PER-M2",
  IFERROR(
     _xlfn.IFS(
        $G368="Hollow",
            INDEX('Referensi Harga'!$C:$C,
                  MATCH($F368&amp;$C368,'Referensi Harga'!$A:$A&amp;'Referensi Harga'!$B:$B,0)),
        $G368="Hollow Stainless",
            INDEX('Referensi Harga'!$D:$D,
                  MATCH($F368&amp;$C368,'Referensi Harga'!$A:$A&amp;'Referensi Harga'!$B:$B,0)),
        $G368="Pipa Stainless",
            INDEX('Referensi Harga'!$E:$E,
                  MATCH($F368&amp;$C368,'Referensi Harga'!$A:$A&amp;'Referensi Harga'!$B:$B,0))
     ),0)
  + IFERROR(VLOOKUP($H368,'Profile Size'!$A:$B,2,FALSE),0)
  + IFERROR(VLOOKUP($I368,'Ketebalan Material'!$A:$B,2,FALSE),0),
0)</f>
        <v>1350000</v>
      </c>
      <c r="O368">
        <f>IF($M368="PER-M",
  IFERROR(
    IF($G368="Hollow",
       INDEX('Referensi Harga'!$C:$C, MATCH($F368 &amp; "|" &amp; $C368, 'Referensi Harga'!$F:$F, 0)),
    IF($G368="Hollow Stainless",
       INDEX('Referensi Harga'!$D:$D, MATCH($F368 &amp; "|" &amp; $C368, 'Referensi Harga'!$F:$F, 0)),
       INDEX('Referensi Harga'!$E:$E, MATCH($F368 &amp; "|" &amp; $C368, 'Referensi Harga'!$F:$F, 0))
    ))
    + IFERROR(VLOOKUP($H368, 'Profile Size'!$A:$B, 2, FALSE), 0)
    + IFERROR(VLOOKUP($I368, 'Ketebalan Material'!$A:$B, 2, FALSE), 0), 0),
0)</f>
        <v>0</v>
      </c>
      <c r="P368" cm="1">
        <f t="array" ref="P368">IF($M368="PER-LUBANG",
  IFERROR(
     _xlfn.IFS(
        $G368="Hollow",
            INDEX('Referensi Harga'!$C:$C,
                  MATCH($F368&amp;$C368,'Referensi Harga'!$A:$A&amp;'Referensi Harga'!$B:$B,0)),
        $G368="Hollow Stainless",
            INDEX('Referensi Harga'!$D:$D,
                  MATCH($F368&amp;$C368,'Referensi Harga'!$A:$A&amp;'Referensi Harga'!$B:$B,0)),
        $G368="Pipa Stainless",
            INDEX('Referensi Harga'!$E:$E,
                  MATCH($F368&amp;$C368,'Referensi Harga'!$A:$A&amp;'Referensi Harga'!$B:$B,0))
     ),0)
  + IFERROR(VLOOKUP($H368,'Profile Size'!$A:$B,2,FALSE),0)
  + IFERROR(VLOOKUP($I368,'Ketebalan Material'!$A:$B,2,FALSE),0),
0)</f>
        <v>0</v>
      </c>
      <c r="Q368">
        <f>IF($M368="PER-M2",
    IFERROR(
        SUMIFS('Upah Tenaga Ahli'!$C:$C,
               'Upah Tenaga Ahli'!$A:$A,"PER-M2",
               'Upah Tenaga Ahli'!$B:$B,$G368
        ) * $J368 * $K368,
    0),
IF($M368="PER-LUBANG",
    IFERROR(
        SUMIFS('Upah Tenaga Ahli'!$D:$D,
               'Upah Tenaga Ahli'!$A:$A,"PER-LUBANG",
               'Upah Tenaga Ahli'!$B:$B,$G368
        ) * $L368 * $K368,
    0),
IF($M368="PER-M",
    IFERROR(
        SUMIFS('Upah Tenaga Ahli'!$E:$E,
               'Upah Tenaga Ahli'!$A:$A,"PER-M",
               'Upah Tenaga Ahli'!$B:$B,$G368
        ) * $J368 * $K368,
    0),
0)))</f>
        <v>1668000</v>
      </c>
      <c r="R368" t="s">
        <v>617</v>
      </c>
      <c r="S368" t="s">
        <v>24</v>
      </c>
      <c r="T368">
        <f>IF($M368="PER-M2",
   ($N368 * $J368 * $K368)
   + IFERROR(VLOOKUP($R368,Finishing!A:B,2,FALSE),0)
   + IFERROR(VLOOKUP($S368,Kerumitan!A:B,2,FALSE),0),
IF($M368="PER-LUBANG",
   ($P368 * $L368 * $K368)
   + IFERROR(VLOOKUP($R368,Finishing!A:B,2,FALSE),0)
   + IFERROR(VLOOKUP($S368,Kerumitan!A:B,2,FALSE),0),
IF($M368="PER-M",
   ($O368 * $J368 * $K368)
   + IFERROR(VLOOKUP($R368,Finishing!A:B,2,FALSE),0)
   + IFERROR(VLOOKUP($S368,Kerumitan!A:B,2,FALSE),0),
0)))</f>
        <v>11359000</v>
      </c>
    </row>
    <row r="369" spans="1:20" x14ac:dyDescent="0.45">
      <c r="A369" t="s">
        <v>466</v>
      </c>
      <c r="B369" s="5">
        <v>44351</v>
      </c>
      <c r="C369">
        <f t="shared" si="5"/>
        <v>2021</v>
      </c>
      <c r="D369" t="s">
        <v>129</v>
      </c>
      <c r="E369" t="s">
        <v>121</v>
      </c>
      <c r="F369" t="s">
        <v>4</v>
      </c>
      <c r="G369" t="s">
        <v>14</v>
      </c>
      <c r="H369" t="s">
        <v>615</v>
      </c>
      <c r="I369">
        <v>0.8</v>
      </c>
      <c r="J369">
        <v>16.41</v>
      </c>
      <c r="K369">
        <v>1</v>
      </c>
      <c r="L369">
        <v>0</v>
      </c>
      <c r="M369" t="str" cm="1">
        <f t="array" ref="M369">_xlfn.IFS(
   OR($F369="Pagar", $F369="Pintu Gerbang", $F369="Pintu Handerson", $F369="Kanopi"), "PER-M2",
   $F369="Teralis", "PER-LUBANG",
   OR($F369="Railing", $F369="Railing/Balkon"), "PER-M",
   TRUE, ""
)</f>
        <v>PER-M2</v>
      </c>
      <c r="N369" cm="1">
        <f t="array" ref="N369">IF($M369="PER-M2",
  IFERROR(
     _xlfn.IFS(
        $G369="Hollow",
            INDEX('Referensi Harga'!$C:$C,
                  MATCH($F369&amp;$C369,'Referensi Harga'!$A:$A&amp;'Referensi Harga'!$B:$B,0)),
        $G369="Hollow Stainless",
            INDEX('Referensi Harga'!$D:$D,
                  MATCH($F369&amp;$C369,'Referensi Harga'!$A:$A&amp;'Referensi Harga'!$B:$B,0)),
        $G369="Pipa Stainless",
            INDEX('Referensi Harga'!$E:$E,
                  MATCH($F369&amp;$C369,'Referensi Harga'!$A:$A&amp;'Referensi Harga'!$B:$B,0))
     ),0)
  + IFERROR(VLOOKUP($H369,'Profile Size'!$A:$B,2,FALSE),0)
  + IFERROR(VLOOKUP($I369,'Ketebalan Material'!$A:$B,2,FALSE),0),
0)</f>
        <v>1000000</v>
      </c>
      <c r="O369">
        <f>IF($M369="PER-M",
  IFERROR(
    IF($G369="Hollow",
       INDEX('Referensi Harga'!$C:$C, MATCH($F369 &amp; "|" &amp; $C369, 'Referensi Harga'!$F:$F, 0)),
    IF($G369="Hollow Stainless",
       INDEX('Referensi Harga'!$D:$D, MATCH($F369 &amp; "|" &amp; $C369, 'Referensi Harga'!$F:$F, 0)),
       INDEX('Referensi Harga'!$E:$E, MATCH($F369 &amp; "|" &amp; $C369, 'Referensi Harga'!$F:$F, 0))
    ))
    + IFERROR(VLOOKUP($H369, 'Profile Size'!$A:$B, 2, FALSE), 0)
    + IFERROR(VLOOKUP($I369, 'Ketebalan Material'!$A:$B, 2, FALSE), 0), 0),
0)</f>
        <v>0</v>
      </c>
      <c r="P369" cm="1">
        <f t="array" ref="P369">IF($M369="PER-LUBANG",
  IFERROR(
     _xlfn.IFS(
        $G369="Hollow",
            INDEX('Referensi Harga'!$C:$C,
                  MATCH($F369&amp;$C369,'Referensi Harga'!$A:$A&amp;'Referensi Harga'!$B:$B,0)),
        $G369="Hollow Stainless",
            INDEX('Referensi Harga'!$D:$D,
                  MATCH($F369&amp;$C369,'Referensi Harga'!$A:$A&amp;'Referensi Harga'!$B:$B,0)),
        $G369="Pipa Stainless",
            INDEX('Referensi Harga'!$E:$E,
                  MATCH($F369&amp;$C369,'Referensi Harga'!$A:$A&amp;'Referensi Harga'!$B:$B,0))
     ),0)
  + IFERROR(VLOOKUP($H369,'Profile Size'!$A:$B,2,FALSE),0)
  + IFERROR(VLOOKUP($I369,'Ketebalan Material'!$A:$B,2,FALSE),0),
0)</f>
        <v>0</v>
      </c>
      <c r="Q369">
        <f>IF($M369="PER-M2",
    IFERROR(
        SUMIFS('Upah Tenaga Ahli'!$C:$C,
               'Upah Tenaga Ahli'!$A:$A,"PER-M2",
               'Upah Tenaga Ahli'!$B:$B,$G369
        ) * $J369 * $K369,
    0),
IF($M369="PER-LUBANG",
    IFERROR(
        SUMIFS('Upah Tenaga Ahli'!$D:$D,
               'Upah Tenaga Ahli'!$A:$A,"PER-LUBANG",
               'Upah Tenaga Ahli'!$B:$B,$G369
        ) * $L369 * $K369,
    0),
IF($M369="PER-M",
    IFERROR(
        SUMIFS('Upah Tenaga Ahli'!$E:$E,
               'Upah Tenaga Ahli'!$A:$A,"PER-M",
               'Upah Tenaga Ahli'!$B:$B,$G369
        ) * $J369 * $K369,
    0),
0)))</f>
        <v>3282000</v>
      </c>
      <c r="R369" t="s">
        <v>617</v>
      </c>
      <c r="S369" t="s">
        <v>23</v>
      </c>
      <c r="T369">
        <f>IF($M369="PER-M2",
   ($N369 * $J369 * $K369)
   + IFERROR(VLOOKUP($R369,Finishing!A:B,2,FALSE),0)
   + IFERROR(VLOOKUP($S369,Kerumitan!A:B,2,FALSE),0),
IF($M369="PER-LUBANG",
   ($P369 * $L369 * $K369)
   + IFERROR(VLOOKUP($R369,Finishing!A:B,2,FALSE),0)
   + IFERROR(VLOOKUP($S369,Kerumitan!A:B,2,FALSE),0),
IF($M369="PER-M",
   ($O369 * $J369 * $K369)
   + IFERROR(VLOOKUP($R369,Finishing!A:B,2,FALSE),0)
   + IFERROR(VLOOKUP($S369,Kerumitan!A:B,2,FALSE),0),
0)))</f>
        <v>16410000</v>
      </c>
    </row>
    <row r="370" spans="1:20" x14ac:dyDescent="0.45">
      <c r="A370" t="s">
        <v>467</v>
      </c>
      <c r="B370" s="5">
        <v>46009</v>
      </c>
      <c r="C370">
        <f t="shared" si="5"/>
        <v>2025</v>
      </c>
      <c r="D370" t="s">
        <v>103</v>
      </c>
      <c r="E370" t="s">
        <v>41</v>
      </c>
      <c r="F370" t="s">
        <v>8</v>
      </c>
      <c r="G370" t="s">
        <v>15</v>
      </c>
      <c r="H370" t="s">
        <v>612</v>
      </c>
      <c r="I370">
        <v>1.2</v>
      </c>
      <c r="J370">
        <v>0</v>
      </c>
      <c r="K370">
        <v>1</v>
      </c>
      <c r="L370">
        <v>10</v>
      </c>
      <c r="M370" t="str" cm="1">
        <f t="array" ref="M370">_xlfn.IFS(
   OR($F370="Pagar", $F370="Pintu Gerbang", $F370="Pintu Handerson", $F370="Kanopi"), "PER-M2",
   $F370="Teralis", "PER-LUBANG",
   OR($F370="Railing", $F370="Railing/Balkon"), "PER-M",
   TRUE, ""
)</f>
        <v>PER-LUBANG</v>
      </c>
      <c r="N370" cm="1">
        <f t="array" ref="N370">IF($M370="PER-M2",
  IFERROR(
     _xlfn.IFS(
        $G370="Hollow",
            INDEX('Referensi Harga'!$C:$C,
                  MATCH($F370&amp;$C370,'Referensi Harga'!$A:$A&amp;'Referensi Harga'!$B:$B,0)),
        $G370="Hollow Stainless",
            INDEX('Referensi Harga'!$D:$D,
                  MATCH($F370&amp;$C370,'Referensi Harga'!$A:$A&amp;'Referensi Harga'!$B:$B,0)),
        $G370="Pipa Stainless",
            INDEX('Referensi Harga'!$E:$E,
                  MATCH($F370&amp;$C370,'Referensi Harga'!$A:$A&amp;'Referensi Harga'!$B:$B,0))
     ),0)
  + IFERROR(VLOOKUP($H370,'Profile Size'!$A:$B,2,FALSE),0)
  + IFERROR(VLOOKUP($I370,'Ketebalan Material'!$A:$B,2,FALSE),0),
0)</f>
        <v>0</v>
      </c>
      <c r="O370">
        <f>IF($M370="PER-M",
  IFERROR(
    IF($G370="Hollow",
       INDEX('Referensi Harga'!$C:$C, MATCH($F370 &amp; "|" &amp; $C370, 'Referensi Harga'!$F:$F, 0)),
    IF($G370="Hollow Stainless",
       INDEX('Referensi Harga'!$D:$D, MATCH($F370 &amp; "|" &amp; $C370, 'Referensi Harga'!$F:$F, 0)),
       INDEX('Referensi Harga'!$E:$E, MATCH($F370 &amp; "|" &amp; $C370, 'Referensi Harga'!$F:$F, 0))
    ))
    + IFERROR(VLOOKUP($H370, 'Profile Size'!$A:$B, 2, FALSE), 0)
    + IFERROR(VLOOKUP($I370, 'Ketebalan Material'!$A:$B, 2, FALSE), 0), 0),
0)</f>
        <v>0</v>
      </c>
      <c r="P370" cm="1">
        <f t="array" ref="P370">IF($M370="PER-LUBANG",
  IFERROR(
     _xlfn.IFS(
        $G370="Hollow",
            INDEX('Referensi Harga'!$C:$C,
                  MATCH($F370&amp;$C370,'Referensi Harga'!$A:$A&amp;'Referensi Harga'!$B:$B,0)),
        $G370="Hollow Stainless",
            INDEX('Referensi Harga'!$D:$D,
                  MATCH($F370&amp;$C370,'Referensi Harga'!$A:$A&amp;'Referensi Harga'!$B:$B,0)),
        $G370="Pipa Stainless",
            INDEX('Referensi Harga'!$E:$E,
                  MATCH($F370&amp;$C370,'Referensi Harga'!$A:$A&amp;'Referensi Harga'!$B:$B,0))
     ),0)
  + IFERROR(VLOOKUP($H370,'Profile Size'!$A:$B,2,FALSE),0)
  + IFERROR(VLOOKUP($I370,'Ketebalan Material'!$A:$B,2,FALSE),0),
0)</f>
        <v>900000</v>
      </c>
      <c r="Q370">
        <f>IF($M370="PER-M2",
    IFERROR(
        SUMIFS('Upah Tenaga Ahli'!$C:$C,
               'Upah Tenaga Ahli'!$A:$A,"PER-M2",
               'Upah Tenaga Ahli'!$B:$B,$G370
        ) * $J370 * $K370,
    0),
IF($M370="PER-LUBANG",
    IFERROR(
        SUMIFS('Upah Tenaga Ahli'!$D:$D,
               'Upah Tenaga Ahli'!$A:$A,"PER-LUBANG",
               'Upah Tenaga Ahli'!$B:$B,$G370
        ) * $L370 * $K370,
    0),
IF($M370="PER-M",
    IFERROR(
        SUMIFS('Upah Tenaga Ahli'!$E:$E,
               'Upah Tenaga Ahli'!$A:$A,"PER-M",
               'Upah Tenaga Ahli'!$B:$B,$G370
        ) * $J370 * $K370,
    0),
0)))</f>
        <v>1500000</v>
      </c>
      <c r="R370" t="s">
        <v>617</v>
      </c>
      <c r="S370" t="s">
        <v>24</v>
      </c>
      <c r="T370">
        <f>IF($M370="PER-M2",
   ($N370 * $J370 * $K370)
   + IFERROR(VLOOKUP($R370,Finishing!A:B,2,FALSE),0)
   + IFERROR(VLOOKUP($S370,Kerumitan!A:B,2,FALSE),0),
IF($M370="PER-LUBANG",
   ($P370 * $L370 * $K370)
   + IFERROR(VLOOKUP($R370,Finishing!A:B,2,FALSE),0)
   + IFERROR(VLOOKUP($S370,Kerumitan!A:B,2,FALSE),0),
IF($M370="PER-M",
   ($O370 * $J370 * $K370)
   + IFERROR(VLOOKUP($R370,Finishing!A:B,2,FALSE),0)
   + IFERROR(VLOOKUP($S370,Kerumitan!A:B,2,FALSE),0),
0)))</f>
        <v>9100000</v>
      </c>
    </row>
    <row r="371" spans="1:20" x14ac:dyDescent="0.45">
      <c r="A371" t="s">
        <v>468</v>
      </c>
      <c r="B371" s="5">
        <v>45334</v>
      </c>
      <c r="C371">
        <f t="shared" si="5"/>
        <v>2024</v>
      </c>
      <c r="D371" t="s">
        <v>110</v>
      </c>
      <c r="E371" t="s">
        <v>91</v>
      </c>
      <c r="F371" t="s">
        <v>10</v>
      </c>
      <c r="G371" t="s">
        <v>14</v>
      </c>
      <c r="H371" t="s">
        <v>615</v>
      </c>
      <c r="I371">
        <v>1.2</v>
      </c>
      <c r="J371">
        <v>5.12</v>
      </c>
      <c r="K371">
        <v>2</v>
      </c>
      <c r="L371">
        <v>0</v>
      </c>
      <c r="M371" t="str" cm="1">
        <f t="array" ref="M371">_xlfn.IFS(
   OR($F371="Pagar", $F371="Pintu Gerbang", $F371="Pintu Handerson", $F371="Kanopi"), "PER-M2",
   $F371="Teralis", "PER-LUBANG",
   OR($F371="Railing", $F371="Railing/Balkon"), "PER-M",
   TRUE, ""
)</f>
        <v>PER-M2</v>
      </c>
      <c r="N371" cm="1">
        <f t="array" ref="N371">IF($M371="PER-M2",
  IFERROR(
     _xlfn.IFS(
        $G371="Hollow",
            INDEX('Referensi Harga'!$C:$C,
                  MATCH($F371&amp;$C371,'Referensi Harga'!$A:$A&amp;'Referensi Harga'!$B:$B,0)),
        $G371="Hollow Stainless",
            INDEX('Referensi Harga'!$D:$D,
                  MATCH($F371&amp;$C371,'Referensi Harga'!$A:$A&amp;'Referensi Harga'!$B:$B,0)),
        $G371="Pipa Stainless",
            INDEX('Referensi Harga'!$E:$E,
                  MATCH($F371&amp;$C371,'Referensi Harga'!$A:$A&amp;'Referensi Harga'!$B:$B,0))
     ),0)
  + IFERROR(VLOOKUP($H371,'Profile Size'!$A:$B,2,FALSE),0)
  + IFERROR(VLOOKUP($I371,'Ketebalan Material'!$A:$B,2,FALSE),0),
0)</f>
        <v>1650000</v>
      </c>
      <c r="O371">
        <f>IF($M371="PER-M",
  IFERROR(
    IF($G371="Hollow",
       INDEX('Referensi Harga'!$C:$C, MATCH($F371 &amp; "|" &amp; $C371, 'Referensi Harga'!$F:$F, 0)),
    IF($G371="Hollow Stainless",
       INDEX('Referensi Harga'!$D:$D, MATCH($F371 &amp; "|" &amp; $C371, 'Referensi Harga'!$F:$F, 0)),
       INDEX('Referensi Harga'!$E:$E, MATCH($F371 &amp; "|" &amp; $C371, 'Referensi Harga'!$F:$F, 0))
    ))
    + IFERROR(VLOOKUP($H371, 'Profile Size'!$A:$B, 2, FALSE), 0)
    + IFERROR(VLOOKUP($I371, 'Ketebalan Material'!$A:$B, 2, FALSE), 0), 0),
0)</f>
        <v>0</v>
      </c>
      <c r="P371" cm="1">
        <f t="array" ref="P371">IF($M371="PER-LUBANG",
  IFERROR(
     _xlfn.IFS(
        $G371="Hollow",
            INDEX('Referensi Harga'!$C:$C,
                  MATCH($F371&amp;$C371,'Referensi Harga'!$A:$A&amp;'Referensi Harga'!$B:$B,0)),
        $G371="Hollow Stainless",
            INDEX('Referensi Harga'!$D:$D,
                  MATCH($F371&amp;$C371,'Referensi Harga'!$A:$A&amp;'Referensi Harga'!$B:$B,0)),
        $G371="Pipa Stainless",
            INDEX('Referensi Harga'!$E:$E,
                  MATCH($F371&amp;$C371,'Referensi Harga'!$A:$A&amp;'Referensi Harga'!$B:$B,0))
     ),0)
  + IFERROR(VLOOKUP($H371,'Profile Size'!$A:$B,2,FALSE),0)
  + IFERROR(VLOOKUP($I371,'Ketebalan Material'!$A:$B,2,FALSE),0),
0)</f>
        <v>0</v>
      </c>
      <c r="Q371">
        <f>IF($M371="PER-M2",
    IFERROR(
        SUMIFS('Upah Tenaga Ahli'!$C:$C,
               'Upah Tenaga Ahli'!$A:$A,"PER-M2",
               'Upah Tenaga Ahli'!$B:$B,$G371
        ) * $J371 * $K371,
    0),
IF($M371="PER-LUBANG",
    IFERROR(
        SUMIFS('Upah Tenaga Ahli'!$D:$D,
               'Upah Tenaga Ahli'!$A:$A,"PER-LUBANG",
               'Upah Tenaga Ahli'!$B:$B,$G371
        ) * $L371 * $K371,
    0),
IF($M371="PER-M",
    IFERROR(
        SUMIFS('Upah Tenaga Ahli'!$E:$E,
               'Upah Tenaga Ahli'!$A:$A,"PER-M",
               'Upah Tenaga Ahli'!$B:$B,$G371
        ) * $J371 * $K371,
    0),
0)))</f>
        <v>2048000</v>
      </c>
      <c r="R371" t="s">
        <v>617</v>
      </c>
      <c r="S371" t="s">
        <v>25</v>
      </c>
      <c r="T371">
        <f>IF($M371="PER-M2",
   ($N371 * $J371 * $K371)
   + IFERROR(VLOOKUP($R371,Finishing!A:B,2,FALSE),0)
   + IFERROR(VLOOKUP($S371,Kerumitan!A:B,2,FALSE),0),
IF($M371="PER-LUBANG",
   ($P371 * $L371 * $K371)
   + IFERROR(VLOOKUP($R371,Finishing!A:B,2,FALSE),0)
   + IFERROR(VLOOKUP($S371,Kerumitan!A:B,2,FALSE),0),
IF($M371="PER-M",
   ($O371 * $J371 * $K371)
   + IFERROR(VLOOKUP($R371,Finishing!A:B,2,FALSE),0)
   + IFERROR(VLOOKUP($S371,Kerumitan!A:B,2,FALSE),0),
0)))</f>
        <v>17046000</v>
      </c>
    </row>
    <row r="372" spans="1:20" x14ac:dyDescent="0.45">
      <c r="A372" t="s">
        <v>469</v>
      </c>
      <c r="B372" s="5">
        <v>43585</v>
      </c>
      <c r="C372">
        <f t="shared" si="5"/>
        <v>2019</v>
      </c>
      <c r="D372" t="s">
        <v>288</v>
      </c>
      <c r="E372" t="s">
        <v>41</v>
      </c>
      <c r="F372" t="s">
        <v>7</v>
      </c>
      <c r="G372" t="s">
        <v>13</v>
      </c>
      <c r="H372" t="s">
        <v>33</v>
      </c>
      <c r="I372">
        <v>1</v>
      </c>
      <c r="J372">
        <v>5.69</v>
      </c>
      <c r="K372">
        <v>1</v>
      </c>
      <c r="L372">
        <v>0</v>
      </c>
      <c r="M372" t="str" cm="1">
        <f t="array" ref="M372">_xlfn.IFS(
   OR($F372="Pagar", $F372="Pintu Gerbang", $F372="Pintu Handerson", $F372="Kanopi"), "PER-M2",
   $F372="Teralis", "PER-LUBANG",
   OR($F372="Railing", $F372="Railing/Balkon"), "PER-M",
   TRUE, ""
)</f>
        <v>PER-M2</v>
      </c>
      <c r="N372" cm="1">
        <f t="array" ref="N372">IF($M372="PER-M2",
  IFERROR(
     _xlfn.IFS(
        $G372="Hollow",
            INDEX('Referensi Harga'!$C:$C,
                  MATCH($F372&amp;$C372,'Referensi Harga'!$A:$A&amp;'Referensi Harga'!$B:$B,0)),
        $G372="Hollow Stainless",
            INDEX('Referensi Harga'!$D:$D,
                  MATCH($F372&amp;$C372,'Referensi Harga'!$A:$A&amp;'Referensi Harga'!$B:$B,0)),
        $G372="Pipa Stainless",
            INDEX('Referensi Harga'!$E:$E,
                  MATCH($F372&amp;$C372,'Referensi Harga'!$A:$A&amp;'Referensi Harga'!$B:$B,0))
     ),0)
  + IFERROR(VLOOKUP($H372,'Profile Size'!$A:$B,2,FALSE),0)
  + IFERROR(VLOOKUP($I372,'Ketebalan Material'!$A:$B,2,FALSE),0),
0)</f>
        <v>600000</v>
      </c>
      <c r="O372">
        <f>IF($M372="PER-M",
  IFERROR(
    IF($G372="Hollow",
       INDEX('Referensi Harga'!$C:$C, MATCH($F372 &amp; "|" &amp; $C372, 'Referensi Harga'!$F:$F, 0)),
    IF($G372="Hollow Stainless",
       INDEX('Referensi Harga'!$D:$D, MATCH($F372 &amp; "|" &amp; $C372, 'Referensi Harga'!$F:$F, 0)),
       INDEX('Referensi Harga'!$E:$E, MATCH($F372 &amp; "|" &amp; $C372, 'Referensi Harga'!$F:$F, 0))
    ))
    + IFERROR(VLOOKUP($H372, 'Profile Size'!$A:$B, 2, FALSE), 0)
    + IFERROR(VLOOKUP($I372, 'Ketebalan Material'!$A:$B, 2, FALSE), 0), 0),
0)</f>
        <v>0</v>
      </c>
      <c r="P372" cm="1">
        <f t="array" ref="P372">IF($M372="PER-LUBANG",
  IFERROR(
     _xlfn.IFS(
        $G372="Hollow",
            INDEX('Referensi Harga'!$C:$C,
                  MATCH($F372&amp;$C372,'Referensi Harga'!$A:$A&amp;'Referensi Harga'!$B:$B,0)),
        $G372="Hollow Stainless",
            INDEX('Referensi Harga'!$D:$D,
                  MATCH($F372&amp;$C372,'Referensi Harga'!$A:$A&amp;'Referensi Harga'!$B:$B,0)),
        $G372="Pipa Stainless",
            INDEX('Referensi Harga'!$E:$E,
                  MATCH($F372&amp;$C372,'Referensi Harga'!$A:$A&amp;'Referensi Harga'!$B:$B,0))
     ),0)
  + IFERROR(VLOOKUP($H372,'Profile Size'!$A:$B,2,FALSE),0)
  + IFERROR(VLOOKUP($I372,'Ketebalan Material'!$A:$B,2,FALSE),0),
0)</f>
        <v>0</v>
      </c>
      <c r="Q372">
        <f>IF($M372="PER-M2",
    IFERROR(
        SUMIFS('Upah Tenaga Ahli'!$C:$C,
               'Upah Tenaga Ahli'!$A:$A,"PER-M2",
               'Upah Tenaga Ahli'!$B:$B,$G372
        ) * $J372 * $K372,
    0),
IF($M372="PER-LUBANG",
    IFERROR(
        SUMIFS('Upah Tenaga Ahli'!$D:$D,
               'Upah Tenaga Ahli'!$A:$A,"PER-LUBANG",
               'Upah Tenaga Ahli'!$B:$B,$G372
        ) * $L372 * $K372,
    0),
IF($M372="PER-M",
    IFERROR(
        SUMIFS('Upah Tenaga Ahli'!$E:$E,
               'Upah Tenaga Ahli'!$A:$A,"PER-M",
               'Upah Tenaga Ahli'!$B:$B,$G372
        ) * $J372 * $K372,
    0),
0)))</f>
        <v>569000</v>
      </c>
      <c r="R372" t="s">
        <v>19</v>
      </c>
      <c r="S372" t="s">
        <v>24</v>
      </c>
      <c r="T372">
        <f>IF($M372="PER-M2",
   ($N372 * $J372 * $K372)
   + IFERROR(VLOOKUP($R372,Finishing!A:B,2,FALSE),0)
   + IFERROR(VLOOKUP($S372,Kerumitan!A:B,2,FALSE),0),
IF($M372="PER-LUBANG",
   ($P372 * $L372 * $K372)
   + IFERROR(VLOOKUP($R372,Finishing!A:B,2,FALSE),0)
   + IFERROR(VLOOKUP($S372,Kerumitan!A:B,2,FALSE),0),
IF($M372="PER-M",
   ($O372 * $J372 * $K372)
   + IFERROR(VLOOKUP($R372,Finishing!A:B,2,FALSE),0)
   + IFERROR(VLOOKUP($S372,Kerumitan!A:B,2,FALSE),0),
0)))</f>
        <v>3564000.0000000005</v>
      </c>
    </row>
    <row r="373" spans="1:20" x14ac:dyDescent="0.45">
      <c r="A373" t="s">
        <v>470</v>
      </c>
      <c r="B373" s="5">
        <v>44365</v>
      </c>
      <c r="C373">
        <f t="shared" si="5"/>
        <v>2021</v>
      </c>
      <c r="D373" t="s">
        <v>143</v>
      </c>
      <c r="E373" t="s">
        <v>57</v>
      </c>
      <c r="F373" t="s">
        <v>7</v>
      </c>
      <c r="G373" t="s">
        <v>13</v>
      </c>
      <c r="H373" t="s">
        <v>33</v>
      </c>
      <c r="I373">
        <v>1.2</v>
      </c>
      <c r="J373">
        <v>11.93</v>
      </c>
      <c r="K373">
        <v>1</v>
      </c>
      <c r="L373">
        <v>0</v>
      </c>
      <c r="M373" t="str" cm="1">
        <f t="array" ref="M373">_xlfn.IFS(
   OR($F373="Pagar", $F373="Pintu Gerbang", $F373="Pintu Handerson", $F373="Kanopi"), "PER-M2",
   $F373="Teralis", "PER-LUBANG",
   OR($F373="Railing", $F373="Railing/Balkon"), "PER-M",
   TRUE, ""
)</f>
        <v>PER-M2</v>
      </c>
      <c r="N373" cm="1">
        <f t="array" ref="N373">IF($M373="PER-M2",
  IFERROR(
     _xlfn.IFS(
        $G373="Hollow",
            INDEX('Referensi Harga'!$C:$C,
                  MATCH($F373&amp;$C373,'Referensi Harga'!$A:$A&amp;'Referensi Harga'!$B:$B,0)),
        $G373="Hollow Stainless",
            INDEX('Referensi Harga'!$D:$D,
                  MATCH($F373&amp;$C373,'Referensi Harga'!$A:$A&amp;'Referensi Harga'!$B:$B,0)),
        $G373="Pipa Stainless",
            INDEX('Referensi Harga'!$E:$E,
                  MATCH($F373&amp;$C373,'Referensi Harga'!$A:$A&amp;'Referensi Harga'!$B:$B,0))
     ),0)
  + IFERROR(VLOOKUP($H373,'Profile Size'!$A:$B,2,FALSE),0)
  + IFERROR(VLOOKUP($I373,'Ketebalan Material'!$A:$B,2,FALSE),0),
0)</f>
        <v>700000</v>
      </c>
      <c r="O373">
        <f>IF($M373="PER-M",
  IFERROR(
    IF($G373="Hollow",
       INDEX('Referensi Harga'!$C:$C, MATCH($F373 &amp; "|" &amp; $C373, 'Referensi Harga'!$F:$F, 0)),
    IF($G373="Hollow Stainless",
       INDEX('Referensi Harga'!$D:$D, MATCH($F373 &amp; "|" &amp; $C373, 'Referensi Harga'!$F:$F, 0)),
       INDEX('Referensi Harga'!$E:$E, MATCH($F373 &amp; "|" &amp; $C373, 'Referensi Harga'!$F:$F, 0))
    ))
    + IFERROR(VLOOKUP($H373, 'Profile Size'!$A:$B, 2, FALSE), 0)
    + IFERROR(VLOOKUP($I373, 'Ketebalan Material'!$A:$B, 2, FALSE), 0), 0),
0)</f>
        <v>0</v>
      </c>
      <c r="P373" cm="1">
        <f t="array" ref="P373">IF($M373="PER-LUBANG",
  IFERROR(
     _xlfn.IFS(
        $G373="Hollow",
            INDEX('Referensi Harga'!$C:$C,
                  MATCH($F373&amp;$C373,'Referensi Harga'!$A:$A&amp;'Referensi Harga'!$B:$B,0)),
        $G373="Hollow Stainless",
            INDEX('Referensi Harga'!$D:$D,
                  MATCH($F373&amp;$C373,'Referensi Harga'!$A:$A&amp;'Referensi Harga'!$B:$B,0)),
        $G373="Pipa Stainless",
            INDEX('Referensi Harga'!$E:$E,
                  MATCH($F373&amp;$C373,'Referensi Harga'!$A:$A&amp;'Referensi Harga'!$B:$B,0))
     ),0)
  + IFERROR(VLOOKUP($H373,'Profile Size'!$A:$B,2,FALSE),0)
  + IFERROR(VLOOKUP($I373,'Ketebalan Material'!$A:$B,2,FALSE),0),
0)</f>
        <v>0</v>
      </c>
      <c r="Q373">
        <f>IF($M373="PER-M2",
    IFERROR(
        SUMIFS('Upah Tenaga Ahli'!$C:$C,
               'Upah Tenaga Ahli'!$A:$A,"PER-M2",
               'Upah Tenaga Ahli'!$B:$B,$G373
        ) * $J373 * $K373,
    0),
IF($M373="PER-LUBANG",
    IFERROR(
        SUMIFS('Upah Tenaga Ahli'!$D:$D,
               'Upah Tenaga Ahli'!$A:$A,"PER-LUBANG",
               'Upah Tenaga Ahli'!$B:$B,$G373
        ) * $L373 * $K373,
    0),
IF($M373="PER-M",
    IFERROR(
        SUMIFS('Upah Tenaga Ahli'!$E:$E,
               'Upah Tenaga Ahli'!$A:$A,"PER-M",
               'Upah Tenaga Ahli'!$B:$B,$G373
        ) * $J373 * $K373,
    0),
0)))</f>
        <v>1193000</v>
      </c>
      <c r="R373" t="s">
        <v>19</v>
      </c>
      <c r="S373" t="s">
        <v>23</v>
      </c>
      <c r="T373">
        <f>IF($M373="PER-M2",
   ($N373 * $J373 * $K373)
   + IFERROR(VLOOKUP($R373,Finishing!A:B,2,FALSE),0)
   + IFERROR(VLOOKUP($S373,Kerumitan!A:B,2,FALSE),0),
IF($M373="PER-LUBANG",
   ($P373 * $L373 * $K373)
   + IFERROR(VLOOKUP($R373,Finishing!A:B,2,FALSE),0)
   + IFERROR(VLOOKUP($S373,Kerumitan!A:B,2,FALSE),0),
IF($M373="PER-M",
   ($O373 * $J373 * $K373)
   + IFERROR(VLOOKUP($R373,Finishing!A:B,2,FALSE),0)
   + IFERROR(VLOOKUP($S373,Kerumitan!A:B,2,FALSE),0),
0)))</f>
        <v>8401000</v>
      </c>
    </row>
    <row r="374" spans="1:20" x14ac:dyDescent="0.45">
      <c r="A374" t="s">
        <v>471</v>
      </c>
      <c r="B374" s="5">
        <v>44637</v>
      </c>
      <c r="C374">
        <f t="shared" si="5"/>
        <v>2022</v>
      </c>
      <c r="D374" t="s">
        <v>59</v>
      </c>
      <c r="E374" t="s">
        <v>87</v>
      </c>
      <c r="F374" t="s">
        <v>10</v>
      </c>
      <c r="G374" t="s">
        <v>13</v>
      </c>
      <c r="H374" t="s">
        <v>35</v>
      </c>
      <c r="I374">
        <v>0.8</v>
      </c>
      <c r="J374">
        <v>2.83</v>
      </c>
      <c r="K374">
        <v>1</v>
      </c>
      <c r="L374">
        <v>0</v>
      </c>
      <c r="M374" t="str" cm="1">
        <f t="array" ref="M374">_xlfn.IFS(
   OR($F374="Pagar", $F374="Pintu Gerbang", $F374="Pintu Handerson", $F374="Kanopi"), "PER-M2",
   $F374="Teralis", "PER-LUBANG",
   OR($F374="Railing", $F374="Railing/Balkon"), "PER-M",
   TRUE, ""
)</f>
        <v>PER-M2</v>
      </c>
      <c r="N374" cm="1">
        <f t="array" ref="N374">IF($M374="PER-M2",
  IFERROR(
     _xlfn.IFS(
        $G374="Hollow",
            INDEX('Referensi Harga'!$C:$C,
                  MATCH($F374&amp;$C374,'Referensi Harga'!$A:$A&amp;'Referensi Harga'!$B:$B,0)),
        $G374="Hollow Stainless",
            INDEX('Referensi Harga'!$D:$D,
                  MATCH($F374&amp;$C374,'Referensi Harga'!$A:$A&amp;'Referensi Harga'!$B:$B,0)),
        $G374="Pipa Stainless",
            INDEX('Referensi Harga'!$E:$E,
                  MATCH($F374&amp;$C374,'Referensi Harga'!$A:$A&amp;'Referensi Harga'!$B:$B,0))
     ),0)
  + IFERROR(VLOOKUP($H374,'Profile Size'!$A:$B,2,FALSE),0)
  + IFERROR(VLOOKUP($I374,'Ketebalan Material'!$A:$B,2,FALSE),0),
0)</f>
        <v>900000</v>
      </c>
      <c r="O374">
        <f>IF($M374="PER-M",
  IFERROR(
    IF($G374="Hollow",
       INDEX('Referensi Harga'!$C:$C, MATCH($F374 &amp; "|" &amp; $C374, 'Referensi Harga'!$F:$F, 0)),
    IF($G374="Hollow Stainless",
       INDEX('Referensi Harga'!$D:$D, MATCH($F374 &amp; "|" &amp; $C374, 'Referensi Harga'!$F:$F, 0)),
       INDEX('Referensi Harga'!$E:$E, MATCH($F374 &amp; "|" &amp; $C374, 'Referensi Harga'!$F:$F, 0))
    ))
    + IFERROR(VLOOKUP($H374, 'Profile Size'!$A:$B, 2, FALSE), 0)
    + IFERROR(VLOOKUP($I374, 'Ketebalan Material'!$A:$B, 2, FALSE), 0), 0),
0)</f>
        <v>0</v>
      </c>
      <c r="P374" cm="1">
        <f t="array" ref="P374">IF($M374="PER-LUBANG",
  IFERROR(
     _xlfn.IFS(
        $G374="Hollow",
            INDEX('Referensi Harga'!$C:$C,
                  MATCH($F374&amp;$C374,'Referensi Harga'!$A:$A&amp;'Referensi Harga'!$B:$B,0)),
        $G374="Hollow Stainless",
            INDEX('Referensi Harga'!$D:$D,
                  MATCH($F374&amp;$C374,'Referensi Harga'!$A:$A&amp;'Referensi Harga'!$B:$B,0)),
        $G374="Pipa Stainless",
            INDEX('Referensi Harga'!$E:$E,
                  MATCH($F374&amp;$C374,'Referensi Harga'!$A:$A&amp;'Referensi Harga'!$B:$B,0))
     ),0)
  + IFERROR(VLOOKUP($H374,'Profile Size'!$A:$B,2,FALSE),0)
  + IFERROR(VLOOKUP($I374,'Ketebalan Material'!$A:$B,2,FALSE),0),
0)</f>
        <v>0</v>
      </c>
      <c r="Q374">
        <f>IF($M374="PER-M2",
    IFERROR(
        SUMIFS('Upah Tenaga Ahli'!$C:$C,
               'Upah Tenaga Ahli'!$A:$A,"PER-M2",
               'Upah Tenaga Ahli'!$B:$B,$G374
        ) * $J374 * $K374,
    0),
IF($M374="PER-LUBANG",
    IFERROR(
        SUMIFS('Upah Tenaga Ahli'!$D:$D,
               'Upah Tenaga Ahli'!$A:$A,"PER-LUBANG",
               'Upah Tenaga Ahli'!$B:$B,$G374
        ) * $L374 * $K374,
    0),
IF($M374="PER-M",
    IFERROR(
        SUMIFS('Upah Tenaga Ahli'!$E:$E,
               'Upah Tenaga Ahli'!$A:$A,"PER-M",
               'Upah Tenaga Ahli'!$B:$B,$G374
        ) * $J374 * $K374,
    0),
0)))</f>
        <v>283000</v>
      </c>
      <c r="R374" t="s">
        <v>19</v>
      </c>
      <c r="S374" t="s">
        <v>23</v>
      </c>
      <c r="T374">
        <f>IF($M374="PER-M2",
   ($N374 * $J374 * $K374)
   + IFERROR(VLOOKUP($R374,Finishing!A:B,2,FALSE),0)
   + IFERROR(VLOOKUP($S374,Kerumitan!A:B,2,FALSE),0),
IF($M374="PER-LUBANG",
   ($P374 * $L374 * $K374)
   + IFERROR(VLOOKUP($R374,Finishing!A:B,2,FALSE),0)
   + IFERROR(VLOOKUP($S374,Kerumitan!A:B,2,FALSE),0),
IF($M374="PER-M",
   ($O374 * $J374 * $K374)
   + IFERROR(VLOOKUP($R374,Finishing!A:B,2,FALSE),0)
   + IFERROR(VLOOKUP($S374,Kerumitan!A:B,2,FALSE),0),
0)))</f>
        <v>2597000</v>
      </c>
    </row>
    <row r="375" spans="1:20" x14ac:dyDescent="0.45">
      <c r="A375" t="s">
        <v>472</v>
      </c>
      <c r="B375" s="5">
        <v>45765</v>
      </c>
      <c r="C375">
        <f t="shared" si="5"/>
        <v>2025</v>
      </c>
      <c r="D375" t="s">
        <v>56</v>
      </c>
      <c r="E375" t="s">
        <v>87</v>
      </c>
      <c r="F375" t="s">
        <v>6</v>
      </c>
      <c r="G375" t="s">
        <v>13</v>
      </c>
      <c r="H375" t="s">
        <v>33</v>
      </c>
      <c r="I375">
        <v>0.8</v>
      </c>
      <c r="J375">
        <v>23.71</v>
      </c>
      <c r="K375">
        <v>1</v>
      </c>
      <c r="L375">
        <v>0</v>
      </c>
      <c r="M375" t="str" cm="1">
        <f t="array" ref="M375">_xlfn.IFS(
   OR($F375="Pagar", $F375="Pintu Gerbang", $F375="Pintu Handerson", $F375="Kanopi"), "PER-M2",
   $F375="Teralis", "PER-LUBANG",
   OR($F375="Railing", $F375="Railing/Balkon"), "PER-M",
   TRUE, ""
)</f>
        <v>PER-M2</v>
      </c>
      <c r="N375" cm="1">
        <f t="array" ref="N375">IF($M375="PER-M2",
  IFERROR(
     _xlfn.IFS(
        $G375="Hollow",
            INDEX('Referensi Harga'!$C:$C,
                  MATCH($F375&amp;$C375,'Referensi Harga'!$A:$A&amp;'Referensi Harga'!$B:$B,0)),
        $G375="Hollow Stainless",
            INDEX('Referensi Harga'!$D:$D,
                  MATCH($F375&amp;$C375,'Referensi Harga'!$A:$A&amp;'Referensi Harga'!$B:$B,0)),
        $G375="Pipa Stainless",
            INDEX('Referensi Harga'!$E:$E,
                  MATCH($F375&amp;$C375,'Referensi Harga'!$A:$A&amp;'Referensi Harga'!$B:$B,0))
     ),0)
  + IFERROR(VLOOKUP($H375,'Profile Size'!$A:$B,2,FALSE),0)
  + IFERROR(VLOOKUP($I375,'Ketebalan Material'!$A:$B,2,FALSE),0),
0)</f>
        <v>450000</v>
      </c>
      <c r="O375">
        <f>IF($M375="PER-M",
  IFERROR(
    IF($G375="Hollow",
       INDEX('Referensi Harga'!$C:$C, MATCH($F375 &amp; "|" &amp; $C375, 'Referensi Harga'!$F:$F, 0)),
    IF($G375="Hollow Stainless",
       INDEX('Referensi Harga'!$D:$D, MATCH($F375 &amp; "|" &amp; $C375, 'Referensi Harga'!$F:$F, 0)),
       INDEX('Referensi Harga'!$E:$E, MATCH($F375 &amp; "|" &amp; $C375, 'Referensi Harga'!$F:$F, 0))
    ))
    + IFERROR(VLOOKUP($H375, 'Profile Size'!$A:$B, 2, FALSE), 0)
    + IFERROR(VLOOKUP($I375, 'Ketebalan Material'!$A:$B, 2, FALSE), 0), 0),
0)</f>
        <v>0</v>
      </c>
      <c r="P375" cm="1">
        <f t="array" ref="P375">IF($M375="PER-LUBANG",
  IFERROR(
     _xlfn.IFS(
        $G375="Hollow",
            INDEX('Referensi Harga'!$C:$C,
                  MATCH($F375&amp;$C375,'Referensi Harga'!$A:$A&amp;'Referensi Harga'!$B:$B,0)),
        $G375="Hollow Stainless",
            INDEX('Referensi Harga'!$D:$D,
                  MATCH($F375&amp;$C375,'Referensi Harga'!$A:$A&amp;'Referensi Harga'!$B:$B,0)),
        $G375="Pipa Stainless",
            INDEX('Referensi Harga'!$E:$E,
                  MATCH($F375&amp;$C375,'Referensi Harga'!$A:$A&amp;'Referensi Harga'!$B:$B,0))
     ),0)
  + IFERROR(VLOOKUP($H375,'Profile Size'!$A:$B,2,FALSE),0)
  + IFERROR(VLOOKUP($I375,'Ketebalan Material'!$A:$B,2,FALSE),0),
0)</f>
        <v>0</v>
      </c>
      <c r="Q375">
        <f>IF($M375="PER-M2",
    IFERROR(
        SUMIFS('Upah Tenaga Ahli'!$C:$C,
               'Upah Tenaga Ahli'!$A:$A,"PER-M2",
               'Upah Tenaga Ahli'!$B:$B,$G375
        ) * $J375 * $K375,
    0),
IF($M375="PER-LUBANG",
    IFERROR(
        SUMIFS('Upah Tenaga Ahli'!$D:$D,
               'Upah Tenaga Ahli'!$A:$A,"PER-LUBANG",
               'Upah Tenaga Ahli'!$B:$B,$G375
        ) * $L375 * $K375,
    0),
IF($M375="PER-M",
    IFERROR(
        SUMIFS('Upah Tenaga Ahli'!$E:$E,
               'Upah Tenaga Ahli'!$A:$A,"PER-M",
               'Upah Tenaga Ahli'!$B:$B,$G375
        ) * $J375 * $K375,
    0),
0)))</f>
        <v>2371000</v>
      </c>
      <c r="R375" t="s">
        <v>20</v>
      </c>
      <c r="S375" t="s">
        <v>23</v>
      </c>
      <c r="T375">
        <f>IF($M375="PER-M2",
   ($N375 * $J375 * $K375)
   + IFERROR(VLOOKUP($R375,Finishing!A:B,2,FALSE),0)
   + IFERROR(VLOOKUP($S375,Kerumitan!A:B,2,FALSE),0),
IF($M375="PER-LUBANG",
   ($P375 * $L375 * $K375)
   + IFERROR(VLOOKUP($R375,Finishing!A:B,2,FALSE),0)
   + IFERROR(VLOOKUP($S375,Kerumitan!A:B,2,FALSE),0),
IF($M375="PER-M",
   ($O375 * $J375 * $K375)
   + IFERROR(VLOOKUP($R375,Finishing!A:B,2,FALSE),0)
   + IFERROR(VLOOKUP($S375,Kerumitan!A:B,2,FALSE),0),
0)))</f>
        <v>10819500</v>
      </c>
    </row>
    <row r="376" spans="1:20" x14ac:dyDescent="0.45">
      <c r="A376" t="s">
        <v>473</v>
      </c>
      <c r="B376" s="5">
        <v>44927</v>
      </c>
      <c r="C376">
        <f t="shared" si="5"/>
        <v>2023</v>
      </c>
      <c r="D376" t="s">
        <v>110</v>
      </c>
      <c r="E376" t="s">
        <v>32</v>
      </c>
      <c r="F376" t="s">
        <v>7</v>
      </c>
      <c r="G376" t="s">
        <v>13</v>
      </c>
      <c r="H376" t="s">
        <v>33</v>
      </c>
      <c r="I376">
        <v>0.8</v>
      </c>
      <c r="J376">
        <v>8.23</v>
      </c>
      <c r="K376">
        <v>1</v>
      </c>
      <c r="L376">
        <v>0</v>
      </c>
      <c r="M376" t="str" cm="1">
        <f t="array" ref="M376">_xlfn.IFS(
   OR($F376="Pagar", $F376="Pintu Gerbang", $F376="Pintu Handerson", $F376="Kanopi"), "PER-M2",
   $F376="Teralis", "PER-LUBANG",
   OR($F376="Railing", $F376="Railing/Balkon"), "PER-M",
   TRUE, ""
)</f>
        <v>PER-M2</v>
      </c>
      <c r="N376" cm="1">
        <f t="array" ref="N376">IF($M376="PER-M2",
  IFERROR(
     _xlfn.IFS(
        $G376="Hollow",
            INDEX('Referensi Harga'!$C:$C,
                  MATCH($F376&amp;$C376,'Referensi Harga'!$A:$A&amp;'Referensi Harga'!$B:$B,0)),
        $G376="Hollow Stainless",
            INDEX('Referensi Harga'!$D:$D,
                  MATCH($F376&amp;$C376,'Referensi Harga'!$A:$A&amp;'Referensi Harga'!$B:$B,0)),
        $G376="Pipa Stainless",
            INDEX('Referensi Harga'!$E:$E,
                  MATCH($F376&amp;$C376,'Referensi Harga'!$A:$A&amp;'Referensi Harga'!$B:$B,0))
     ),0)
  + IFERROR(VLOOKUP($H376,'Profile Size'!$A:$B,2,FALSE),0)
  + IFERROR(VLOOKUP($I376,'Ketebalan Material'!$A:$B,2,FALSE),0),
0)</f>
        <v>700000</v>
      </c>
      <c r="O376">
        <f>IF($M376="PER-M",
  IFERROR(
    IF($G376="Hollow",
       INDEX('Referensi Harga'!$C:$C, MATCH($F376 &amp; "|" &amp; $C376, 'Referensi Harga'!$F:$F, 0)),
    IF($G376="Hollow Stainless",
       INDEX('Referensi Harga'!$D:$D, MATCH($F376 &amp; "|" &amp; $C376, 'Referensi Harga'!$F:$F, 0)),
       INDEX('Referensi Harga'!$E:$E, MATCH($F376 &amp; "|" &amp; $C376, 'Referensi Harga'!$F:$F, 0))
    ))
    + IFERROR(VLOOKUP($H376, 'Profile Size'!$A:$B, 2, FALSE), 0)
    + IFERROR(VLOOKUP($I376, 'Ketebalan Material'!$A:$B, 2, FALSE), 0), 0),
0)</f>
        <v>0</v>
      </c>
      <c r="P376" cm="1">
        <f t="array" ref="P376">IF($M376="PER-LUBANG",
  IFERROR(
     _xlfn.IFS(
        $G376="Hollow",
            INDEX('Referensi Harga'!$C:$C,
                  MATCH($F376&amp;$C376,'Referensi Harga'!$A:$A&amp;'Referensi Harga'!$B:$B,0)),
        $G376="Hollow Stainless",
            INDEX('Referensi Harga'!$D:$D,
                  MATCH($F376&amp;$C376,'Referensi Harga'!$A:$A&amp;'Referensi Harga'!$B:$B,0)),
        $G376="Pipa Stainless",
            INDEX('Referensi Harga'!$E:$E,
                  MATCH($F376&amp;$C376,'Referensi Harga'!$A:$A&amp;'Referensi Harga'!$B:$B,0))
     ),0)
  + IFERROR(VLOOKUP($H376,'Profile Size'!$A:$B,2,FALSE),0)
  + IFERROR(VLOOKUP($I376,'Ketebalan Material'!$A:$B,2,FALSE),0),
0)</f>
        <v>0</v>
      </c>
      <c r="Q376">
        <f>IF($M376="PER-M2",
    IFERROR(
        SUMIFS('Upah Tenaga Ahli'!$C:$C,
               'Upah Tenaga Ahli'!$A:$A,"PER-M2",
               'Upah Tenaga Ahli'!$B:$B,$G376
        ) * $J376 * $K376,
    0),
IF($M376="PER-LUBANG",
    IFERROR(
        SUMIFS('Upah Tenaga Ahli'!$D:$D,
               'Upah Tenaga Ahli'!$A:$A,"PER-LUBANG",
               'Upah Tenaga Ahli'!$B:$B,$G376
        ) * $L376 * $K376,
    0),
IF($M376="PER-M",
    IFERROR(
        SUMIFS('Upah Tenaga Ahli'!$E:$E,
               'Upah Tenaga Ahli'!$A:$A,"PER-M",
               'Upah Tenaga Ahli'!$B:$B,$G376
        ) * $J376 * $K376,
    0),
0)))</f>
        <v>823000</v>
      </c>
      <c r="R376" t="s">
        <v>19</v>
      </c>
      <c r="S376" t="s">
        <v>24</v>
      </c>
      <c r="T376">
        <f>IF($M376="PER-M2",
   ($N376 * $J376 * $K376)
   + IFERROR(VLOOKUP($R376,Finishing!A:B,2,FALSE),0)
   + IFERROR(VLOOKUP($S376,Kerumitan!A:B,2,FALSE),0),
IF($M376="PER-LUBANG",
   ($P376 * $L376 * $K376)
   + IFERROR(VLOOKUP($R376,Finishing!A:B,2,FALSE),0)
   + IFERROR(VLOOKUP($S376,Kerumitan!A:B,2,FALSE),0),
IF($M376="PER-M",
   ($O376 * $J376 * $K376)
   + IFERROR(VLOOKUP($R376,Finishing!A:B,2,FALSE),0)
   + IFERROR(VLOOKUP($S376,Kerumitan!A:B,2,FALSE),0),
0)))</f>
        <v>5911000</v>
      </c>
    </row>
    <row r="377" spans="1:20" x14ac:dyDescent="0.45">
      <c r="A377" t="s">
        <v>474</v>
      </c>
      <c r="B377" s="5">
        <v>44796</v>
      </c>
      <c r="C377">
        <f t="shared" si="5"/>
        <v>2022</v>
      </c>
      <c r="D377" t="s">
        <v>199</v>
      </c>
      <c r="E377" t="s">
        <v>108</v>
      </c>
      <c r="F377" t="s">
        <v>8</v>
      </c>
      <c r="G377" t="s">
        <v>15</v>
      </c>
      <c r="H377" t="s">
        <v>612</v>
      </c>
      <c r="I377">
        <v>1</v>
      </c>
      <c r="J377">
        <v>0</v>
      </c>
      <c r="K377">
        <v>1</v>
      </c>
      <c r="L377">
        <v>8</v>
      </c>
      <c r="M377" t="str" cm="1">
        <f t="array" ref="M377">_xlfn.IFS(
   OR($F377="Pagar", $F377="Pintu Gerbang", $F377="Pintu Handerson", $F377="Kanopi"), "PER-M2",
   $F377="Teralis", "PER-LUBANG",
   OR($F377="Railing", $F377="Railing/Balkon"), "PER-M",
   TRUE, ""
)</f>
        <v>PER-LUBANG</v>
      </c>
      <c r="N377" cm="1">
        <f t="array" ref="N377">IF($M377="PER-M2",
  IFERROR(
     _xlfn.IFS(
        $G377="Hollow",
            INDEX('Referensi Harga'!$C:$C,
                  MATCH($F377&amp;$C377,'Referensi Harga'!$A:$A&amp;'Referensi Harga'!$B:$B,0)),
        $G377="Hollow Stainless",
            INDEX('Referensi Harga'!$D:$D,
                  MATCH($F377&amp;$C377,'Referensi Harga'!$A:$A&amp;'Referensi Harga'!$B:$B,0)),
        $G377="Pipa Stainless",
            INDEX('Referensi Harga'!$E:$E,
                  MATCH($F377&amp;$C377,'Referensi Harga'!$A:$A&amp;'Referensi Harga'!$B:$B,0))
     ),0)
  + IFERROR(VLOOKUP($H377,'Profile Size'!$A:$B,2,FALSE),0)
  + IFERROR(VLOOKUP($I377,'Ketebalan Material'!$A:$B,2,FALSE),0),
0)</f>
        <v>0</v>
      </c>
      <c r="O377">
        <f>IF($M377="PER-M",
  IFERROR(
    IF($G377="Hollow",
       INDEX('Referensi Harga'!$C:$C, MATCH($F377 &amp; "|" &amp; $C377, 'Referensi Harga'!$F:$F, 0)),
    IF($G377="Hollow Stainless",
       INDEX('Referensi Harga'!$D:$D, MATCH($F377 &amp; "|" &amp; $C377, 'Referensi Harga'!$F:$F, 0)),
       INDEX('Referensi Harga'!$E:$E, MATCH($F377 &amp; "|" &amp; $C377, 'Referensi Harga'!$F:$F, 0))
    ))
    + IFERROR(VLOOKUP($H377, 'Profile Size'!$A:$B, 2, FALSE), 0)
    + IFERROR(VLOOKUP($I377, 'Ketebalan Material'!$A:$B, 2, FALSE), 0), 0),
0)</f>
        <v>0</v>
      </c>
      <c r="P377" cm="1">
        <f t="array" ref="P377">IF($M377="PER-LUBANG",
  IFERROR(
     _xlfn.IFS(
        $G377="Hollow",
            INDEX('Referensi Harga'!$C:$C,
                  MATCH($F377&amp;$C377,'Referensi Harga'!$A:$A&amp;'Referensi Harga'!$B:$B,0)),
        $G377="Hollow Stainless",
            INDEX('Referensi Harga'!$D:$D,
                  MATCH($F377&amp;$C377,'Referensi Harga'!$A:$A&amp;'Referensi Harga'!$B:$B,0)),
        $G377="Pipa Stainless",
            INDEX('Referensi Harga'!$E:$E,
                  MATCH($F377&amp;$C377,'Referensi Harga'!$A:$A&amp;'Referensi Harga'!$B:$B,0))
     ),0)
  + IFERROR(VLOOKUP($H377,'Profile Size'!$A:$B,2,FALSE),0)
  + IFERROR(VLOOKUP($I377,'Ketebalan Material'!$A:$B,2,FALSE),0),
0)</f>
        <v>830000</v>
      </c>
      <c r="Q377">
        <f>IF($M377="PER-M2",
    IFERROR(
        SUMIFS('Upah Tenaga Ahli'!$C:$C,
               'Upah Tenaga Ahli'!$A:$A,"PER-M2",
               'Upah Tenaga Ahli'!$B:$B,$G377
        ) * $J377 * $K377,
    0),
IF($M377="PER-LUBANG",
    IFERROR(
        SUMIFS('Upah Tenaga Ahli'!$D:$D,
               'Upah Tenaga Ahli'!$A:$A,"PER-LUBANG",
               'Upah Tenaga Ahli'!$B:$B,$G377
        ) * $L377 * $K377,
    0),
IF($M377="PER-M",
    IFERROR(
        SUMIFS('Upah Tenaga Ahli'!$E:$E,
               'Upah Tenaga Ahli'!$A:$A,"PER-M",
               'Upah Tenaga Ahli'!$B:$B,$G377
        ) * $J377 * $K377,
    0),
0)))</f>
        <v>1200000</v>
      </c>
      <c r="R377" t="s">
        <v>617</v>
      </c>
      <c r="S377" t="s">
        <v>23</v>
      </c>
      <c r="T377">
        <f>IF($M377="PER-M2",
   ($N377 * $J377 * $K377)
   + IFERROR(VLOOKUP($R377,Finishing!A:B,2,FALSE),0)
   + IFERROR(VLOOKUP($S377,Kerumitan!A:B,2,FALSE),0),
IF($M377="PER-LUBANG",
   ($P377 * $L377 * $K377)
   + IFERROR(VLOOKUP($R377,Finishing!A:B,2,FALSE),0)
   + IFERROR(VLOOKUP($S377,Kerumitan!A:B,2,FALSE),0),
IF($M377="PER-M",
   ($O377 * $J377 * $K377)
   + IFERROR(VLOOKUP($R377,Finishing!A:B,2,FALSE),0)
   + IFERROR(VLOOKUP($S377,Kerumitan!A:B,2,FALSE),0),
0)))</f>
        <v>6640000</v>
      </c>
    </row>
    <row r="378" spans="1:20" x14ac:dyDescent="0.45">
      <c r="A378" t="s">
        <v>475</v>
      </c>
      <c r="B378" s="5">
        <v>45893</v>
      </c>
      <c r="C378">
        <f t="shared" si="5"/>
        <v>2025</v>
      </c>
      <c r="D378" t="s">
        <v>126</v>
      </c>
      <c r="E378" t="s">
        <v>41</v>
      </c>
      <c r="F378" t="s">
        <v>8</v>
      </c>
      <c r="G378" t="s">
        <v>15</v>
      </c>
      <c r="H378" t="s">
        <v>612</v>
      </c>
      <c r="I378">
        <v>1.2</v>
      </c>
      <c r="J378">
        <v>0</v>
      </c>
      <c r="K378">
        <v>1</v>
      </c>
      <c r="L378">
        <v>17</v>
      </c>
      <c r="M378" t="str" cm="1">
        <f t="array" ref="M378">_xlfn.IFS(
   OR($F378="Pagar", $F378="Pintu Gerbang", $F378="Pintu Handerson", $F378="Kanopi"), "PER-M2",
   $F378="Teralis", "PER-LUBANG",
   OR($F378="Railing", $F378="Railing/Balkon"), "PER-M",
   TRUE, ""
)</f>
        <v>PER-LUBANG</v>
      </c>
      <c r="N378" cm="1">
        <f t="array" ref="N378">IF($M378="PER-M2",
  IFERROR(
     _xlfn.IFS(
        $G378="Hollow",
            INDEX('Referensi Harga'!$C:$C,
                  MATCH($F378&amp;$C378,'Referensi Harga'!$A:$A&amp;'Referensi Harga'!$B:$B,0)),
        $G378="Hollow Stainless",
            INDEX('Referensi Harga'!$D:$D,
                  MATCH($F378&amp;$C378,'Referensi Harga'!$A:$A&amp;'Referensi Harga'!$B:$B,0)),
        $G378="Pipa Stainless",
            INDEX('Referensi Harga'!$E:$E,
                  MATCH($F378&amp;$C378,'Referensi Harga'!$A:$A&amp;'Referensi Harga'!$B:$B,0))
     ),0)
  + IFERROR(VLOOKUP($H378,'Profile Size'!$A:$B,2,FALSE),0)
  + IFERROR(VLOOKUP($I378,'Ketebalan Material'!$A:$B,2,FALSE),0),
0)</f>
        <v>0</v>
      </c>
      <c r="O378">
        <f>IF($M378="PER-M",
  IFERROR(
    IF($G378="Hollow",
       INDEX('Referensi Harga'!$C:$C, MATCH($F378 &amp; "|" &amp; $C378, 'Referensi Harga'!$F:$F, 0)),
    IF($G378="Hollow Stainless",
       INDEX('Referensi Harga'!$D:$D, MATCH($F378 &amp; "|" &amp; $C378, 'Referensi Harga'!$F:$F, 0)),
       INDEX('Referensi Harga'!$E:$E, MATCH($F378 &amp; "|" &amp; $C378, 'Referensi Harga'!$F:$F, 0))
    ))
    + IFERROR(VLOOKUP($H378, 'Profile Size'!$A:$B, 2, FALSE), 0)
    + IFERROR(VLOOKUP($I378, 'Ketebalan Material'!$A:$B, 2, FALSE), 0), 0),
0)</f>
        <v>0</v>
      </c>
      <c r="P378" cm="1">
        <f t="array" ref="P378">IF($M378="PER-LUBANG",
  IFERROR(
     _xlfn.IFS(
        $G378="Hollow",
            INDEX('Referensi Harga'!$C:$C,
                  MATCH($F378&amp;$C378,'Referensi Harga'!$A:$A&amp;'Referensi Harga'!$B:$B,0)),
        $G378="Hollow Stainless",
            INDEX('Referensi Harga'!$D:$D,
                  MATCH($F378&amp;$C378,'Referensi Harga'!$A:$A&amp;'Referensi Harga'!$B:$B,0)),
        $G378="Pipa Stainless",
            INDEX('Referensi Harga'!$E:$E,
                  MATCH($F378&amp;$C378,'Referensi Harga'!$A:$A&amp;'Referensi Harga'!$B:$B,0))
     ),0)
  + IFERROR(VLOOKUP($H378,'Profile Size'!$A:$B,2,FALSE),0)
  + IFERROR(VLOOKUP($I378,'Ketebalan Material'!$A:$B,2,FALSE),0),
0)</f>
        <v>900000</v>
      </c>
      <c r="Q378">
        <f>IF($M378="PER-M2",
    IFERROR(
        SUMIFS('Upah Tenaga Ahli'!$C:$C,
               'Upah Tenaga Ahli'!$A:$A,"PER-M2",
               'Upah Tenaga Ahli'!$B:$B,$G378
        ) * $J378 * $K378,
    0),
IF($M378="PER-LUBANG",
    IFERROR(
        SUMIFS('Upah Tenaga Ahli'!$D:$D,
               'Upah Tenaga Ahli'!$A:$A,"PER-LUBANG",
               'Upah Tenaga Ahli'!$B:$B,$G378
        ) * $L378 * $K378,
    0),
IF($M378="PER-M",
    IFERROR(
        SUMIFS('Upah Tenaga Ahli'!$E:$E,
               'Upah Tenaga Ahli'!$A:$A,"PER-M",
               'Upah Tenaga Ahli'!$B:$B,$G378
        ) * $J378 * $K378,
    0),
0)))</f>
        <v>2550000</v>
      </c>
      <c r="R378" t="s">
        <v>617</v>
      </c>
      <c r="S378" t="s">
        <v>24</v>
      </c>
      <c r="T378">
        <f>IF($M378="PER-M2",
   ($N378 * $J378 * $K378)
   + IFERROR(VLOOKUP($R378,Finishing!A:B,2,FALSE),0)
   + IFERROR(VLOOKUP($S378,Kerumitan!A:B,2,FALSE),0),
IF($M378="PER-LUBANG",
   ($P378 * $L378 * $K378)
   + IFERROR(VLOOKUP($R378,Finishing!A:B,2,FALSE),0)
   + IFERROR(VLOOKUP($S378,Kerumitan!A:B,2,FALSE),0),
IF($M378="PER-M",
   ($O378 * $J378 * $K378)
   + IFERROR(VLOOKUP($R378,Finishing!A:B,2,FALSE),0)
   + IFERROR(VLOOKUP($S378,Kerumitan!A:B,2,FALSE),0),
0)))</f>
        <v>15400000</v>
      </c>
    </row>
    <row r="379" spans="1:20" x14ac:dyDescent="0.45">
      <c r="A379" t="s">
        <v>476</v>
      </c>
      <c r="B379" s="5">
        <v>43474</v>
      </c>
      <c r="C379">
        <f t="shared" si="5"/>
        <v>2019</v>
      </c>
      <c r="D379" t="s">
        <v>101</v>
      </c>
      <c r="E379" t="s">
        <v>91</v>
      </c>
      <c r="F379" t="s">
        <v>625</v>
      </c>
      <c r="G379" t="s">
        <v>13</v>
      </c>
      <c r="H379" t="s">
        <v>33</v>
      </c>
      <c r="I379">
        <v>0.8</v>
      </c>
      <c r="J379">
        <v>6.21</v>
      </c>
      <c r="K379">
        <v>3</v>
      </c>
      <c r="L379">
        <v>0</v>
      </c>
      <c r="M379" t="str" cm="1">
        <f t="array" ref="M379">_xlfn.IFS(
   OR($F379="Pagar", $F379="Pintu Gerbang", $F379="Pintu Handerson", $F379="Kanopi"), "PER-M2",
   $F379="Teralis", "PER-LUBANG",
   OR($F379="Railing", $F379="Railing/Balkon"), "PER-M",
   TRUE, ""
)</f>
        <v>PER-M</v>
      </c>
      <c r="N379" cm="1">
        <f t="array" ref="N379">IF($M379="PER-M2",
  IFERROR(
     _xlfn.IFS(
        $G379="Hollow",
            INDEX('Referensi Harga'!$C:$C,
                  MATCH($F379&amp;$C379,'Referensi Harga'!$A:$A&amp;'Referensi Harga'!$B:$B,0)),
        $G379="Hollow Stainless",
            INDEX('Referensi Harga'!$D:$D,
                  MATCH($F379&amp;$C379,'Referensi Harga'!$A:$A&amp;'Referensi Harga'!$B:$B,0)),
        $G379="Pipa Stainless",
            INDEX('Referensi Harga'!$E:$E,
                  MATCH($F379&amp;$C379,'Referensi Harga'!$A:$A&amp;'Referensi Harga'!$B:$B,0))
     ),0)
  + IFERROR(VLOOKUP($H379,'Profile Size'!$A:$B,2,FALSE),0)
  + IFERROR(VLOOKUP($I379,'Ketebalan Material'!$A:$B,2,FALSE),0),
0)</f>
        <v>0</v>
      </c>
      <c r="O379">
        <f>IF($M379="PER-M",
  IFERROR(
    IF($G379="Hollow",
       INDEX('Referensi Harga'!$C:$C, MATCH($F379 &amp; "|" &amp; $C379, 'Referensi Harga'!$F:$F, 0)),
    IF($G379="Hollow Stainless",
       INDEX('Referensi Harga'!$D:$D, MATCH($F379 &amp; "|" &amp; $C379, 'Referensi Harga'!$F:$F, 0)),
       INDEX('Referensi Harga'!$E:$E, MATCH($F379 &amp; "|" &amp; $C379, 'Referensi Harga'!$F:$F, 0))
    ))
    + IFERROR(VLOOKUP($H379, 'Profile Size'!$A:$B, 2, FALSE), 0)
    + IFERROR(VLOOKUP($I379, 'Ketebalan Material'!$A:$B, 2, FALSE), 0), 0),
0)</f>
        <v>400000</v>
      </c>
      <c r="P379" cm="1">
        <f t="array" ref="P379">IF($M379="PER-LUBANG",
  IFERROR(
     _xlfn.IFS(
        $G379="Hollow",
            INDEX('Referensi Harga'!$C:$C,
                  MATCH($F379&amp;$C379,'Referensi Harga'!$A:$A&amp;'Referensi Harga'!$B:$B,0)),
        $G379="Hollow Stainless",
            INDEX('Referensi Harga'!$D:$D,
                  MATCH($F379&amp;$C379,'Referensi Harga'!$A:$A&amp;'Referensi Harga'!$B:$B,0)),
        $G379="Pipa Stainless",
            INDEX('Referensi Harga'!$E:$E,
                  MATCH($F379&amp;$C379,'Referensi Harga'!$A:$A&amp;'Referensi Harga'!$B:$B,0))
     ),0)
  + IFERROR(VLOOKUP($H379,'Profile Size'!$A:$B,2,FALSE),0)
  + IFERROR(VLOOKUP($I379,'Ketebalan Material'!$A:$B,2,FALSE),0),
0)</f>
        <v>0</v>
      </c>
      <c r="Q379">
        <f>IF($M379="PER-M2",
    IFERROR(
        SUMIFS('Upah Tenaga Ahli'!$C:$C,
               'Upah Tenaga Ahli'!$A:$A,"PER-M2",
               'Upah Tenaga Ahli'!$B:$B,$G379
        ) * $J379 * $K379,
    0),
IF($M379="PER-LUBANG",
    IFERROR(
        SUMIFS('Upah Tenaga Ahli'!$D:$D,
               'Upah Tenaga Ahli'!$A:$A,"PER-LUBANG",
               'Upah Tenaga Ahli'!$B:$B,$G379
        ) * $L379 * $K379,
    0),
IF($M379="PER-M",
    IFERROR(
        SUMIFS('Upah Tenaga Ahli'!$E:$E,
               'Upah Tenaga Ahli'!$A:$A,"PER-M",
               'Upah Tenaga Ahli'!$B:$B,$G379
        ) * $J379 * $K379,
    0),
0)))</f>
        <v>1863000</v>
      </c>
      <c r="R379" t="s">
        <v>19</v>
      </c>
      <c r="S379" t="s">
        <v>23</v>
      </c>
      <c r="T379">
        <f>IF($M379="PER-M2",
   ($N379 * $J379 * $K379)
   + IFERROR(VLOOKUP($R379,Finishing!A:B,2,FALSE),0)
   + IFERROR(VLOOKUP($S379,Kerumitan!A:B,2,FALSE),0),
IF($M379="PER-LUBANG",
   ($P379 * $L379 * $K379)
   + IFERROR(VLOOKUP($R379,Finishing!A:B,2,FALSE),0)
   + IFERROR(VLOOKUP($S379,Kerumitan!A:B,2,FALSE),0),
IF($M379="PER-M",
   ($O379 * $J379 * $K379)
   + IFERROR(VLOOKUP($R379,Finishing!A:B,2,FALSE),0)
   + IFERROR(VLOOKUP($S379,Kerumitan!A:B,2,FALSE),0),
0)))</f>
        <v>7502000</v>
      </c>
    </row>
    <row r="380" spans="1:20" x14ac:dyDescent="0.45">
      <c r="A380" t="s">
        <v>477</v>
      </c>
      <c r="B380" s="5">
        <v>45885</v>
      </c>
      <c r="C380">
        <f t="shared" si="5"/>
        <v>2025</v>
      </c>
      <c r="D380" t="s">
        <v>232</v>
      </c>
      <c r="E380" t="s">
        <v>121</v>
      </c>
      <c r="F380" t="s">
        <v>6</v>
      </c>
      <c r="G380" t="s">
        <v>13</v>
      </c>
      <c r="H380" t="s">
        <v>46</v>
      </c>
      <c r="I380">
        <v>1.2</v>
      </c>
      <c r="J380">
        <v>23.12</v>
      </c>
      <c r="K380">
        <v>1</v>
      </c>
      <c r="L380">
        <v>0</v>
      </c>
      <c r="M380" t="str" cm="1">
        <f t="array" ref="M380">_xlfn.IFS(
   OR($F380="Pagar", $F380="Pintu Gerbang", $F380="Pintu Handerson", $F380="Kanopi"), "PER-M2",
   $F380="Teralis", "PER-LUBANG",
   OR($F380="Railing", $F380="Railing/Balkon"), "PER-M",
   TRUE, ""
)</f>
        <v>PER-M2</v>
      </c>
      <c r="N380" cm="1">
        <f t="array" ref="N380">IF($M380="PER-M2",
  IFERROR(
     _xlfn.IFS(
        $G380="Hollow",
            INDEX('Referensi Harga'!$C:$C,
                  MATCH($F380&amp;$C380,'Referensi Harga'!$A:$A&amp;'Referensi Harga'!$B:$B,0)),
        $G380="Hollow Stainless",
            INDEX('Referensi Harga'!$D:$D,
                  MATCH($F380&amp;$C380,'Referensi Harga'!$A:$A&amp;'Referensi Harga'!$B:$B,0)),
        $G380="Pipa Stainless",
            INDEX('Referensi Harga'!$E:$E,
                  MATCH($F380&amp;$C380,'Referensi Harga'!$A:$A&amp;'Referensi Harga'!$B:$B,0))
     ),0)
  + IFERROR(VLOOKUP($H380,'Profile Size'!$A:$B,2,FALSE),0)
  + IFERROR(VLOOKUP($I380,'Ketebalan Material'!$A:$B,2,FALSE),0),
0)</f>
        <v>600000</v>
      </c>
      <c r="O380">
        <f>IF($M380="PER-M",
  IFERROR(
    IF($G380="Hollow",
       INDEX('Referensi Harga'!$C:$C, MATCH($F380 &amp; "|" &amp; $C380, 'Referensi Harga'!$F:$F, 0)),
    IF($G380="Hollow Stainless",
       INDEX('Referensi Harga'!$D:$D, MATCH($F380 &amp; "|" &amp; $C380, 'Referensi Harga'!$F:$F, 0)),
       INDEX('Referensi Harga'!$E:$E, MATCH($F380 &amp; "|" &amp; $C380, 'Referensi Harga'!$F:$F, 0))
    ))
    + IFERROR(VLOOKUP($H380, 'Profile Size'!$A:$B, 2, FALSE), 0)
    + IFERROR(VLOOKUP($I380, 'Ketebalan Material'!$A:$B, 2, FALSE), 0), 0),
0)</f>
        <v>0</v>
      </c>
      <c r="P380" cm="1">
        <f t="array" ref="P380">IF($M380="PER-LUBANG",
  IFERROR(
     _xlfn.IFS(
        $G380="Hollow",
            INDEX('Referensi Harga'!$C:$C,
                  MATCH($F380&amp;$C380,'Referensi Harga'!$A:$A&amp;'Referensi Harga'!$B:$B,0)),
        $G380="Hollow Stainless",
            INDEX('Referensi Harga'!$D:$D,
                  MATCH($F380&amp;$C380,'Referensi Harga'!$A:$A&amp;'Referensi Harga'!$B:$B,0)),
        $G380="Pipa Stainless",
            INDEX('Referensi Harga'!$E:$E,
                  MATCH($F380&amp;$C380,'Referensi Harga'!$A:$A&amp;'Referensi Harga'!$B:$B,0))
     ),0)
  + IFERROR(VLOOKUP($H380,'Profile Size'!$A:$B,2,FALSE),0)
  + IFERROR(VLOOKUP($I380,'Ketebalan Material'!$A:$B,2,FALSE),0),
0)</f>
        <v>0</v>
      </c>
      <c r="Q380">
        <f>IF($M380="PER-M2",
    IFERROR(
        SUMIFS('Upah Tenaga Ahli'!$C:$C,
               'Upah Tenaga Ahli'!$A:$A,"PER-M2",
               'Upah Tenaga Ahli'!$B:$B,$G380
        ) * $J380 * $K380,
    0),
IF($M380="PER-LUBANG",
    IFERROR(
        SUMIFS('Upah Tenaga Ahli'!$D:$D,
               'Upah Tenaga Ahli'!$A:$A,"PER-LUBANG",
               'Upah Tenaga Ahli'!$B:$B,$G380
        ) * $L380 * $K380,
    0),
IF($M380="PER-M",
    IFERROR(
        SUMIFS('Upah Tenaga Ahli'!$E:$E,
               'Upah Tenaga Ahli'!$A:$A,"PER-M",
               'Upah Tenaga Ahli'!$B:$B,$G380
        ) * $J380 * $K380,
    0),
0)))</f>
        <v>2312000</v>
      </c>
      <c r="R380" t="s">
        <v>19</v>
      </c>
      <c r="S380" t="s">
        <v>23</v>
      </c>
      <c r="T380">
        <f>IF($M380="PER-M2",
   ($N380 * $J380 * $K380)
   + IFERROR(VLOOKUP($R380,Finishing!A:B,2,FALSE),0)
   + IFERROR(VLOOKUP($S380,Kerumitan!A:B,2,FALSE),0),
IF($M380="PER-LUBANG",
   ($P380 * $L380 * $K380)
   + IFERROR(VLOOKUP($R380,Finishing!A:B,2,FALSE),0)
   + IFERROR(VLOOKUP($S380,Kerumitan!A:B,2,FALSE),0),
IF($M380="PER-M",
   ($O380 * $J380 * $K380)
   + IFERROR(VLOOKUP($R380,Finishing!A:B,2,FALSE),0)
   + IFERROR(VLOOKUP($S380,Kerumitan!A:B,2,FALSE),0),
0)))</f>
        <v>13922000</v>
      </c>
    </row>
    <row r="381" spans="1:20" x14ac:dyDescent="0.45">
      <c r="A381" t="s">
        <v>478</v>
      </c>
      <c r="B381" s="5">
        <v>45565</v>
      </c>
      <c r="C381">
        <f t="shared" si="5"/>
        <v>2024</v>
      </c>
      <c r="D381" t="s">
        <v>110</v>
      </c>
      <c r="E381" t="s">
        <v>54</v>
      </c>
      <c r="F381" t="s">
        <v>7</v>
      </c>
      <c r="G381" t="s">
        <v>13</v>
      </c>
      <c r="H381" t="s">
        <v>33</v>
      </c>
      <c r="I381">
        <v>1</v>
      </c>
      <c r="J381">
        <v>4.5199999999999996</v>
      </c>
      <c r="K381">
        <v>1</v>
      </c>
      <c r="L381">
        <v>0</v>
      </c>
      <c r="M381" t="str" cm="1">
        <f t="array" ref="M381">_xlfn.IFS(
   OR($F381="Pagar", $F381="Pintu Gerbang", $F381="Pintu Handerson", $F381="Kanopi"), "PER-M2",
   $F381="Teralis", "PER-LUBANG",
   OR($F381="Railing", $F381="Railing/Balkon"), "PER-M",
   TRUE, ""
)</f>
        <v>PER-M2</v>
      </c>
      <c r="N381" cm="1">
        <f t="array" ref="N381">IF($M381="PER-M2",
  IFERROR(
     _xlfn.IFS(
        $G381="Hollow",
            INDEX('Referensi Harga'!$C:$C,
                  MATCH($F381&amp;$C381,'Referensi Harga'!$A:$A&amp;'Referensi Harga'!$B:$B,0)),
        $G381="Hollow Stainless",
            INDEX('Referensi Harga'!$D:$D,
                  MATCH($F381&amp;$C381,'Referensi Harga'!$A:$A&amp;'Referensi Harga'!$B:$B,0)),
        $G381="Pipa Stainless",
            INDEX('Referensi Harga'!$E:$E,
                  MATCH($F381&amp;$C381,'Referensi Harga'!$A:$A&amp;'Referensi Harga'!$B:$B,0))
     ),0)
  + IFERROR(VLOOKUP($H381,'Profile Size'!$A:$B,2,FALSE),0)
  + IFERROR(VLOOKUP($I381,'Ketebalan Material'!$A:$B,2,FALSE),0),
0)</f>
        <v>800000</v>
      </c>
      <c r="O381">
        <f>IF($M381="PER-M",
  IFERROR(
    IF($G381="Hollow",
       INDEX('Referensi Harga'!$C:$C, MATCH($F381 &amp; "|" &amp; $C381, 'Referensi Harga'!$F:$F, 0)),
    IF($G381="Hollow Stainless",
       INDEX('Referensi Harga'!$D:$D, MATCH($F381 &amp; "|" &amp; $C381, 'Referensi Harga'!$F:$F, 0)),
       INDEX('Referensi Harga'!$E:$E, MATCH($F381 &amp; "|" &amp; $C381, 'Referensi Harga'!$F:$F, 0))
    ))
    + IFERROR(VLOOKUP($H381, 'Profile Size'!$A:$B, 2, FALSE), 0)
    + IFERROR(VLOOKUP($I381, 'Ketebalan Material'!$A:$B, 2, FALSE), 0), 0),
0)</f>
        <v>0</v>
      </c>
      <c r="P381" cm="1">
        <f t="array" ref="P381">IF($M381="PER-LUBANG",
  IFERROR(
     _xlfn.IFS(
        $G381="Hollow",
            INDEX('Referensi Harga'!$C:$C,
                  MATCH($F381&amp;$C381,'Referensi Harga'!$A:$A&amp;'Referensi Harga'!$B:$B,0)),
        $G381="Hollow Stainless",
            INDEX('Referensi Harga'!$D:$D,
                  MATCH($F381&amp;$C381,'Referensi Harga'!$A:$A&amp;'Referensi Harga'!$B:$B,0)),
        $G381="Pipa Stainless",
            INDEX('Referensi Harga'!$E:$E,
                  MATCH($F381&amp;$C381,'Referensi Harga'!$A:$A&amp;'Referensi Harga'!$B:$B,0))
     ),0)
  + IFERROR(VLOOKUP($H381,'Profile Size'!$A:$B,2,FALSE),0)
  + IFERROR(VLOOKUP($I381,'Ketebalan Material'!$A:$B,2,FALSE),0),
0)</f>
        <v>0</v>
      </c>
      <c r="Q381">
        <f>IF($M381="PER-M2",
    IFERROR(
        SUMIFS('Upah Tenaga Ahli'!$C:$C,
               'Upah Tenaga Ahli'!$A:$A,"PER-M2",
               'Upah Tenaga Ahli'!$B:$B,$G381
        ) * $J381 * $K381,
    0),
IF($M381="PER-LUBANG",
    IFERROR(
        SUMIFS('Upah Tenaga Ahli'!$D:$D,
               'Upah Tenaga Ahli'!$A:$A,"PER-LUBANG",
               'Upah Tenaga Ahli'!$B:$B,$G381
        ) * $L381 * $K381,
    0),
IF($M381="PER-M",
    IFERROR(
        SUMIFS('Upah Tenaga Ahli'!$E:$E,
               'Upah Tenaga Ahli'!$A:$A,"PER-M",
               'Upah Tenaga Ahli'!$B:$B,$G381
        ) * $J381 * $K381,
    0),
0)))</f>
        <v>451999.99999999994</v>
      </c>
      <c r="R381" t="s">
        <v>18</v>
      </c>
      <c r="S381" t="s">
        <v>23</v>
      </c>
      <c r="T381">
        <f>IF($M381="PER-M2",
   ($N381 * $J381 * $K381)
   + IFERROR(VLOOKUP($R381,Finishing!A:B,2,FALSE),0)
   + IFERROR(VLOOKUP($S381,Kerumitan!A:B,2,FALSE),0),
IF($M381="PER-LUBANG",
   ($P381 * $L381 * $K381)
   + IFERROR(VLOOKUP($R381,Finishing!A:B,2,FALSE),0)
   + IFERROR(VLOOKUP($S381,Kerumitan!A:B,2,FALSE),0),
IF($M381="PER-M",
   ($O381 * $J381 * $K381)
   + IFERROR(VLOOKUP($R381,Finishing!A:B,2,FALSE),0)
   + IFERROR(VLOOKUP($S381,Kerumitan!A:B,2,FALSE),0),
0)))</f>
        <v>3615999.9999999995</v>
      </c>
    </row>
    <row r="382" spans="1:20" x14ac:dyDescent="0.45">
      <c r="A382" t="s">
        <v>479</v>
      </c>
      <c r="B382" s="5">
        <v>43688</v>
      </c>
      <c r="C382">
        <f t="shared" si="5"/>
        <v>2019</v>
      </c>
      <c r="D382" t="s">
        <v>77</v>
      </c>
      <c r="E382" t="s">
        <v>57</v>
      </c>
      <c r="F382" t="s">
        <v>625</v>
      </c>
      <c r="G382" t="s">
        <v>13</v>
      </c>
      <c r="H382" t="s">
        <v>46</v>
      </c>
      <c r="I382">
        <v>0.8</v>
      </c>
      <c r="J382">
        <v>14.71</v>
      </c>
      <c r="K382">
        <v>2</v>
      </c>
      <c r="L382">
        <v>0</v>
      </c>
      <c r="M382" t="str" cm="1">
        <f t="array" ref="M382">_xlfn.IFS(
   OR($F382="Pagar", $F382="Pintu Gerbang", $F382="Pintu Handerson", $F382="Kanopi"), "PER-M2",
   $F382="Teralis", "PER-LUBANG",
   OR($F382="Railing", $F382="Railing/Balkon"), "PER-M",
   TRUE, ""
)</f>
        <v>PER-M</v>
      </c>
      <c r="N382" cm="1">
        <f t="array" ref="N382">IF($M382="PER-M2",
  IFERROR(
     _xlfn.IFS(
        $G382="Hollow",
            INDEX('Referensi Harga'!$C:$C,
                  MATCH($F382&amp;$C382,'Referensi Harga'!$A:$A&amp;'Referensi Harga'!$B:$B,0)),
        $G382="Hollow Stainless",
            INDEX('Referensi Harga'!$D:$D,
                  MATCH($F382&amp;$C382,'Referensi Harga'!$A:$A&amp;'Referensi Harga'!$B:$B,0)),
        $G382="Pipa Stainless",
            INDEX('Referensi Harga'!$E:$E,
                  MATCH($F382&amp;$C382,'Referensi Harga'!$A:$A&amp;'Referensi Harga'!$B:$B,0))
     ),0)
  + IFERROR(VLOOKUP($H382,'Profile Size'!$A:$B,2,FALSE),0)
  + IFERROR(VLOOKUP($I382,'Ketebalan Material'!$A:$B,2,FALSE),0),
0)</f>
        <v>0</v>
      </c>
      <c r="O382">
        <f>IF($M382="PER-M",
  IFERROR(
    IF($G382="Hollow",
       INDEX('Referensi Harga'!$C:$C, MATCH($F382 &amp; "|" &amp; $C382, 'Referensi Harga'!$F:$F, 0)),
    IF($G382="Hollow Stainless",
       INDEX('Referensi Harga'!$D:$D, MATCH($F382 &amp; "|" &amp; $C382, 'Referensi Harga'!$F:$F, 0)),
       INDEX('Referensi Harga'!$E:$E, MATCH($F382 &amp; "|" &amp; $C382, 'Referensi Harga'!$F:$F, 0))
    ))
    + IFERROR(VLOOKUP($H382, 'Profile Size'!$A:$B, 2, FALSE), 0)
    + IFERROR(VLOOKUP($I382, 'Ketebalan Material'!$A:$B, 2, FALSE), 0), 0),
0)</f>
        <v>450000</v>
      </c>
      <c r="P382" cm="1">
        <f t="array" ref="P382">IF($M382="PER-LUBANG",
  IFERROR(
     _xlfn.IFS(
        $G382="Hollow",
            INDEX('Referensi Harga'!$C:$C,
                  MATCH($F382&amp;$C382,'Referensi Harga'!$A:$A&amp;'Referensi Harga'!$B:$B,0)),
        $G382="Hollow Stainless",
            INDEX('Referensi Harga'!$D:$D,
                  MATCH($F382&amp;$C382,'Referensi Harga'!$A:$A&amp;'Referensi Harga'!$B:$B,0)),
        $G382="Pipa Stainless",
            INDEX('Referensi Harga'!$E:$E,
                  MATCH($F382&amp;$C382,'Referensi Harga'!$A:$A&amp;'Referensi Harga'!$B:$B,0))
     ),0)
  + IFERROR(VLOOKUP($H382,'Profile Size'!$A:$B,2,FALSE),0)
  + IFERROR(VLOOKUP($I382,'Ketebalan Material'!$A:$B,2,FALSE),0),
0)</f>
        <v>0</v>
      </c>
      <c r="Q382">
        <f>IF($M382="PER-M2",
    IFERROR(
        SUMIFS('Upah Tenaga Ahli'!$C:$C,
               'Upah Tenaga Ahli'!$A:$A,"PER-M2",
               'Upah Tenaga Ahli'!$B:$B,$G382
        ) * $J382 * $K382,
    0),
IF($M382="PER-LUBANG",
    IFERROR(
        SUMIFS('Upah Tenaga Ahli'!$D:$D,
               'Upah Tenaga Ahli'!$A:$A,"PER-LUBANG",
               'Upah Tenaga Ahli'!$B:$B,$G382
        ) * $L382 * $K382,
    0),
IF($M382="PER-M",
    IFERROR(
        SUMIFS('Upah Tenaga Ahli'!$E:$E,
               'Upah Tenaga Ahli'!$A:$A,"PER-M",
               'Upah Tenaga Ahli'!$B:$B,$G382
        ) * $J382 * $K382,
    0),
0)))</f>
        <v>2942000</v>
      </c>
      <c r="R382" t="s">
        <v>18</v>
      </c>
      <c r="S382" t="s">
        <v>24</v>
      </c>
      <c r="T382">
        <f>IF($M382="PER-M2",
   ($N382 * $J382 * $K382)
   + IFERROR(VLOOKUP($R382,Finishing!A:B,2,FALSE),0)
   + IFERROR(VLOOKUP($S382,Kerumitan!A:B,2,FALSE),0),
IF($M382="PER-LUBANG",
   ($P382 * $L382 * $K382)
   + IFERROR(VLOOKUP($R382,Finishing!A:B,2,FALSE),0)
   + IFERROR(VLOOKUP($S382,Kerumitan!A:B,2,FALSE),0),
IF($M382="PER-M",
   ($O382 * $J382 * $K382)
   + IFERROR(VLOOKUP($R382,Finishing!A:B,2,FALSE),0)
   + IFERROR(VLOOKUP($S382,Kerumitan!A:B,2,FALSE),0),
0)))</f>
        <v>13339000</v>
      </c>
    </row>
    <row r="383" spans="1:20" x14ac:dyDescent="0.45">
      <c r="A383" t="s">
        <v>480</v>
      </c>
      <c r="B383" s="5">
        <v>45899</v>
      </c>
      <c r="C383">
        <f t="shared" si="5"/>
        <v>2025</v>
      </c>
      <c r="D383" t="s">
        <v>86</v>
      </c>
      <c r="E383" t="s">
        <v>69</v>
      </c>
      <c r="F383" t="s">
        <v>4</v>
      </c>
      <c r="G383" t="s">
        <v>14</v>
      </c>
      <c r="H383" t="s">
        <v>615</v>
      </c>
      <c r="I383">
        <v>1.2</v>
      </c>
      <c r="J383">
        <v>28.43</v>
      </c>
      <c r="K383">
        <v>1</v>
      </c>
      <c r="L383">
        <v>0</v>
      </c>
      <c r="M383" t="str" cm="1">
        <f t="array" ref="M383">_xlfn.IFS(
   OR($F383="Pagar", $F383="Pintu Gerbang", $F383="Pintu Handerson", $F383="Kanopi"), "PER-M2",
   $F383="Teralis", "PER-LUBANG",
   OR($F383="Railing", $F383="Railing/Balkon"), "PER-M",
   TRUE, ""
)</f>
        <v>PER-M2</v>
      </c>
      <c r="N383" cm="1">
        <f t="array" ref="N383">IF($M383="PER-M2",
  IFERROR(
     _xlfn.IFS(
        $G383="Hollow",
            INDEX('Referensi Harga'!$C:$C,
                  MATCH($F383&amp;$C383,'Referensi Harga'!$A:$A&amp;'Referensi Harga'!$B:$B,0)),
        $G383="Hollow Stainless",
            INDEX('Referensi Harga'!$D:$D,
                  MATCH($F383&amp;$C383,'Referensi Harga'!$A:$A&amp;'Referensi Harga'!$B:$B,0)),
        $G383="Pipa Stainless",
            INDEX('Referensi Harga'!$E:$E,
                  MATCH($F383&amp;$C383,'Referensi Harga'!$A:$A&amp;'Referensi Harga'!$B:$B,0))
     ),0)
  + IFERROR(VLOOKUP($H383,'Profile Size'!$A:$B,2,FALSE),0)
  + IFERROR(VLOOKUP($I383,'Ketebalan Material'!$A:$B,2,FALSE),0),
0)</f>
        <v>1200000</v>
      </c>
      <c r="O383">
        <f>IF($M383="PER-M",
  IFERROR(
    IF($G383="Hollow",
       INDEX('Referensi Harga'!$C:$C, MATCH($F383 &amp; "|" &amp; $C383, 'Referensi Harga'!$F:$F, 0)),
    IF($G383="Hollow Stainless",
       INDEX('Referensi Harga'!$D:$D, MATCH($F383 &amp; "|" &amp; $C383, 'Referensi Harga'!$F:$F, 0)),
       INDEX('Referensi Harga'!$E:$E, MATCH($F383 &amp; "|" &amp; $C383, 'Referensi Harga'!$F:$F, 0))
    ))
    + IFERROR(VLOOKUP($H383, 'Profile Size'!$A:$B, 2, FALSE), 0)
    + IFERROR(VLOOKUP($I383, 'Ketebalan Material'!$A:$B, 2, FALSE), 0), 0),
0)</f>
        <v>0</v>
      </c>
      <c r="P383" cm="1">
        <f t="array" ref="P383">IF($M383="PER-LUBANG",
  IFERROR(
     _xlfn.IFS(
        $G383="Hollow",
            INDEX('Referensi Harga'!$C:$C,
                  MATCH($F383&amp;$C383,'Referensi Harga'!$A:$A&amp;'Referensi Harga'!$B:$B,0)),
        $G383="Hollow Stainless",
            INDEX('Referensi Harga'!$D:$D,
                  MATCH($F383&amp;$C383,'Referensi Harga'!$A:$A&amp;'Referensi Harga'!$B:$B,0)),
        $G383="Pipa Stainless",
            INDEX('Referensi Harga'!$E:$E,
                  MATCH($F383&amp;$C383,'Referensi Harga'!$A:$A&amp;'Referensi Harga'!$B:$B,0))
     ),0)
  + IFERROR(VLOOKUP($H383,'Profile Size'!$A:$B,2,FALSE),0)
  + IFERROR(VLOOKUP($I383,'Ketebalan Material'!$A:$B,2,FALSE),0),
0)</f>
        <v>0</v>
      </c>
      <c r="Q383">
        <f>IF($M383="PER-M2",
    IFERROR(
        SUMIFS('Upah Tenaga Ahli'!$C:$C,
               'Upah Tenaga Ahli'!$A:$A,"PER-M2",
               'Upah Tenaga Ahli'!$B:$B,$G383
        ) * $J383 * $K383,
    0),
IF($M383="PER-LUBANG",
    IFERROR(
        SUMIFS('Upah Tenaga Ahli'!$D:$D,
               'Upah Tenaga Ahli'!$A:$A,"PER-LUBANG",
               'Upah Tenaga Ahli'!$B:$B,$G383
        ) * $L383 * $K383,
    0),
IF($M383="PER-M",
    IFERROR(
        SUMIFS('Upah Tenaga Ahli'!$E:$E,
               'Upah Tenaga Ahli'!$A:$A,"PER-M",
               'Upah Tenaga Ahli'!$B:$B,$G383
        ) * $J383 * $K383,
    0),
0)))</f>
        <v>5686000</v>
      </c>
      <c r="R383" t="s">
        <v>617</v>
      </c>
      <c r="S383" t="s">
        <v>24</v>
      </c>
      <c r="T383">
        <f>IF($M383="PER-M2",
   ($N383 * $J383 * $K383)
   + IFERROR(VLOOKUP($R383,Finishing!A:B,2,FALSE),0)
   + IFERROR(VLOOKUP($S383,Kerumitan!A:B,2,FALSE),0),
IF($M383="PER-LUBANG",
   ($P383 * $L383 * $K383)
   + IFERROR(VLOOKUP($R383,Finishing!A:B,2,FALSE),0)
   + IFERROR(VLOOKUP($S383,Kerumitan!A:B,2,FALSE),0),
IF($M383="PER-M",
   ($O383 * $J383 * $K383)
   + IFERROR(VLOOKUP($R383,Finishing!A:B,2,FALSE),0)
   + IFERROR(VLOOKUP($S383,Kerumitan!A:B,2,FALSE),0),
0)))</f>
        <v>34216000</v>
      </c>
    </row>
    <row r="384" spans="1:20" x14ac:dyDescent="0.45">
      <c r="A384" t="s">
        <v>481</v>
      </c>
      <c r="B384" s="5">
        <v>45054</v>
      </c>
      <c r="C384">
        <f t="shared" si="5"/>
        <v>2023</v>
      </c>
      <c r="D384" t="s">
        <v>77</v>
      </c>
      <c r="E384" t="s">
        <v>41</v>
      </c>
      <c r="F384" t="s">
        <v>625</v>
      </c>
      <c r="G384" t="s">
        <v>14</v>
      </c>
      <c r="H384" t="s">
        <v>615</v>
      </c>
      <c r="I384">
        <v>1</v>
      </c>
      <c r="J384">
        <v>10.64</v>
      </c>
      <c r="K384">
        <v>1</v>
      </c>
      <c r="L384">
        <v>0</v>
      </c>
      <c r="M384" t="str" cm="1">
        <f t="array" ref="M384">_xlfn.IFS(
   OR($F384="Pagar", $F384="Pintu Gerbang", $F384="Pintu Handerson", $F384="Kanopi"), "PER-M2",
   $F384="Teralis", "PER-LUBANG",
   OR($F384="Railing", $F384="Railing/Balkon"), "PER-M",
   TRUE, ""
)</f>
        <v>PER-M</v>
      </c>
      <c r="N384" cm="1">
        <f t="array" ref="N384">IF($M384="PER-M2",
  IFERROR(
     _xlfn.IFS(
        $G384="Hollow",
            INDEX('Referensi Harga'!$C:$C,
                  MATCH($F384&amp;$C384,'Referensi Harga'!$A:$A&amp;'Referensi Harga'!$B:$B,0)),
        $G384="Hollow Stainless",
            INDEX('Referensi Harga'!$D:$D,
                  MATCH($F384&amp;$C384,'Referensi Harga'!$A:$A&amp;'Referensi Harga'!$B:$B,0)),
        $G384="Pipa Stainless",
            INDEX('Referensi Harga'!$E:$E,
                  MATCH($F384&amp;$C384,'Referensi Harga'!$A:$A&amp;'Referensi Harga'!$B:$B,0))
     ),0)
  + IFERROR(VLOOKUP($H384,'Profile Size'!$A:$B,2,FALSE),0)
  + IFERROR(VLOOKUP($I384,'Ketebalan Material'!$A:$B,2,FALSE),0),
0)</f>
        <v>0</v>
      </c>
      <c r="O384">
        <f>IF($M384="PER-M",
  IFERROR(
    IF($G384="Hollow",
       INDEX('Referensi Harga'!$C:$C, MATCH($F384 &amp; "|" &amp; $C384, 'Referensi Harga'!$F:$F, 0)),
    IF($G384="Hollow Stainless",
       INDEX('Referensi Harga'!$D:$D, MATCH($F384 &amp; "|" &amp; $C384, 'Referensi Harga'!$F:$F, 0)),
       INDEX('Referensi Harga'!$E:$E, MATCH($F384 &amp; "|" &amp; $C384, 'Referensi Harga'!$F:$F, 0))
    ))
    + IFERROR(VLOOKUP($H384, 'Profile Size'!$A:$B, 2, FALSE), 0)
    + IFERROR(VLOOKUP($I384, 'Ketebalan Material'!$A:$B, 2, FALSE), 0), 0),
0)</f>
        <v>1100000</v>
      </c>
      <c r="P384" cm="1">
        <f t="array" ref="P384">IF($M384="PER-LUBANG",
  IFERROR(
     _xlfn.IFS(
        $G384="Hollow",
            INDEX('Referensi Harga'!$C:$C,
                  MATCH($F384&amp;$C384,'Referensi Harga'!$A:$A&amp;'Referensi Harga'!$B:$B,0)),
        $G384="Hollow Stainless",
            INDEX('Referensi Harga'!$D:$D,
                  MATCH($F384&amp;$C384,'Referensi Harga'!$A:$A&amp;'Referensi Harga'!$B:$B,0)),
        $G384="Pipa Stainless",
            INDEX('Referensi Harga'!$E:$E,
                  MATCH($F384&amp;$C384,'Referensi Harga'!$A:$A&amp;'Referensi Harga'!$B:$B,0))
     ),0)
  + IFERROR(VLOOKUP($H384,'Profile Size'!$A:$B,2,FALSE),0)
  + IFERROR(VLOOKUP($I384,'Ketebalan Material'!$A:$B,2,FALSE),0),
0)</f>
        <v>0</v>
      </c>
      <c r="Q384">
        <f>IF($M384="PER-M2",
    IFERROR(
        SUMIFS('Upah Tenaga Ahli'!$C:$C,
               'Upah Tenaga Ahli'!$A:$A,"PER-M2",
               'Upah Tenaga Ahli'!$B:$B,$G384
        ) * $J384 * $K384,
    0),
IF($M384="PER-LUBANG",
    IFERROR(
        SUMIFS('Upah Tenaga Ahli'!$D:$D,
               'Upah Tenaga Ahli'!$A:$A,"PER-LUBANG",
               'Upah Tenaga Ahli'!$B:$B,$G384
        ) * $L384 * $K384,
    0),
IF($M384="PER-M",
    IFERROR(
        SUMIFS('Upah Tenaga Ahli'!$E:$E,
               'Upah Tenaga Ahli'!$A:$A,"PER-M",
               'Upah Tenaga Ahli'!$B:$B,$G384
        ) * $J384 * $K384,
    0),
0)))</f>
        <v>2128000</v>
      </c>
      <c r="R384" t="s">
        <v>617</v>
      </c>
      <c r="S384" t="s">
        <v>23</v>
      </c>
      <c r="T384">
        <f>IF($M384="PER-M2",
   ($N384 * $J384 * $K384)
   + IFERROR(VLOOKUP($R384,Finishing!A:B,2,FALSE),0)
   + IFERROR(VLOOKUP($S384,Kerumitan!A:B,2,FALSE),0),
IF($M384="PER-LUBANG",
   ($P384 * $L384 * $K384)
   + IFERROR(VLOOKUP($R384,Finishing!A:B,2,FALSE),0)
   + IFERROR(VLOOKUP($S384,Kerumitan!A:B,2,FALSE),0),
IF($M384="PER-M",
   ($O384 * $J384 * $K384)
   + IFERROR(VLOOKUP($R384,Finishing!A:B,2,FALSE),0)
   + IFERROR(VLOOKUP($S384,Kerumitan!A:B,2,FALSE),0),
0)))</f>
        <v>11704000</v>
      </c>
    </row>
    <row r="385" spans="1:20" x14ac:dyDescent="0.45">
      <c r="A385" t="s">
        <v>482</v>
      </c>
      <c r="B385" s="5">
        <v>45364</v>
      </c>
      <c r="C385">
        <f t="shared" si="5"/>
        <v>2024</v>
      </c>
      <c r="D385" t="s">
        <v>90</v>
      </c>
      <c r="E385" t="s">
        <v>28</v>
      </c>
      <c r="F385" t="s">
        <v>10</v>
      </c>
      <c r="G385" t="s">
        <v>14</v>
      </c>
      <c r="H385" t="s">
        <v>614</v>
      </c>
      <c r="I385">
        <v>1.2</v>
      </c>
      <c r="J385">
        <v>4.28</v>
      </c>
      <c r="K385">
        <v>2</v>
      </c>
      <c r="L385">
        <v>0</v>
      </c>
      <c r="M385" t="str" cm="1">
        <f t="array" ref="M385">_xlfn.IFS(
   OR($F385="Pagar", $F385="Pintu Gerbang", $F385="Pintu Handerson", $F385="Kanopi"), "PER-M2",
   $F385="Teralis", "PER-LUBANG",
   OR($F385="Railing", $F385="Railing/Balkon"), "PER-M",
   TRUE, ""
)</f>
        <v>PER-M2</v>
      </c>
      <c r="N385" cm="1">
        <f t="array" ref="N385">IF($M385="PER-M2",
  IFERROR(
     _xlfn.IFS(
        $G385="Hollow",
            INDEX('Referensi Harga'!$C:$C,
                  MATCH($F385&amp;$C385,'Referensi Harga'!$A:$A&amp;'Referensi Harga'!$B:$B,0)),
        $G385="Hollow Stainless",
            INDEX('Referensi Harga'!$D:$D,
                  MATCH($F385&amp;$C385,'Referensi Harga'!$A:$A&amp;'Referensi Harga'!$B:$B,0)),
        $G385="Pipa Stainless",
            INDEX('Referensi Harga'!$E:$E,
                  MATCH($F385&amp;$C385,'Referensi Harga'!$A:$A&amp;'Referensi Harga'!$B:$B,0))
     ),0)
  + IFERROR(VLOOKUP($H385,'Profile Size'!$A:$B,2,FALSE),0)
  + IFERROR(VLOOKUP($I385,'Ketebalan Material'!$A:$B,2,FALSE),0),
0)</f>
        <v>1550000</v>
      </c>
      <c r="O385">
        <f>IF($M385="PER-M",
  IFERROR(
    IF($G385="Hollow",
       INDEX('Referensi Harga'!$C:$C, MATCH($F385 &amp; "|" &amp; $C385, 'Referensi Harga'!$F:$F, 0)),
    IF($G385="Hollow Stainless",
       INDEX('Referensi Harga'!$D:$D, MATCH($F385 &amp; "|" &amp; $C385, 'Referensi Harga'!$F:$F, 0)),
       INDEX('Referensi Harga'!$E:$E, MATCH($F385 &amp; "|" &amp; $C385, 'Referensi Harga'!$F:$F, 0))
    ))
    + IFERROR(VLOOKUP($H385, 'Profile Size'!$A:$B, 2, FALSE), 0)
    + IFERROR(VLOOKUP($I385, 'Ketebalan Material'!$A:$B, 2, FALSE), 0), 0),
0)</f>
        <v>0</v>
      </c>
      <c r="P385" cm="1">
        <f t="array" ref="P385">IF($M385="PER-LUBANG",
  IFERROR(
     _xlfn.IFS(
        $G385="Hollow",
            INDEX('Referensi Harga'!$C:$C,
                  MATCH($F385&amp;$C385,'Referensi Harga'!$A:$A&amp;'Referensi Harga'!$B:$B,0)),
        $G385="Hollow Stainless",
            INDEX('Referensi Harga'!$D:$D,
                  MATCH($F385&amp;$C385,'Referensi Harga'!$A:$A&amp;'Referensi Harga'!$B:$B,0)),
        $G385="Pipa Stainless",
            INDEX('Referensi Harga'!$E:$E,
                  MATCH($F385&amp;$C385,'Referensi Harga'!$A:$A&amp;'Referensi Harga'!$B:$B,0))
     ),0)
  + IFERROR(VLOOKUP($H385,'Profile Size'!$A:$B,2,FALSE),0)
  + IFERROR(VLOOKUP($I385,'Ketebalan Material'!$A:$B,2,FALSE),0),
0)</f>
        <v>0</v>
      </c>
      <c r="Q385">
        <f>IF($M385="PER-M2",
    IFERROR(
        SUMIFS('Upah Tenaga Ahli'!$C:$C,
               'Upah Tenaga Ahli'!$A:$A,"PER-M2",
               'Upah Tenaga Ahli'!$B:$B,$G385
        ) * $J385 * $K385,
    0),
IF($M385="PER-LUBANG",
    IFERROR(
        SUMIFS('Upah Tenaga Ahli'!$D:$D,
               'Upah Tenaga Ahli'!$A:$A,"PER-LUBANG",
               'Upah Tenaga Ahli'!$B:$B,$G385
        ) * $L385 * $K385,
    0),
IF($M385="PER-M",
    IFERROR(
        SUMIFS('Upah Tenaga Ahli'!$E:$E,
               'Upah Tenaga Ahli'!$A:$A,"PER-M",
               'Upah Tenaga Ahli'!$B:$B,$G385
        ) * $J385 * $K385,
    0),
0)))</f>
        <v>1712000</v>
      </c>
      <c r="R385" t="s">
        <v>617</v>
      </c>
      <c r="S385" t="s">
        <v>24</v>
      </c>
      <c r="T385">
        <f>IF($M385="PER-M2",
   ($N385 * $J385 * $K385)
   + IFERROR(VLOOKUP($R385,Finishing!A:B,2,FALSE),0)
   + IFERROR(VLOOKUP($S385,Kerumitan!A:B,2,FALSE),0),
IF($M385="PER-LUBANG",
   ($P385 * $L385 * $K385)
   + IFERROR(VLOOKUP($R385,Finishing!A:B,2,FALSE),0)
   + IFERROR(VLOOKUP($S385,Kerumitan!A:B,2,FALSE),0),
IF($M385="PER-M",
   ($O385 * $J385 * $K385)
   + IFERROR(VLOOKUP($R385,Finishing!A:B,2,FALSE),0)
   + IFERROR(VLOOKUP($S385,Kerumitan!A:B,2,FALSE),0),
0)))</f>
        <v>13368000</v>
      </c>
    </row>
    <row r="386" spans="1:20" x14ac:dyDescent="0.45">
      <c r="A386" t="s">
        <v>483</v>
      </c>
      <c r="B386" s="5">
        <v>43517</v>
      </c>
      <c r="C386">
        <f t="shared" si="5"/>
        <v>2019</v>
      </c>
      <c r="D386" t="s">
        <v>169</v>
      </c>
      <c r="E386" t="s">
        <v>32</v>
      </c>
      <c r="F386" t="s">
        <v>10</v>
      </c>
      <c r="G386" t="s">
        <v>14</v>
      </c>
      <c r="H386" t="s">
        <v>615</v>
      </c>
      <c r="I386">
        <v>1</v>
      </c>
      <c r="J386">
        <v>4.0999999999999996</v>
      </c>
      <c r="K386">
        <v>1</v>
      </c>
      <c r="L386">
        <v>0</v>
      </c>
      <c r="M386" t="str" cm="1">
        <f t="array" ref="M386">_xlfn.IFS(
   OR($F386="Pagar", $F386="Pintu Gerbang", $F386="Pintu Handerson", $F386="Kanopi"), "PER-M2",
   $F386="Teralis", "PER-LUBANG",
   OR($F386="Railing", $F386="Railing/Balkon"), "PER-M",
   TRUE, ""
)</f>
        <v>PER-M2</v>
      </c>
      <c r="N386" cm="1">
        <f t="array" ref="N386">IF($M386="PER-M2",
  IFERROR(
     _xlfn.IFS(
        $G386="Hollow",
            INDEX('Referensi Harga'!$C:$C,
                  MATCH($F386&amp;$C386,'Referensi Harga'!$A:$A&amp;'Referensi Harga'!$B:$B,0)),
        $G386="Hollow Stainless",
            INDEX('Referensi Harga'!$D:$D,
                  MATCH($F386&amp;$C386,'Referensi Harga'!$A:$A&amp;'Referensi Harga'!$B:$B,0)),
        $G386="Pipa Stainless",
            INDEX('Referensi Harga'!$E:$E,
                  MATCH($F386&amp;$C386,'Referensi Harga'!$A:$A&amp;'Referensi Harga'!$B:$B,0))
     ),0)
  + IFERROR(VLOOKUP($H386,'Profile Size'!$A:$B,2,FALSE),0)
  + IFERROR(VLOOKUP($I386,'Ketebalan Material'!$A:$B,2,FALSE),0),
0)</f>
        <v>1350000</v>
      </c>
      <c r="O386">
        <f>IF($M386="PER-M",
  IFERROR(
    IF($G386="Hollow",
       INDEX('Referensi Harga'!$C:$C, MATCH($F386 &amp; "|" &amp; $C386, 'Referensi Harga'!$F:$F, 0)),
    IF($G386="Hollow Stainless",
       INDEX('Referensi Harga'!$D:$D, MATCH($F386 &amp; "|" &amp; $C386, 'Referensi Harga'!$F:$F, 0)),
       INDEX('Referensi Harga'!$E:$E, MATCH($F386 &amp; "|" &amp; $C386, 'Referensi Harga'!$F:$F, 0))
    ))
    + IFERROR(VLOOKUP($H386, 'Profile Size'!$A:$B, 2, FALSE), 0)
    + IFERROR(VLOOKUP($I386, 'Ketebalan Material'!$A:$B, 2, FALSE), 0), 0),
0)</f>
        <v>0</v>
      </c>
      <c r="P386" cm="1">
        <f t="array" ref="P386">IF($M386="PER-LUBANG",
  IFERROR(
     _xlfn.IFS(
        $G386="Hollow",
            INDEX('Referensi Harga'!$C:$C,
                  MATCH($F386&amp;$C386,'Referensi Harga'!$A:$A&amp;'Referensi Harga'!$B:$B,0)),
        $G386="Hollow Stainless",
            INDEX('Referensi Harga'!$D:$D,
                  MATCH($F386&amp;$C386,'Referensi Harga'!$A:$A&amp;'Referensi Harga'!$B:$B,0)),
        $G386="Pipa Stainless",
            INDEX('Referensi Harga'!$E:$E,
                  MATCH($F386&amp;$C386,'Referensi Harga'!$A:$A&amp;'Referensi Harga'!$B:$B,0))
     ),0)
  + IFERROR(VLOOKUP($H386,'Profile Size'!$A:$B,2,FALSE),0)
  + IFERROR(VLOOKUP($I386,'Ketebalan Material'!$A:$B,2,FALSE),0),
0)</f>
        <v>0</v>
      </c>
      <c r="Q386">
        <f>IF($M386="PER-M2",
    IFERROR(
        SUMIFS('Upah Tenaga Ahli'!$C:$C,
               'Upah Tenaga Ahli'!$A:$A,"PER-M2",
               'Upah Tenaga Ahli'!$B:$B,$G386
        ) * $J386 * $K386,
    0),
IF($M386="PER-LUBANG",
    IFERROR(
        SUMIFS('Upah Tenaga Ahli'!$D:$D,
               'Upah Tenaga Ahli'!$A:$A,"PER-LUBANG",
               'Upah Tenaga Ahli'!$B:$B,$G386
        ) * $L386 * $K386,
    0),
IF($M386="PER-M",
    IFERROR(
        SUMIFS('Upah Tenaga Ahli'!$E:$E,
               'Upah Tenaga Ahli'!$A:$A,"PER-M",
               'Upah Tenaga Ahli'!$B:$B,$G386
        ) * $J386 * $K386,
    0),
0)))</f>
        <v>819999.99999999988</v>
      </c>
      <c r="R386" t="s">
        <v>617</v>
      </c>
      <c r="S386" t="s">
        <v>23</v>
      </c>
      <c r="T386">
        <f>IF($M386="PER-M2",
   ($N386 * $J386 * $K386)
   + IFERROR(VLOOKUP($R386,Finishing!A:B,2,FALSE),0)
   + IFERROR(VLOOKUP($S386,Kerumitan!A:B,2,FALSE),0),
IF($M386="PER-LUBANG",
   ($P386 * $L386 * $K386)
   + IFERROR(VLOOKUP($R386,Finishing!A:B,2,FALSE),0)
   + IFERROR(VLOOKUP($S386,Kerumitan!A:B,2,FALSE),0),
IF($M386="PER-M",
   ($O386 * $J386 * $K386)
   + IFERROR(VLOOKUP($R386,Finishing!A:B,2,FALSE),0)
   + IFERROR(VLOOKUP($S386,Kerumitan!A:B,2,FALSE),0),
0)))</f>
        <v>5534999.9999999991</v>
      </c>
    </row>
    <row r="387" spans="1:20" x14ac:dyDescent="0.45">
      <c r="A387" t="s">
        <v>484</v>
      </c>
      <c r="B387" s="5">
        <v>44578</v>
      </c>
      <c r="C387">
        <f t="shared" ref="C387:C450" si="6">IF($B387="","",YEAR($B387))</f>
        <v>2022</v>
      </c>
      <c r="D387" t="s">
        <v>288</v>
      </c>
      <c r="E387" t="s">
        <v>105</v>
      </c>
      <c r="F387" t="s">
        <v>7</v>
      </c>
      <c r="G387" t="s">
        <v>13</v>
      </c>
      <c r="H387" t="s">
        <v>615</v>
      </c>
      <c r="I387">
        <v>0.8</v>
      </c>
      <c r="J387">
        <v>4.92</v>
      </c>
      <c r="K387">
        <v>1</v>
      </c>
      <c r="L387">
        <v>0</v>
      </c>
      <c r="M387" t="str" cm="1">
        <f t="array" ref="M387">_xlfn.IFS(
   OR($F387="Pagar", $F387="Pintu Gerbang", $F387="Pintu Handerson", $F387="Kanopi"), "PER-M2",
   $F387="Teralis", "PER-LUBANG",
   OR($F387="Railing", $F387="Railing/Balkon"), "PER-M",
   TRUE, ""
)</f>
        <v>PER-M2</v>
      </c>
      <c r="N387" cm="1">
        <f t="array" ref="N387">IF($M387="PER-M2",
  IFERROR(
     _xlfn.IFS(
        $G387="Hollow",
            INDEX('Referensi Harga'!$C:$C,
                  MATCH($F387&amp;$C387,'Referensi Harga'!$A:$A&amp;'Referensi Harga'!$B:$B,0)),
        $G387="Hollow Stainless",
            INDEX('Referensi Harga'!$D:$D,
                  MATCH($F387&amp;$C387,'Referensi Harga'!$A:$A&amp;'Referensi Harga'!$B:$B,0)),
        $G387="Pipa Stainless",
            INDEX('Referensi Harga'!$E:$E,
                  MATCH($F387&amp;$C387,'Referensi Harga'!$A:$A&amp;'Referensi Harga'!$B:$B,0))
     ),0)
  + IFERROR(VLOOKUP($H387,'Profile Size'!$A:$B,2,FALSE),0)
  + IFERROR(VLOOKUP($I387,'Ketebalan Material'!$A:$B,2,FALSE),0),
0)</f>
        <v>750000</v>
      </c>
      <c r="O387">
        <f>IF($M387="PER-M",
  IFERROR(
    IF($G387="Hollow",
       INDEX('Referensi Harga'!$C:$C, MATCH($F387 &amp; "|" &amp; $C387, 'Referensi Harga'!$F:$F, 0)),
    IF($G387="Hollow Stainless",
       INDEX('Referensi Harga'!$D:$D, MATCH($F387 &amp; "|" &amp; $C387, 'Referensi Harga'!$F:$F, 0)),
       INDEX('Referensi Harga'!$E:$E, MATCH($F387 &amp; "|" &amp; $C387, 'Referensi Harga'!$F:$F, 0))
    ))
    + IFERROR(VLOOKUP($H387, 'Profile Size'!$A:$B, 2, FALSE), 0)
    + IFERROR(VLOOKUP($I387, 'Ketebalan Material'!$A:$B, 2, FALSE), 0), 0),
0)</f>
        <v>0</v>
      </c>
      <c r="P387" cm="1">
        <f t="array" ref="P387">IF($M387="PER-LUBANG",
  IFERROR(
     _xlfn.IFS(
        $G387="Hollow",
            INDEX('Referensi Harga'!$C:$C,
                  MATCH($F387&amp;$C387,'Referensi Harga'!$A:$A&amp;'Referensi Harga'!$B:$B,0)),
        $G387="Hollow Stainless",
            INDEX('Referensi Harga'!$D:$D,
                  MATCH($F387&amp;$C387,'Referensi Harga'!$A:$A&amp;'Referensi Harga'!$B:$B,0)),
        $G387="Pipa Stainless",
            INDEX('Referensi Harga'!$E:$E,
                  MATCH($F387&amp;$C387,'Referensi Harga'!$A:$A&amp;'Referensi Harga'!$B:$B,0))
     ),0)
  + IFERROR(VLOOKUP($H387,'Profile Size'!$A:$B,2,FALSE),0)
  + IFERROR(VLOOKUP($I387,'Ketebalan Material'!$A:$B,2,FALSE),0),
0)</f>
        <v>0</v>
      </c>
      <c r="Q387">
        <f>IF($M387="PER-M2",
    IFERROR(
        SUMIFS('Upah Tenaga Ahli'!$C:$C,
               'Upah Tenaga Ahli'!$A:$A,"PER-M2",
               'Upah Tenaga Ahli'!$B:$B,$G387
        ) * $J387 * $K387,
    0),
IF($M387="PER-LUBANG",
    IFERROR(
        SUMIFS('Upah Tenaga Ahli'!$D:$D,
               'Upah Tenaga Ahli'!$A:$A,"PER-LUBANG",
               'Upah Tenaga Ahli'!$B:$B,$G387
        ) * $L387 * $K387,
    0),
IF($M387="PER-M",
    IFERROR(
        SUMIFS('Upah Tenaga Ahli'!$E:$E,
               'Upah Tenaga Ahli'!$A:$A,"PER-M",
               'Upah Tenaga Ahli'!$B:$B,$G387
        ) * $J387 * $K387,
    0),
0)))</f>
        <v>492000</v>
      </c>
      <c r="R387" t="s">
        <v>19</v>
      </c>
      <c r="S387" t="s">
        <v>24</v>
      </c>
      <c r="T387">
        <f>IF($M387="PER-M2",
   ($N387 * $J387 * $K387)
   + IFERROR(VLOOKUP($R387,Finishing!A:B,2,FALSE),0)
   + IFERROR(VLOOKUP($S387,Kerumitan!A:B,2,FALSE),0),
IF($M387="PER-LUBANG",
   ($P387 * $L387 * $K387)
   + IFERROR(VLOOKUP($R387,Finishing!A:B,2,FALSE),0)
   + IFERROR(VLOOKUP($S387,Kerumitan!A:B,2,FALSE),0),
IF($M387="PER-M",
   ($O387 * $J387 * $K387)
   + IFERROR(VLOOKUP($R387,Finishing!A:B,2,FALSE),0)
   + IFERROR(VLOOKUP($S387,Kerumitan!A:B,2,FALSE),0),
0)))</f>
        <v>3840000</v>
      </c>
    </row>
    <row r="388" spans="1:20" x14ac:dyDescent="0.45">
      <c r="A388" t="s">
        <v>485</v>
      </c>
      <c r="B388" s="5">
        <v>45026</v>
      </c>
      <c r="C388">
        <f t="shared" si="6"/>
        <v>2023</v>
      </c>
      <c r="D388" t="s">
        <v>93</v>
      </c>
      <c r="E388" t="s">
        <v>91</v>
      </c>
      <c r="F388" t="s">
        <v>8</v>
      </c>
      <c r="G388" t="s">
        <v>14</v>
      </c>
      <c r="H388" t="s">
        <v>612</v>
      </c>
      <c r="I388">
        <v>1</v>
      </c>
      <c r="J388">
        <v>0</v>
      </c>
      <c r="K388">
        <v>1</v>
      </c>
      <c r="L388">
        <v>16</v>
      </c>
      <c r="M388" t="str" cm="1">
        <f t="array" ref="M388">_xlfn.IFS(
   OR($F388="Pagar", $F388="Pintu Gerbang", $F388="Pintu Handerson", $F388="Kanopi"), "PER-M2",
   $F388="Teralis", "PER-LUBANG",
   OR($F388="Railing", $F388="Railing/Balkon"), "PER-M",
   TRUE, ""
)</f>
        <v>PER-LUBANG</v>
      </c>
      <c r="N388" cm="1">
        <f t="array" ref="N388">IF($M388="PER-M2",
  IFERROR(
     _xlfn.IFS(
        $G388="Hollow",
            INDEX('Referensi Harga'!$C:$C,
                  MATCH($F388&amp;$C388,'Referensi Harga'!$A:$A&amp;'Referensi Harga'!$B:$B,0)),
        $G388="Hollow Stainless",
            INDEX('Referensi Harga'!$D:$D,
                  MATCH($F388&amp;$C388,'Referensi Harga'!$A:$A&amp;'Referensi Harga'!$B:$B,0)),
        $G388="Pipa Stainless",
            INDEX('Referensi Harga'!$E:$E,
                  MATCH($F388&amp;$C388,'Referensi Harga'!$A:$A&amp;'Referensi Harga'!$B:$B,0))
     ),0)
  + IFERROR(VLOOKUP($H388,'Profile Size'!$A:$B,2,FALSE),0)
  + IFERROR(VLOOKUP($I388,'Ketebalan Material'!$A:$B,2,FALSE),0),
0)</f>
        <v>0</v>
      </c>
      <c r="O388">
        <f>IF($M388="PER-M",
  IFERROR(
    IF($G388="Hollow",
       INDEX('Referensi Harga'!$C:$C, MATCH($F388 &amp; "|" &amp; $C388, 'Referensi Harga'!$F:$F, 0)),
    IF($G388="Hollow Stainless",
       INDEX('Referensi Harga'!$D:$D, MATCH($F388 &amp; "|" &amp; $C388, 'Referensi Harga'!$F:$F, 0)),
       INDEX('Referensi Harga'!$E:$E, MATCH($F388 &amp; "|" &amp; $C388, 'Referensi Harga'!$F:$F, 0))
    ))
    + IFERROR(VLOOKUP($H388, 'Profile Size'!$A:$B, 2, FALSE), 0)
    + IFERROR(VLOOKUP($I388, 'Ketebalan Material'!$A:$B, 2, FALSE), 0), 0),
0)</f>
        <v>0</v>
      </c>
      <c r="P388" cm="1">
        <f t="array" ref="P388">IF($M388="PER-LUBANG",
  IFERROR(
     _xlfn.IFS(
        $G388="Hollow",
            INDEX('Referensi Harga'!$C:$C,
                  MATCH($F388&amp;$C388,'Referensi Harga'!$A:$A&amp;'Referensi Harga'!$B:$B,0)),
        $G388="Hollow Stainless",
            INDEX('Referensi Harga'!$D:$D,
                  MATCH($F388&amp;$C388,'Referensi Harga'!$A:$A&amp;'Referensi Harga'!$B:$B,0)),
        $G388="Pipa Stainless",
            INDEX('Referensi Harga'!$E:$E,
                  MATCH($F388&amp;$C388,'Referensi Harga'!$A:$A&amp;'Referensi Harga'!$B:$B,0))
     ),0)
  + IFERROR(VLOOKUP($H388,'Profile Size'!$A:$B,2,FALSE),0)
  + IFERROR(VLOOKUP($I388,'Ketebalan Material'!$A:$B,2,FALSE),0),
0)</f>
        <v>730000</v>
      </c>
      <c r="Q388">
        <f>IF($M388="PER-M2",
    IFERROR(
        SUMIFS('Upah Tenaga Ahli'!$C:$C,
               'Upah Tenaga Ahli'!$A:$A,"PER-M2",
               'Upah Tenaga Ahli'!$B:$B,$G388
        ) * $J388 * $K388,
    0),
IF($M388="PER-LUBANG",
    IFERROR(
        SUMIFS('Upah Tenaga Ahli'!$D:$D,
               'Upah Tenaga Ahli'!$A:$A,"PER-LUBANG",
               'Upah Tenaga Ahli'!$B:$B,$G388
        ) * $L388 * $K388,
    0),
IF($M388="PER-M",
    IFERROR(
        SUMIFS('Upah Tenaga Ahli'!$E:$E,
               'Upah Tenaga Ahli'!$A:$A,"PER-M",
               'Upah Tenaga Ahli'!$B:$B,$G388
        ) * $J388 * $K388,
    0),
0)))</f>
        <v>2400000</v>
      </c>
      <c r="R388" t="s">
        <v>617</v>
      </c>
      <c r="S388" t="s">
        <v>24</v>
      </c>
      <c r="T388">
        <f>IF($M388="PER-M2",
   ($N388 * $J388 * $K388)
   + IFERROR(VLOOKUP($R388,Finishing!A:B,2,FALSE),0)
   + IFERROR(VLOOKUP($S388,Kerumitan!A:B,2,FALSE),0),
IF($M388="PER-LUBANG",
   ($P388 * $L388 * $K388)
   + IFERROR(VLOOKUP($R388,Finishing!A:B,2,FALSE),0)
   + IFERROR(VLOOKUP($S388,Kerumitan!A:B,2,FALSE),0),
IF($M388="PER-M",
   ($O388 * $J388 * $K388)
   + IFERROR(VLOOKUP($R388,Finishing!A:B,2,FALSE),0)
   + IFERROR(VLOOKUP($S388,Kerumitan!A:B,2,FALSE),0),
0)))</f>
        <v>11780000</v>
      </c>
    </row>
    <row r="389" spans="1:20" x14ac:dyDescent="0.45">
      <c r="A389" t="s">
        <v>486</v>
      </c>
      <c r="B389" s="5">
        <v>44594</v>
      </c>
      <c r="C389">
        <f t="shared" si="6"/>
        <v>2022</v>
      </c>
      <c r="D389" t="s">
        <v>110</v>
      </c>
      <c r="E389" t="s">
        <v>91</v>
      </c>
      <c r="F389" t="s">
        <v>4</v>
      </c>
      <c r="G389" t="s">
        <v>15</v>
      </c>
      <c r="H389" t="s">
        <v>35</v>
      </c>
      <c r="I389">
        <v>1.2</v>
      </c>
      <c r="J389">
        <v>10</v>
      </c>
      <c r="K389">
        <v>1</v>
      </c>
      <c r="L389">
        <v>0</v>
      </c>
      <c r="M389" t="str" cm="1">
        <f t="array" ref="M389">_xlfn.IFS(
   OR($F389="Pagar", $F389="Pintu Gerbang", $F389="Pintu Handerson", $F389="Kanopi"), "PER-M2",
   $F389="Teralis", "PER-LUBANG",
   OR($F389="Railing", $F389="Railing/Balkon"), "PER-M",
   TRUE, ""
)</f>
        <v>PER-M2</v>
      </c>
      <c r="N389" cm="1">
        <f t="array" ref="N389">IF($M389="PER-M2",
  IFERROR(
     _xlfn.IFS(
        $G389="Hollow",
            INDEX('Referensi Harga'!$C:$C,
                  MATCH($F389&amp;$C389,'Referensi Harga'!$A:$A&amp;'Referensi Harga'!$B:$B,0)),
        $G389="Hollow Stainless",
            INDEX('Referensi Harga'!$D:$D,
                  MATCH($F389&amp;$C389,'Referensi Harga'!$A:$A&amp;'Referensi Harga'!$B:$B,0)),
        $G389="Pipa Stainless",
            INDEX('Referensi Harga'!$E:$E,
                  MATCH($F389&amp;$C389,'Referensi Harga'!$A:$A&amp;'Referensi Harga'!$B:$B,0))
     ),0)
  + IFERROR(VLOOKUP($H389,'Profile Size'!$A:$B,2,FALSE),0)
  + IFERROR(VLOOKUP($I389,'Ketebalan Material'!$A:$B,2,FALSE),0),
0)</f>
        <v>1330000</v>
      </c>
      <c r="O389">
        <f>IF($M389="PER-M",
  IFERROR(
    IF($G389="Hollow",
       INDEX('Referensi Harga'!$C:$C, MATCH($F389 &amp; "|" &amp; $C389, 'Referensi Harga'!$F:$F, 0)),
    IF($G389="Hollow Stainless",
       INDEX('Referensi Harga'!$D:$D, MATCH($F389 &amp; "|" &amp; $C389, 'Referensi Harga'!$F:$F, 0)),
       INDEX('Referensi Harga'!$E:$E, MATCH($F389 &amp; "|" &amp; $C389, 'Referensi Harga'!$F:$F, 0))
    ))
    + IFERROR(VLOOKUP($H389, 'Profile Size'!$A:$B, 2, FALSE), 0)
    + IFERROR(VLOOKUP($I389, 'Ketebalan Material'!$A:$B, 2, FALSE), 0), 0),
0)</f>
        <v>0</v>
      </c>
      <c r="P389" cm="1">
        <f t="array" ref="P389">IF($M389="PER-LUBANG",
  IFERROR(
     _xlfn.IFS(
        $G389="Hollow",
            INDEX('Referensi Harga'!$C:$C,
                  MATCH($F389&amp;$C389,'Referensi Harga'!$A:$A&amp;'Referensi Harga'!$B:$B,0)),
        $G389="Hollow Stainless",
            INDEX('Referensi Harga'!$D:$D,
                  MATCH($F389&amp;$C389,'Referensi Harga'!$A:$A&amp;'Referensi Harga'!$B:$B,0)),
        $G389="Pipa Stainless",
            INDEX('Referensi Harga'!$E:$E,
                  MATCH($F389&amp;$C389,'Referensi Harga'!$A:$A&amp;'Referensi Harga'!$B:$B,0))
     ),0)
  + IFERROR(VLOOKUP($H389,'Profile Size'!$A:$B,2,FALSE),0)
  + IFERROR(VLOOKUP($I389,'Ketebalan Material'!$A:$B,2,FALSE),0),
0)</f>
        <v>0</v>
      </c>
      <c r="Q389">
        <f>IF($M389="PER-M2",
    IFERROR(
        SUMIFS('Upah Tenaga Ahli'!$C:$C,
               'Upah Tenaga Ahli'!$A:$A,"PER-M2",
               'Upah Tenaga Ahli'!$B:$B,$G389
        ) * $J389 * $K389,
    0),
IF($M389="PER-LUBANG",
    IFERROR(
        SUMIFS('Upah Tenaga Ahli'!$D:$D,
               'Upah Tenaga Ahli'!$A:$A,"PER-LUBANG",
               'Upah Tenaga Ahli'!$B:$B,$G389
        ) * $L389 * $K389,
    0),
IF($M389="PER-M",
    IFERROR(
        SUMIFS('Upah Tenaga Ahli'!$E:$E,
               'Upah Tenaga Ahli'!$A:$A,"PER-M",
               'Upah Tenaga Ahli'!$B:$B,$G389
        ) * $J389 * $K389,
    0),
0)))</f>
        <v>1500000</v>
      </c>
      <c r="R389" t="s">
        <v>617</v>
      </c>
      <c r="S389" t="s">
        <v>24</v>
      </c>
      <c r="T389">
        <f>IF($M389="PER-M2",
   ($N389 * $J389 * $K389)
   + IFERROR(VLOOKUP($R389,Finishing!A:B,2,FALSE),0)
   + IFERROR(VLOOKUP($S389,Kerumitan!A:B,2,FALSE),0),
IF($M389="PER-LUBANG",
   ($P389 * $L389 * $K389)
   + IFERROR(VLOOKUP($R389,Finishing!A:B,2,FALSE),0)
   + IFERROR(VLOOKUP($S389,Kerumitan!A:B,2,FALSE),0),
IF($M389="PER-M",
   ($O389 * $J389 * $K389)
   + IFERROR(VLOOKUP($R389,Finishing!A:B,2,FALSE),0)
   + IFERROR(VLOOKUP($S389,Kerumitan!A:B,2,FALSE),0),
0)))</f>
        <v>13400000</v>
      </c>
    </row>
    <row r="390" spans="1:20" x14ac:dyDescent="0.45">
      <c r="A390" t="s">
        <v>487</v>
      </c>
      <c r="B390" s="5">
        <v>44014</v>
      </c>
      <c r="C390">
        <f t="shared" si="6"/>
        <v>2020</v>
      </c>
      <c r="D390" t="s">
        <v>139</v>
      </c>
      <c r="E390" t="s">
        <v>57</v>
      </c>
      <c r="F390" t="s">
        <v>4</v>
      </c>
      <c r="G390" t="s">
        <v>14</v>
      </c>
      <c r="H390" t="s">
        <v>615</v>
      </c>
      <c r="I390">
        <v>0.8</v>
      </c>
      <c r="J390">
        <v>23.19</v>
      </c>
      <c r="K390">
        <v>1</v>
      </c>
      <c r="L390">
        <v>0</v>
      </c>
      <c r="M390" t="str" cm="1">
        <f t="array" ref="M390">_xlfn.IFS(
   OR($F390="Pagar", $F390="Pintu Gerbang", $F390="Pintu Handerson", $F390="Kanopi"), "PER-M2",
   $F390="Teralis", "PER-LUBANG",
   OR($F390="Railing", $F390="Railing/Balkon"), "PER-M",
   TRUE, ""
)</f>
        <v>PER-M2</v>
      </c>
      <c r="N390" cm="1">
        <f t="array" ref="N390">IF($M390="PER-M2",
  IFERROR(
     _xlfn.IFS(
        $G390="Hollow",
            INDEX('Referensi Harga'!$C:$C,
                  MATCH($F390&amp;$C390,'Referensi Harga'!$A:$A&amp;'Referensi Harga'!$B:$B,0)),
        $G390="Hollow Stainless",
            INDEX('Referensi Harga'!$D:$D,
                  MATCH($F390&amp;$C390,'Referensi Harga'!$A:$A&amp;'Referensi Harga'!$B:$B,0)),
        $G390="Pipa Stainless",
            INDEX('Referensi Harga'!$E:$E,
                  MATCH($F390&amp;$C390,'Referensi Harga'!$A:$A&amp;'Referensi Harga'!$B:$B,0))
     ),0)
  + IFERROR(VLOOKUP($H390,'Profile Size'!$A:$B,2,FALSE),0)
  + IFERROR(VLOOKUP($I390,'Ketebalan Material'!$A:$B,2,FALSE),0),
0)</f>
        <v>980000</v>
      </c>
      <c r="O390">
        <f>IF($M390="PER-M",
  IFERROR(
    IF($G390="Hollow",
       INDEX('Referensi Harga'!$C:$C, MATCH($F390 &amp; "|" &amp; $C390, 'Referensi Harga'!$F:$F, 0)),
    IF($G390="Hollow Stainless",
       INDEX('Referensi Harga'!$D:$D, MATCH($F390 &amp; "|" &amp; $C390, 'Referensi Harga'!$F:$F, 0)),
       INDEX('Referensi Harga'!$E:$E, MATCH($F390 &amp; "|" &amp; $C390, 'Referensi Harga'!$F:$F, 0))
    ))
    + IFERROR(VLOOKUP($H390, 'Profile Size'!$A:$B, 2, FALSE), 0)
    + IFERROR(VLOOKUP($I390, 'Ketebalan Material'!$A:$B, 2, FALSE), 0), 0),
0)</f>
        <v>0</v>
      </c>
      <c r="P390" cm="1">
        <f t="array" ref="P390">IF($M390="PER-LUBANG",
  IFERROR(
     _xlfn.IFS(
        $G390="Hollow",
            INDEX('Referensi Harga'!$C:$C,
                  MATCH($F390&amp;$C390,'Referensi Harga'!$A:$A&amp;'Referensi Harga'!$B:$B,0)),
        $G390="Hollow Stainless",
            INDEX('Referensi Harga'!$D:$D,
                  MATCH($F390&amp;$C390,'Referensi Harga'!$A:$A&amp;'Referensi Harga'!$B:$B,0)),
        $G390="Pipa Stainless",
            INDEX('Referensi Harga'!$E:$E,
                  MATCH($F390&amp;$C390,'Referensi Harga'!$A:$A&amp;'Referensi Harga'!$B:$B,0))
     ),0)
  + IFERROR(VLOOKUP($H390,'Profile Size'!$A:$B,2,FALSE),0)
  + IFERROR(VLOOKUP($I390,'Ketebalan Material'!$A:$B,2,FALSE),0),
0)</f>
        <v>0</v>
      </c>
      <c r="Q390">
        <f>IF($M390="PER-M2",
    IFERROR(
        SUMIFS('Upah Tenaga Ahli'!$C:$C,
               'Upah Tenaga Ahli'!$A:$A,"PER-M2",
               'Upah Tenaga Ahli'!$B:$B,$G390
        ) * $J390 * $K390,
    0),
IF($M390="PER-LUBANG",
    IFERROR(
        SUMIFS('Upah Tenaga Ahli'!$D:$D,
               'Upah Tenaga Ahli'!$A:$A,"PER-LUBANG",
               'Upah Tenaga Ahli'!$B:$B,$G390
        ) * $L390 * $K390,
    0),
IF($M390="PER-M",
    IFERROR(
        SUMIFS('Upah Tenaga Ahli'!$E:$E,
               'Upah Tenaga Ahli'!$A:$A,"PER-M",
               'Upah Tenaga Ahli'!$B:$B,$G390
        ) * $J390 * $K390,
    0),
0)))</f>
        <v>4638000</v>
      </c>
      <c r="R390" t="s">
        <v>617</v>
      </c>
      <c r="S390" t="s">
        <v>23</v>
      </c>
      <c r="T390">
        <f>IF($M390="PER-M2",
   ($N390 * $J390 * $K390)
   + IFERROR(VLOOKUP($R390,Finishing!A:B,2,FALSE),0)
   + IFERROR(VLOOKUP($S390,Kerumitan!A:B,2,FALSE),0),
IF($M390="PER-LUBANG",
   ($P390 * $L390 * $K390)
   + IFERROR(VLOOKUP($R390,Finishing!A:B,2,FALSE),0)
   + IFERROR(VLOOKUP($S390,Kerumitan!A:B,2,FALSE),0),
IF($M390="PER-M",
   ($O390 * $J390 * $K390)
   + IFERROR(VLOOKUP($R390,Finishing!A:B,2,FALSE),0)
   + IFERROR(VLOOKUP($S390,Kerumitan!A:B,2,FALSE),0),
0)))</f>
        <v>22726200</v>
      </c>
    </row>
    <row r="391" spans="1:20" x14ac:dyDescent="0.45">
      <c r="A391" t="s">
        <v>488</v>
      </c>
      <c r="B391" s="5">
        <v>45567</v>
      </c>
      <c r="C391">
        <f t="shared" si="6"/>
        <v>2024</v>
      </c>
      <c r="D391" t="s">
        <v>251</v>
      </c>
      <c r="E391" t="s">
        <v>41</v>
      </c>
      <c r="F391" t="s">
        <v>8</v>
      </c>
      <c r="G391" t="s">
        <v>13</v>
      </c>
      <c r="H391" t="s">
        <v>612</v>
      </c>
      <c r="I391">
        <v>1</v>
      </c>
      <c r="J391">
        <v>0</v>
      </c>
      <c r="K391">
        <v>1</v>
      </c>
      <c r="L391">
        <v>28</v>
      </c>
      <c r="M391" t="str" cm="1">
        <f t="array" ref="M391">_xlfn.IFS(
   OR($F391="Pagar", $F391="Pintu Gerbang", $F391="Pintu Handerson", $F391="Kanopi"), "PER-M2",
   $F391="Teralis", "PER-LUBANG",
   OR($F391="Railing", $F391="Railing/Balkon"), "PER-M",
   TRUE, ""
)</f>
        <v>PER-LUBANG</v>
      </c>
      <c r="N391" cm="1">
        <f t="array" ref="N391">IF($M391="PER-M2",
  IFERROR(
     _xlfn.IFS(
        $G391="Hollow",
            INDEX('Referensi Harga'!$C:$C,
                  MATCH($F391&amp;$C391,'Referensi Harga'!$A:$A&amp;'Referensi Harga'!$B:$B,0)),
        $G391="Hollow Stainless",
            INDEX('Referensi Harga'!$D:$D,
                  MATCH($F391&amp;$C391,'Referensi Harga'!$A:$A&amp;'Referensi Harga'!$B:$B,0)),
        $G391="Pipa Stainless",
            INDEX('Referensi Harga'!$E:$E,
                  MATCH($F391&amp;$C391,'Referensi Harga'!$A:$A&amp;'Referensi Harga'!$B:$B,0))
     ),0)
  + IFERROR(VLOOKUP($H391,'Profile Size'!$A:$B,2,FALSE),0)
  + IFERROR(VLOOKUP($I391,'Ketebalan Material'!$A:$B,2,FALSE),0),
0)</f>
        <v>0</v>
      </c>
      <c r="O391">
        <f>IF($M391="PER-M",
  IFERROR(
    IF($G391="Hollow",
       INDEX('Referensi Harga'!$C:$C, MATCH($F391 &amp; "|" &amp; $C391, 'Referensi Harga'!$F:$F, 0)),
    IF($G391="Hollow Stainless",
       INDEX('Referensi Harga'!$D:$D, MATCH($F391 &amp; "|" &amp; $C391, 'Referensi Harga'!$F:$F, 0)),
       INDEX('Referensi Harga'!$E:$E, MATCH($F391 &amp; "|" &amp; $C391, 'Referensi Harga'!$F:$F, 0))
    ))
    + IFERROR(VLOOKUP($H391, 'Profile Size'!$A:$B, 2, FALSE), 0)
    + IFERROR(VLOOKUP($I391, 'Ketebalan Material'!$A:$B, 2, FALSE), 0), 0),
0)</f>
        <v>0</v>
      </c>
      <c r="P391" cm="1">
        <f t="array" ref="P391">IF($M391="PER-LUBANG",
  IFERROR(
     _xlfn.IFS(
        $G391="Hollow",
            INDEX('Referensi Harga'!$C:$C,
                  MATCH($F391&amp;$C391,'Referensi Harga'!$A:$A&amp;'Referensi Harga'!$B:$B,0)),
        $G391="Hollow Stainless",
            INDEX('Referensi Harga'!$D:$D,
                  MATCH($F391&amp;$C391,'Referensi Harga'!$A:$A&amp;'Referensi Harga'!$B:$B,0)),
        $G391="Pipa Stainless",
            INDEX('Referensi Harga'!$E:$E,
                  MATCH($F391&amp;$C391,'Referensi Harga'!$A:$A&amp;'Referensi Harga'!$B:$B,0))
     ),0)
  + IFERROR(VLOOKUP($H391,'Profile Size'!$A:$B,2,FALSE),0)
  + IFERROR(VLOOKUP($I391,'Ketebalan Material'!$A:$B,2,FALSE),0),
0)</f>
        <v>400000</v>
      </c>
      <c r="Q391">
        <f>IF($M391="PER-M2",
    IFERROR(
        SUMIFS('Upah Tenaga Ahli'!$C:$C,
               'Upah Tenaga Ahli'!$A:$A,"PER-M2",
               'Upah Tenaga Ahli'!$B:$B,$G391
        ) * $J391 * $K391,
    0),
IF($M391="PER-LUBANG",
    IFERROR(
        SUMIFS('Upah Tenaga Ahli'!$D:$D,
               'Upah Tenaga Ahli'!$A:$A,"PER-LUBANG",
               'Upah Tenaga Ahli'!$B:$B,$G391
        ) * $L391 * $K391,
    0),
IF($M391="PER-M",
    IFERROR(
        SUMIFS('Upah Tenaga Ahli'!$E:$E,
               'Upah Tenaga Ahli'!$A:$A,"PER-M",
               'Upah Tenaga Ahli'!$B:$B,$G391
        ) * $J391 * $K391,
    0),
0)))</f>
        <v>2100000</v>
      </c>
      <c r="R391" t="s">
        <v>18</v>
      </c>
      <c r="S391" t="s">
        <v>25</v>
      </c>
      <c r="T391">
        <f>IF($M391="PER-M2",
   ($N391 * $J391 * $K391)
   + IFERROR(VLOOKUP($R391,Finishing!A:B,2,FALSE),0)
   + IFERROR(VLOOKUP($S391,Kerumitan!A:B,2,FALSE),0),
IF($M391="PER-LUBANG",
   ($P391 * $L391 * $K391)
   + IFERROR(VLOOKUP($R391,Finishing!A:B,2,FALSE),0)
   + IFERROR(VLOOKUP($S391,Kerumitan!A:B,2,FALSE),0),
IF($M391="PER-M",
   ($O391 * $J391 * $K391)
   + IFERROR(VLOOKUP($R391,Finishing!A:B,2,FALSE),0)
   + IFERROR(VLOOKUP($S391,Kerumitan!A:B,2,FALSE),0),
0)))</f>
        <v>11350000</v>
      </c>
    </row>
    <row r="392" spans="1:20" x14ac:dyDescent="0.45">
      <c r="A392" t="s">
        <v>489</v>
      </c>
      <c r="B392" s="5">
        <v>45497</v>
      </c>
      <c r="C392">
        <f t="shared" si="6"/>
        <v>2024</v>
      </c>
      <c r="D392" t="s">
        <v>31</v>
      </c>
      <c r="E392" t="s">
        <v>38</v>
      </c>
      <c r="F392" t="s">
        <v>7</v>
      </c>
      <c r="G392" t="s">
        <v>13</v>
      </c>
      <c r="H392" t="s">
        <v>33</v>
      </c>
      <c r="I392">
        <v>0.8</v>
      </c>
      <c r="J392">
        <v>14.54</v>
      </c>
      <c r="K392">
        <v>1</v>
      </c>
      <c r="L392">
        <v>0</v>
      </c>
      <c r="M392" t="str" cm="1">
        <f t="array" ref="M392">_xlfn.IFS(
   OR($F392="Pagar", $F392="Pintu Gerbang", $F392="Pintu Handerson", $F392="Kanopi"), "PER-M2",
   $F392="Teralis", "PER-LUBANG",
   OR($F392="Railing", $F392="Railing/Balkon"), "PER-M",
   TRUE, ""
)</f>
        <v>PER-M2</v>
      </c>
      <c r="N392" cm="1">
        <f t="array" ref="N392">IF($M392="PER-M2",
  IFERROR(
     _xlfn.IFS(
        $G392="Hollow",
            INDEX('Referensi Harga'!$C:$C,
                  MATCH($F392&amp;$C392,'Referensi Harga'!$A:$A&amp;'Referensi Harga'!$B:$B,0)),
        $G392="Hollow Stainless",
            INDEX('Referensi Harga'!$D:$D,
                  MATCH($F392&amp;$C392,'Referensi Harga'!$A:$A&amp;'Referensi Harga'!$B:$B,0)),
        $G392="Pipa Stainless",
            INDEX('Referensi Harga'!$E:$E,
                  MATCH($F392&amp;$C392,'Referensi Harga'!$A:$A&amp;'Referensi Harga'!$B:$B,0))
     ),0)
  + IFERROR(VLOOKUP($H392,'Profile Size'!$A:$B,2,FALSE),0)
  + IFERROR(VLOOKUP($I392,'Ketebalan Material'!$A:$B,2,FALSE),0),
0)</f>
        <v>750000</v>
      </c>
      <c r="O392">
        <f>IF($M392="PER-M",
  IFERROR(
    IF($G392="Hollow",
       INDEX('Referensi Harga'!$C:$C, MATCH($F392 &amp; "|" &amp; $C392, 'Referensi Harga'!$F:$F, 0)),
    IF($G392="Hollow Stainless",
       INDEX('Referensi Harga'!$D:$D, MATCH($F392 &amp; "|" &amp; $C392, 'Referensi Harga'!$F:$F, 0)),
       INDEX('Referensi Harga'!$E:$E, MATCH($F392 &amp; "|" &amp; $C392, 'Referensi Harga'!$F:$F, 0))
    ))
    + IFERROR(VLOOKUP($H392, 'Profile Size'!$A:$B, 2, FALSE), 0)
    + IFERROR(VLOOKUP($I392, 'Ketebalan Material'!$A:$B, 2, FALSE), 0), 0),
0)</f>
        <v>0</v>
      </c>
      <c r="P392" cm="1">
        <f t="array" ref="P392">IF($M392="PER-LUBANG",
  IFERROR(
     _xlfn.IFS(
        $G392="Hollow",
            INDEX('Referensi Harga'!$C:$C,
                  MATCH($F392&amp;$C392,'Referensi Harga'!$A:$A&amp;'Referensi Harga'!$B:$B,0)),
        $G392="Hollow Stainless",
            INDEX('Referensi Harga'!$D:$D,
                  MATCH($F392&amp;$C392,'Referensi Harga'!$A:$A&amp;'Referensi Harga'!$B:$B,0)),
        $G392="Pipa Stainless",
            INDEX('Referensi Harga'!$E:$E,
                  MATCH($F392&amp;$C392,'Referensi Harga'!$A:$A&amp;'Referensi Harga'!$B:$B,0))
     ),0)
  + IFERROR(VLOOKUP($H392,'Profile Size'!$A:$B,2,FALSE),0)
  + IFERROR(VLOOKUP($I392,'Ketebalan Material'!$A:$B,2,FALSE),0),
0)</f>
        <v>0</v>
      </c>
      <c r="Q392">
        <f>IF($M392="PER-M2",
    IFERROR(
        SUMIFS('Upah Tenaga Ahli'!$C:$C,
               'Upah Tenaga Ahli'!$A:$A,"PER-M2",
               'Upah Tenaga Ahli'!$B:$B,$G392
        ) * $J392 * $K392,
    0),
IF($M392="PER-LUBANG",
    IFERROR(
        SUMIFS('Upah Tenaga Ahli'!$D:$D,
               'Upah Tenaga Ahli'!$A:$A,"PER-LUBANG",
               'Upah Tenaga Ahli'!$B:$B,$G392
        ) * $L392 * $K392,
    0),
IF($M392="PER-M",
    IFERROR(
        SUMIFS('Upah Tenaga Ahli'!$E:$E,
               'Upah Tenaga Ahli'!$A:$A,"PER-M",
               'Upah Tenaga Ahli'!$B:$B,$G392
        ) * $J392 * $K392,
    0),
0)))</f>
        <v>1454000</v>
      </c>
      <c r="R392" t="s">
        <v>20</v>
      </c>
      <c r="S392" t="s">
        <v>24</v>
      </c>
      <c r="T392">
        <f>IF($M392="PER-M2",
   ($N392 * $J392 * $K392)
   + IFERROR(VLOOKUP($R392,Finishing!A:B,2,FALSE),0)
   + IFERROR(VLOOKUP($S392,Kerumitan!A:B,2,FALSE),0),
IF($M392="PER-LUBANG",
   ($P392 * $L392 * $K392)
   + IFERROR(VLOOKUP($R392,Finishing!A:B,2,FALSE),0)
   + IFERROR(VLOOKUP($S392,Kerumitan!A:B,2,FALSE),0),
IF($M392="PER-M",
   ($O392 * $J392 * $K392)
   + IFERROR(VLOOKUP($R392,Finishing!A:B,2,FALSE),0)
   + IFERROR(VLOOKUP($S392,Kerumitan!A:B,2,FALSE),0),
0)))</f>
        <v>11155000</v>
      </c>
    </row>
    <row r="393" spans="1:20" x14ac:dyDescent="0.45">
      <c r="A393" t="s">
        <v>490</v>
      </c>
      <c r="B393" s="5">
        <v>45484</v>
      </c>
      <c r="C393">
        <f t="shared" si="6"/>
        <v>2024</v>
      </c>
      <c r="D393" t="s">
        <v>103</v>
      </c>
      <c r="E393" t="s">
        <v>38</v>
      </c>
      <c r="F393" t="s">
        <v>8</v>
      </c>
      <c r="G393" t="s">
        <v>13</v>
      </c>
      <c r="H393" t="s">
        <v>612</v>
      </c>
      <c r="I393">
        <v>1.2</v>
      </c>
      <c r="J393">
        <v>0</v>
      </c>
      <c r="K393">
        <v>1</v>
      </c>
      <c r="L393">
        <v>13</v>
      </c>
      <c r="M393" t="str" cm="1">
        <f t="array" ref="M393">_xlfn.IFS(
   OR($F393="Pagar", $F393="Pintu Gerbang", $F393="Pintu Handerson", $F393="Kanopi"), "PER-M2",
   $F393="Teralis", "PER-LUBANG",
   OR($F393="Railing", $F393="Railing/Balkon"), "PER-M",
   TRUE, ""
)</f>
        <v>PER-LUBANG</v>
      </c>
      <c r="N393" cm="1">
        <f t="array" ref="N393">IF($M393="PER-M2",
  IFERROR(
     _xlfn.IFS(
        $G393="Hollow",
            INDEX('Referensi Harga'!$C:$C,
                  MATCH($F393&amp;$C393,'Referensi Harga'!$A:$A&amp;'Referensi Harga'!$B:$B,0)),
        $G393="Hollow Stainless",
            INDEX('Referensi Harga'!$D:$D,
                  MATCH($F393&amp;$C393,'Referensi Harga'!$A:$A&amp;'Referensi Harga'!$B:$B,0)),
        $G393="Pipa Stainless",
            INDEX('Referensi Harga'!$E:$E,
                  MATCH($F393&amp;$C393,'Referensi Harga'!$A:$A&amp;'Referensi Harga'!$B:$B,0))
     ),0)
  + IFERROR(VLOOKUP($H393,'Profile Size'!$A:$B,2,FALSE),0)
  + IFERROR(VLOOKUP($I393,'Ketebalan Material'!$A:$B,2,FALSE),0),
0)</f>
        <v>0</v>
      </c>
      <c r="O393">
        <f>IF($M393="PER-M",
  IFERROR(
    IF($G393="Hollow",
       INDEX('Referensi Harga'!$C:$C, MATCH($F393 &amp; "|" &amp; $C393, 'Referensi Harga'!$F:$F, 0)),
    IF($G393="Hollow Stainless",
       INDEX('Referensi Harga'!$D:$D, MATCH($F393 &amp; "|" &amp; $C393, 'Referensi Harga'!$F:$F, 0)),
       INDEX('Referensi Harga'!$E:$E, MATCH($F393 &amp; "|" &amp; $C393, 'Referensi Harga'!$F:$F, 0))
    ))
    + IFERROR(VLOOKUP($H393, 'Profile Size'!$A:$B, 2, FALSE), 0)
    + IFERROR(VLOOKUP($I393, 'Ketebalan Material'!$A:$B, 2, FALSE), 0), 0),
0)</f>
        <v>0</v>
      </c>
      <c r="P393" cm="1">
        <f t="array" ref="P393">IF($M393="PER-LUBANG",
  IFERROR(
     _xlfn.IFS(
        $G393="Hollow",
            INDEX('Referensi Harga'!$C:$C,
                  MATCH($F393&amp;$C393,'Referensi Harga'!$A:$A&amp;'Referensi Harga'!$B:$B,0)),
        $G393="Hollow Stainless",
            INDEX('Referensi Harga'!$D:$D,
                  MATCH($F393&amp;$C393,'Referensi Harga'!$A:$A&amp;'Referensi Harga'!$B:$B,0)),
        $G393="Pipa Stainless",
            INDEX('Referensi Harga'!$E:$E,
                  MATCH($F393&amp;$C393,'Referensi Harga'!$A:$A&amp;'Referensi Harga'!$B:$B,0))
     ),0)
  + IFERROR(VLOOKUP($H393,'Profile Size'!$A:$B,2,FALSE),0)
  + IFERROR(VLOOKUP($I393,'Ketebalan Material'!$A:$B,2,FALSE),0),
0)</f>
        <v>450000</v>
      </c>
      <c r="Q393">
        <f>IF($M393="PER-M2",
    IFERROR(
        SUMIFS('Upah Tenaga Ahli'!$C:$C,
               'Upah Tenaga Ahli'!$A:$A,"PER-M2",
               'Upah Tenaga Ahli'!$B:$B,$G393
        ) * $J393 * $K393,
    0),
IF($M393="PER-LUBANG",
    IFERROR(
        SUMIFS('Upah Tenaga Ahli'!$D:$D,
               'Upah Tenaga Ahli'!$A:$A,"PER-LUBANG",
               'Upah Tenaga Ahli'!$B:$B,$G393
        ) * $L393 * $K393,
    0),
IF($M393="PER-M",
    IFERROR(
        SUMIFS('Upah Tenaga Ahli'!$E:$E,
               'Upah Tenaga Ahli'!$A:$A,"PER-M",
               'Upah Tenaga Ahli'!$B:$B,$G393
        ) * $J393 * $K393,
    0),
0)))</f>
        <v>975000</v>
      </c>
      <c r="R393" t="s">
        <v>18</v>
      </c>
      <c r="S393" t="s">
        <v>24</v>
      </c>
      <c r="T393">
        <f>IF($M393="PER-M2",
   ($N393 * $J393 * $K393)
   + IFERROR(VLOOKUP($R393,Finishing!A:B,2,FALSE),0)
   + IFERROR(VLOOKUP($S393,Kerumitan!A:B,2,FALSE),0),
IF($M393="PER-LUBANG",
   ($P393 * $L393 * $K393)
   + IFERROR(VLOOKUP($R393,Finishing!A:B,2,FALSE),0)
   + IFERROR(VLOOKUP($S393,Kerumitan!A:B,2,FALSE),0),
IF($M393="PER-M",
   ($O393 * $J393 * $K393)
   + IFERROR(VLOOKUP($R393,Finishing!A:B,2,FALSE),0)
   + IFERROR(VLOOKUP($S393,Kerumitan!A:B,2,FALSE),0),
0)))</f>
        <v>5950000</v>
      </c>
    </row>
    <row r="394" spans="1:20" x14ac:dyDescent="0.45">
      <c r="A394" t="s">
        <v>491</v>
      </c>
      <c r="B394" s="5">
        <v>44956</v>
      </c>
      <c r="C394">
        <f t="shared" si="6"/>
        <v>2023</v>
      </c>
      <c r="D394" t="s">
        <v>126</v>
      </c>
      <c r="E394" t="s">
        <v>41</v>
      </c>
      <c r="F394" t="s">
        <v>4</v>
      </c>
      <c r="G394" t="s">
        <v>13</v>
      </c>
      <c r="H394" t="s">
        <v>33</v>
      </c>
      <c r="I394">
        <v>1</v>
      </c>
      <c r="J394">
        <v>19.23</v>
      </c>
      <c r="K394">
        <v>1</v>
      </c>
      <c r="L394">
        <v>0</v>
      </c>
      <c r="M394" t="str" cm="1">
        <f t="array" ref="M394">_xlfn.IFS(
   OR($F394="Pagar", $F394="Pintu Gerbang", $F394="Pintu Handerson", $F394="Kanopi"), "PER-M2",
   $F394="Teralis", "PER-LUBANG",
   OR($F394="Railing", $F394="Railing/Balkon"), "PER-M",
   TRUE, ""
)</f>
        <v>PER-M2</v>
      </c>
      <c r="N394" cm="1">
        <f t="array" ref="N394">IF($M394="PER-M2",
  IFERROR(
     _xlfn.IFS(
        $G394="Hollow",
            INDEX('Referensi Harga'!$C:$C,
                  MATCH($F394&amp;$C394,'Referensi Harga'!$A:$A&amp;'Referensi Harga'!$B:$B,0)),
        $G394="Hollow Stainless",
            INDEX('Referensi Harga'!$D:$D,
                  MATCH($F394&amp;$C394,'Referensi Harga'!$A:$A&amp;'Referensi Harga'!$B:$B,0)),
        $G394="Pipa Stainless",
            INDEX('Referensi Harga'!$E:$E,
                  MATCH($F394&amp;$C394,'Referensi Harga'!$A:$A&amp;'Referensi Harga'!$B:$B,0))
     ),0)
  + IFERROR(VLOOKUP($H394,'Profile Size'!$A:$B,2,FALSE),0)
  + IFERROR(VLOOKUP($I394,'Ketebalan Material'!$A:$B,2,FALSE),0),
0)</f>
        <v>600000</v>
      </c>
      <c r="O394">
        <f>IF($M394="PER-M",
  IFERROR(
    IF($G394="Hollow",
       INDEX('Referensi Harga'!$C:$C, MATCH($F394 &amp; "|" &amp; $C394, 'Referensi Harga'!$F:$F, 0)),
    IF($G394="Hollow Stainless",
       INDEX('Referensi Harga'!$D:$D, MATCH($F394 &amp; "|" &amp; $C394, 'Referensi Harga'!$F:$F, 0)),
       INDEX('Referensi Harga'!$E:$E, MATCH($F394 &amp; "|" &amp; $C394, 'Referensi Harga'!$F:$F, 0))
    ))
    + IFERROR(VLOOKUP($H394, 'Profile Size'!$A:$B, 2, FALSE), 0)
    + IFERROR(VLOOKUP($I394, 'Ketebalan Material'!$A:$B, 2, FALSE), 0), 0),
0)</f>
        <v>0</v>
      </c>
      <c r="P394" cm="1">
        <f t="array" ref="P394">IF($M394="PER-LUBANG",
  IFERROR(
     _xlfn.IFS(
        $G394="Hollow",
            INDEX('Referensi Harga'!$C:$C,
                  MATCH($F394&amp;$C394,'Referensi Harga'!$A:$A&amp;'Referensi Harga'!$B:$B,0)),
        $G394="Hollow Stainless",
            INDEX('Referensi Harga'!$D:$D,
                  MATCH($F394&amp;$C394,'Referensi Harga'!$A:$A&amp;'Referensi Harga'!$B:$B,0)),
        $G394="Pipa Stainless",
            INDEX('Referensi Harga'!$E:$E,
                  MATCH($F394&amp;$C394,'Referensi Harga'!$A:$A&amp;'Referensi Harga'!$B:$B,0))
     ),0)
  + IFERROR(VLOOKUP($H394,'Profile Size'!$A:$B,2,FALSE),0)
  + IFERROR(VLOOKUP($I394,'Ketebalan Material'!$A:$B,2,FALSE),0),
0)</f>
        <v>0</v>
      </c>
      <c r="Q394">
        <f>IF($M394="PER-M2",
    IFERROR(
        SUMIFS('Upah Tenaga Ahli'!$C:$C,
               'Upah Tenaga Ahli'!$A:$A,"PER-M2",
               'Upah Tenaga Ahli'!$B:$B,$G394
        ) * $J394 * $K394,
    0),
IF($M394="PER-LUBANG",
    IFERROR(
        SUMIFS('Upah Tenaga Ahli'!$D:$D,
               'Upah Tenaga Ahli'!$A:$A,"PER-LUBANG",
               'Upah Tenaga Ahli'!$B:$B,$G394
        ) * $L394 * $K394,
    0),
IF($M394="PER-M",
    IFERROR(
        SUMIFS('Upah Tenaga Ahli'!$E:$E,
               'Upah Tenaga Ahli'!$A:$A,"PER-M",
               'Upah Tenaga Ahli'!$B:$B,$G394
        ) * $J394 * $K394,
    0),
0)))</f>
        <v>1923000</v>
      </c>
      <c r="R394" t="s">
        <v>19</v>
      </c>
      <c r="S394" t="s">
        <v>24</v>
      </c>
      <c r="T394">
        <f>IF($M394="PER-M2",
   ($N394 * $J394 * $K394)
   + IFERROR(VLOOKUP($R394,Finishing!A:B,2,FALSE),0)
   + IFERROR(VLOOKUP($S394,Kerumitan!A:B,2,FALSE),0),
IF($M394="PER-LUBANG",
   ($P394 * $L394 * $K394)
   + IFERROR(VLOOKUP($R394,Finishing!A:B,2,FALSE),0)
   + IFERROR(VLOOKUP($S394,Kerumitan!A:B,2,FALSE),0),
IF($M394="PER-M",
   ($O394 * $J394 * $K394)
   + IFERROR(VLOOKUP($R394,Finishing!A:B,2,FALSE),0)
   + IFERROR(VLOOKUP($S394,Kerumitan!A:B,2,FALSE),0),
0)))</f>
        <v>11688000</v>
      </c>
    </row>
    <row r="395" spans="1:20" x14ac:dyDescent="0.45">
      <c r="A395" t="s">
        <v>492</v>
      </c>
      <c r="B395" s="5">
        <v>45693</v>
      </c>
      <c r="C395">
        <f t="shared" si="6"/>
        <v>2025</v>
      </c>
      <c r="D395" t="s">
        <v>129</v>
      </c>
      <c r="E395" t="s">
        <v>61</v>
      </c>
      <c r="F395" t="s">
        <v>10</v>
      </c>
      <c r="G395" t="s">
        <v>14</v>
      </c>
      <c r="H395" t="s">
        <v>615</v>
      </c>
      <c r="I395">
        <v>1</v>
      </c>
      <c r="J395">
        <v>2</v>
      </c>
      <c r="K395">
        <v>2</v>
      </c>
      <c r="L395">
        <v>0</v>
      </c>
      <c r="M395" t="str" cm="1">
        <f t="array" ref="M395">_xlfn.IFS(
   OR($F395="Pagar", $F395="Pintu Gerbang", $F395="Pintu Handerson", $F395="Kanopi"), "PER-M2",
   $F395="Teralis", "PER-LUBANG",
   OR($F395="Railing", $F395="Railing/Balkon"), "PER-M",
   TRUE, ""
)</f>
        <v>PER-M2</v>
      </c>
      <c r="N395" cm="1">
        <f t="array" ref="N395">IF($M395="PER-M2",
  IFERROR(
     _xlfn.IFS(
        $G395="Hollow",
            INDEX('Referensi Harga'!$C:$C,
                  MATCH($F395&amp;$C395,'Referensi Harga'!$A:$A&amp;'Referensi Harga'!$B:$B,0)),
        $G395="Hollow Stainless",
            INDEX('Referensi Harga'!$D:$D,
                  MATCH($F395&amp;$C395,'Referensi Harga'!$A:$A&amp;'Referensi Harga'!$B:$B,0)),
        $G395="Pipa Stainless",
            INDEX('Referensi Harga'!$E:$E,
                  MATCH($F395&amp;$C395,'Referensi Harga'!$A:$A&amp;'Referensi Harga'!$B:$B,0))
     ),0)
  + IFERROR(VLOOKUP($H395,'Profile Size'!$A:$B,2,FALSE),0)
  + IFERROR(VLOOKUP($I395,'Ketebalan Material'!$A:$B,2,FALSE),0),
0)</f>
        <v>1650000</v>
      </c>
      <c r="O395">
        <f>IF($M395="PER-M",
  IFERROR(
    IF($G395="Hollow",
       INDEX('Referensi Harga'!$C:$C, MATCH($F395 &amp; "|" &amp; $C395, 'Referensi Harga'!$F:$F, 0)),
    IF($G395="Hollow Stainless",
       INDEX('Referensi Harga'!$D:$D, MATCH($F395 &amp; "|" &amp; $C395, 'Referensi Harga'!$F:$F, 0)),
       INDEX('Referensi Harga'!$E:$E, MATCH($F395 &amp; "|" &amp; $C395, 'Referensi Harga'!$F:$F, 0))
    ))
    + IFERROR(VLOOKUP($H395, 'Profile Size'!$A:$B, 2, FALSE), 0)
    + IFERROR(VLOOKUP($I395, 'Ketebalan Material'!$A:$B, 2, FALSE), 0), 0),
0)</f>
        <v>0</v>
      </c>
      <c r="P395" cm="1">
        <f t="array" ref="P395">IF($M395="PER-LUBANG",
  IFERROR(
     _xlfn.IFS(
        $G395="Hollow",
            INDEX('Referensi Harga'!$C:$C,
                  MATCH($F395&amp;$C395,'Referensi Harga'!$A:$A&amp;'Referensi Harga'!$B:$B,0)),
        $G395="Hollow Stainless",
            INDEX('Referensi Harga'!$D:$D,
                  MATCH($F395&amp;$C395,'Referensi Harga'!$A:$A&amp;'Referensi Harga'!$B:$B,0)),
        $G395="Pipa Stainless",
            INDEX('Referensi Harga'!$E:$E,
                  MATCH($F395&amp;$C395,'Referensi Harga'!$A:$A&amp;'Referensi Harga'!$B:$B,0))
     ),0)
  + IFERROR(VLOOKUP($H395,'Profile Size'!$A:$B,2,FALSE),0)
  + IFERROR(VLOOKUP($I395,'Ketebalan Material'!$A:$B,2,FALSE),0),
0)</f>
        <v>0</v>
      </c>
      <c r="Q395">
        <f>IF($M395="PER-M2",
    IFERROR(
        SUMIFS('Upah Tenaga Ahli'!$C:$C,
               'Upah Tenaga Ahli'!$A:$A,"PER-M2",
               'Upah Tenaga Ahli'!$B:$B,$G395
        ) * $J395 * $K395,
    0),
IF($M395="PER-LUBANG",
    IFERROR(
        SUMIFS('Upah Tenaga Ahli'!$D:$D,
               'Upah Tenaga Ahli'!$A:$A,"PER-LUBANG",
               'Upah Tenaga Ahli'!$B:$B,$G395
        ) * $L395 * $K395,
    0),
IF($M395="PER-M",
    IFERROR(
        SUMIFS('Upah Tenaga Ahli'!$E:$E,
               'Upah Tenaga Ahli'!$A:$A,"PER-M",
               'Upah Tenaga Ahli'!$B:$B,$G395
        ) * $J395 * $K395,
    0),
0)))</f>
        <v>800000</v>
      </c>
      <c r="R395" t="s">
        <v>617</v>
      </c>
      <c r="S395" t="s">
        <v>25</v>
      </c>
      <c r="T395">
        <f>IF($M395="PER-M2",
   ($N395 * $J395 * $K395)
   + IFERROR(VLOOKUP($R395,Finishing!A:B,2,FALSE),0)
   + IFERROR(VLOOKUP($S395,Kerumitan!A:B,2,FALSE),0),
IF($M395="PER-LUBANG",
   ($P395 * $L395 * $K395)
   + IFERROR(VLOOKUP($R395,Finishing!A:B,2,FALSE),0)
   + IFERROR(VLOOKUP($S395,Kerumitan!A:B,2,FALSE),0),
IF($M395="PER-M",
   ($O395 * $J395 * $K395)
   + IFERROR(VLOOKUP($R395,Finishing!A:B,2,FALSE),0)
   + IFERROR(VLOOKUP($S395,Kerumitan!A:B,2,FALSE),0),
0)))</f>
        <v>6750000</v>
      </c>
    </row>
    <row r="396" spans="1:20" x14ac:dyDescent="0.45">
      <c r="A396" t="s">
        <v>493</v>
      </c>
      <c r="B396" s="5">
        <v>45253</v>
      </c>
      <c r="C396">
        <f t="shared" si="6"/>
        <v>2023</v>
      </c>
      <c r="D396" t="s">
        <v>133</v>
      </c>
      <c r="E396" t="s">
        <v>44</v>
      </c>
      <c r="F396" t="s">
        <v>8</v>
      </c>
      <c r="G396" t="s">
        <v>15</v>
      </c>
      <c r="H396" t="s">
        <v>612</v>
      </c>
      <c r="I396">
        <v>0.8</v>
      </c>
      <c r="J396">
        <v>0</v>
      </c>
      <c r="K396">
        <v>1</v>
      </c>
      <c r="L396">
        <v>8</v>
      </c>
      <c r="M396" t="str" cm="1">
        <f t="array" ref="M396">_xlfn.IFS(
   OR($F396="Pagar", $F396="Pintu Gerbang", $F396="Pintu Handerson", $F396="Kanopi"), "PER-M2",
   $F396="Teralis", "PER-LUBANG",
   OR($F396="Railing", $F396="Railing/Balkon"), "PER-M",
   TRUE, ""
)</f>
        <v>PER-LUBANG</v>
      </c>
      <c r="N396" cm="1">
        <f t="array" ref="N396">IF($M396="PER-M2",
  IFERROR(
     _xlfn.IFS(
        $G396="Hollow",
            INDEX('Referensi Harga'!$C:$C,
                  MATCH($F396&amp;$C396,'Referensi Harga'!$A:$A&amp;'Referensi Harga'!$B:$B,0)),
        $G396="Hollow Stainless",
            INDEX('Referensi Harga'!$D:$D,
                  MATCH($F396&amp;$C396,'Referensi Harga'!$A:$A&amp;'Referensi Harga'!$B:$B,0)),
        $G396="Pipa Stainless",
            INDEX('Referensi Harga'!$E:$E,
                  MATCH($F396&amp;$C396,'Referensi Harga'!$A:$A&amp;'Referensi Harga'!$B:$B,0))
     ),0)
  + IFERROR(VLOOKUP($H396,'Profile Size'!$A:$B,2,FALSE),0)
  + IFERROR(VLOOKUP($I396,'Ketebalan Material'!$A:$B,2,FALSE),0),
0)</f>
        <v>0</v>
      </c>
      <c r="O396">
        <f>IF($M396="PER-M",
  IFERROR(
    IF($G396="Hollow",
       INDEX('Referensi Harga'!$C:$C, MATCH($F396 &amp; "|" &amp; $C396, 'Referensi Harga'!$F:$F, 0)),
    IF($G396="Hollow Stainless",
       INDEX('Referensi Harga'!$D:$D, MATCH($F396 &amp; "|" &amp; $C396, 'Referensi Harga'!$F:$F, 0)),
       INDEX('Referensi Harga'!$E:$E, MATCH($F396 &amp; "|" &amp; $C396, 'Referensi Harga'!$F:$F, 0))
    ))
    + IFERROR(VLOOKUP($H396, 'Profile Size'!$A:$B, 2, FALSE), 0)
    + IFERROR(VLOOKUP($I396, 'Ketebalan Material'!$A:$B, 2, FALSE), 0), 0),
0)</f>
        <v>0</v>
      </c>
      <c r="P396" cm="1">
        <f t="array" ref="P396">IF($M396="PER-LUBANG",
  IFERROR(
     _xlfn.IFS(
        $G396="Hollow",
            INDEX('Referensi Harga'!$C:$C,
                  MATCH($F396&amp;$C396,'Referensi Harga'!$A:$A&amp;'Referensi Harga'!$B:$B,0)),
        $G396="Hollow Stainless",
            INDEX('Referensi Harga'!$D:$D,
                  MATCH($F396&amp;$C396,'Referensi Harga'!$A:$A&amp;'Referensi Harga'!$B:$B,0)),
        $G396="Pipa Stainless",
            INDEX('Referensi Harga'!$E:$E,
                  MATCH($F396&amp;$C396,'Referensi Harga'!$A:$A&amp;'Referensi Harga'!$B:$B,0))
     ),0)
  + IFERROR(VLOOKUP($H396,'Profile Size'!$A:$B,2,FALSE),0)
  + IFERROR(VLOOKUP($I396,'Ketebalan Material'!$A:$B,2,FALSE),0),
0)</f>
        <v>800000</v>
      </c>
      <c r="Q396">
        <f>IF($M396="PER-M2",
    IFERROR(
        SUMIFS('Upah Tenaga Ahli'!$C:$C,
               'Upah Tenaga Ahli'!$A:$A,"PER-M2",
               'Upah Tenaga Ahli'!$B:$B,$G396
        ) * $J396 * $K396,
    0),
IF($M396="PER-LUBANG",
    IFERROR(
        SUMIFS('Upah Tenaga Ahli'!$D:$D,
               'Upah Tenaga Ahli'!$A:$A,"PER-LUBANG",
               'Upah Tenaga Ahli'!$B:$B,$G396
        ) * $L396 * $K396,
    0),
IF($M396="PER-M",
    IFERROR(
        SUMIFS('Upah Tenaga Ahli'!$E:$E,
               'Upah Tenaga Ahli'!$A:$A,"PER-M",
               'Upah Tenaga Ahli'!$B:$B,$G396
        ) * $J396 * $K396,
    0),
0)))</f>
        <v>1200000</v>
      </c>
      <c r="R396" t="s">
        <v>617</v>
      </c>
      <c r="S396" t="s">
        <v>23</v>
      </c>
      <c r="T396">
        <f>IF($M396="PER-M2",
   ($N396 * $J396 * $K396)
   + IFERROR(VLOOKUP($R396,Finishing!A:B,2,FALSE),0)
   + IFERROR(VLOOKUP($S396,Kerumitan!A:B,2,FALSE),0),
IF($M396="PER-LUBANG",
   ($P396 * $L396 * $K396)
   + IFERROR(VLOOKUP($R396,Finishing!A:B,2,FALSE),0)
   + IFERROR(VLOOKUP($S396,Kerumitan!A:B,2,FALSE),0),
IF($M396="PER-M",
   ($O396 * $J396 * $K396)
   + IFERROR(VLOOKUP($R396,Finishing!A:B,2,FALSE),0)
   + IFERROR(VLOOKUP($S396,Kerumitan!A:B,2,FALSE),0),
0)))</f>
        <v>6400000</v>
      </c>
    </row>
    <row r="397" spans="1:20" x14ac:dyDescent="0.45">
      <c r="A397" t="s">
        <v>494</v>
      </c>
      <c r="B397" s="5">
        <v>44130</v>
      </c>
      <c r="C397">
        <f t="shared" si="6"/>
        <v>2020</v>
      </c>
      <c r="D397" t="s">
        <v>53</v>
      </c>
      <c r="E397" t="s">
        <v>41</v>
      </c>
      <c r="F397" t="s">
        <v>4</v>
      </c>
      <c r="G397" t="s">
        <v>14</v>
      </c>
      <c r="H397" t="s">
        <v>615</v>
      </c>
      <c r="I397">
        <v>1.2</v>
      </c>
      <c r="J397">
        <v>26.23</v>
      </c>
      <c r="K397">
        <v>1</v>
      </c>
      <c r="L397">
        <v>0</v>
      </c>
      <c r="M397" t="str" cm="1">
        <f t="array" ref="M397">_xlfn.IFS(
   OR($F397="Pagar", $F397="Pintu Gerbang", $F397="Pintu Handerson", $F397="Kanopi"), "PER-M2",
   $F397="Teralis", "PER-LUBANG",
   OR($F397="Railing", $F397="Railing/Balkon"), "PER-M",
   TRUE, ""
)</f>
        <v>PER-M2</v>
      </c>
      <c r="N397" cm="1">
        <f t="array" ref="N397">IF($M397="PER-M2",
  IFERROR(
     _xlfn.IFS(
        $G397="Hollow",
            INDEX('Referensi Harga'!$C:$C,
                  MATCH($F397&amp;$C397,'Referensi Harga'!$A:$A&amp;'Referensi Harga'!$B:$B,0)),
        $G397="Hollow Stainless",
            INDEX('Referensi Harga'!$D:$D,
                  MATCH($F397&amp;$C397,'Referensi Harga'!$A:$A&amp;'Referensi Harga'!$B:$B,0)),
        $G397="Pipa Stainless",
            INDEX('Referensi Harga'!$E:$E,
                  MATCH($F397&amp;$C397,'Referensi Harga'!$A:$A&amp;'Referensi Harga'!$B:$B,0))
     ),0)
  + IFERROR(VLOOKUP($H397,'Profile Size'!$A:$B,2,FALSE),0)
  + IFERROR(VLOOKUP($I397,'Ketebalan Material'!$A:$B,2,FALSE),0),
0)</f>
        <v>1080000</v>
      </c>
      <c r="O397">
        <f>IF($M397="PER-M",
  IFERROR(
    IF($G397="Hollow",
       INDEX('Referensi Harga'!$C:$C, MATCH($F397 &amp; "|" &amp; $C397, 'Referensi Harga'!$F:$F, 0)),
    IF($G397="Hollow Stainless",
       INDEX('Referensi Harga'!$D:$D, MATCH($F397 &amp; "|" &amp; $C397, 'Referensi Harga'!$F:$F, 0)),
       INDEX('Referensi Harga'!$E:$E, MATCH($F397 &amp; "|" &amp; $C397, 'Referensi Harga'!$F:$F, 0))
    ))
    + IFERROR(VLOOKUP($H397, 'Profile Size'!$A:$B, 2, FALSE), 0)
    + IFERROR(VLOOKUP($I397, 'Ketebalan Material'!$A:$B, 2, FALSE), 0), 0),
0)</f>
        <v>0</v>
      </c>
      <c r="P397" cm="1">
        <f t="array" ref="P397">IF($M397="PER-LUBANG",
  IFERROR(
     _xlfn.IFS(
        $G397="Hollow",
            INDEX('Referensi Harga'!$C:$C,
                  MATCH($F397&amp;$C397,'Referensi Harga'!$A:$A&amp;'Referensi Harga'!$B:$B,0)),
        $G397="Hollow Stainless",
            INDEX('Referensi Harga'!$D:$D,
                  MATCH($F397&amp;$C397,'Referensi Harga'!$A:$A&amp;'Referensi Harga'!$B:$B,0)),
        $G397="Pipa Stainless",
            INDEX('Referensi Harga'!$E:$E,
                  MATCH($F397&amp;$C397,'Referensi Harga'!$A:$A&amp;'Referensi Harga'!$B:$B,0))
     ),0)
  + IFERROR(VLOOKUP($H397,'Profile Size'!$A:$B,2,FALSE),0)
  + IFERROR(VLOOKUP($I397,'Ketebalan Material'!$A:$B,2,FALSE),0),
0)</f>
        <v>0</v>
      </c>
      <c r="Q397">
        <f>IF($M397="PER-M2",
    IFERROR(
        SUMIFS('Upah Tenaga Ahli'!$C:$C,
               'Upah Tenaga Ahli'!$A:$A,"PER-M2",
               'Upah Tenaga Ahli'!$B:$B,$G397
        ) * $J397 * $K397,
    0),
IF($M397="PER-LUBANG",
    IFERROR(
        SUMIFS('Upah Tenaga Ahli'!$D:$D,
               'Upah Tenaga Ahli'!$A:$A,"PER-LUBANG",
               'Upah Tenaga Ahli'!$B:$B,$G397
        ) * $L397 * $K397,
    0),
IF($M397="PER-M",
    IFERROR(
        SUMIFS('Upah Tenaga Ahli'!$E:$E,
               'Upah Tenaga Ahli'!$A:$A,"PER-M",
               'Upah Tenaga Ahli'!$B:$B,$G397
        ) * $J397 * $K397,
    0),
0)))</f>
        <v>5246000</v>
      </c>
      <c r="R397" t="s">
        <v>617</v>
      </c>
      <c r="S397" t="s">
        <v>24</v>
      </c>
      <c r="T397">
        <f>IF($M397="PER-M2",
   ($N397 * $J397 * $K397)
   + IFERROR(VLOOKUP($R397,Finishing!A:B,2,FALSE),0)
   + IFERROR(VLOOKUP($S397,Kerumitan!A:B,2,FALSE),0),
IF($M397="PER-LUBANG",
   ($P397 * $L397 * $K397)
   + IFERROR(VLOOKUP($R397,Finishing!A:B,2,FALSE),0)
   + IFERROR(VLOOKUP($S397,Kerumitan!A:B,2,FALSE),0),
IF($M397="PER-M",
   ($O397 * $J397 * $K397)
   + IFERROR(VLOOKUP($R397,Finishing!A:B,2,FALSE),0)
   + IFERROR(VLOOKUP($S397,Kerumitan!A:B,2,FALSE),0),
0)))</f>
        <v>28428400</v>
      </c>
    </row>
    <row r="398" spans="1:20" x14ac:dyDescent="0.45">
      <c r="A398" t="s">
        <v>495</v>
      </c>
      <c r="B398" s="5">
        <v>43569</v>
      </c>
      <c r="C398">
        <f t="shared" si="6"/>
        <v>2019</v>
      </c>
      <c r="D398" t="s">
        <v>163</v>
      </c>
      <c r="E398" t="s">
        <v>38</v>
      </c>
      <c r="F398" t="s">
        <v>7</v>
      </c>
      <c r="G398" t="s">
        <v>15</v>
      </c>
      <c r="H398" t="s">
        <v>35</v>
      </c>
      <c r="I398">
        <v>0.8</v>
      </c>
      <c r="J398">
        <v>13.14</v>
      </c>
      <c r="K398">
        <v>1</v>
      </c>
      <c r="L398">
        <v>0</v>
      </c>
      <c r="M398" t="str" cm="1">
        <f t="array" ref="M398">_xlfn.IFS(
   OR($F398="Pagar", $F398="Pintu Gerbang", $F398="Pintu Handerson", $F398="Kanopi"), "PER-M2",
   $F398="Teralis", "PER-LUBANG",
   OR($F398="Railing", $F398="Railing/Balkon"), "PER-M",
   TRUE, ""
)</f>
        <v>PER-M2</v>
      </c>
      <c r="N398" cm="1">
        <f t="array" ref="N398">IF($M398="PER-M2",
  IFERROR(
     _xlfn.IFS(
        $G398="Hollow",
            INDEX('Referensi Harga'!$C:$C,
                  MATCH($F398&amp;$C398,'Referensi Harga'!$A:$A&amp;'Referensi Harga'!$B:$B,0)),
        $G398="Hollow Stainless",
            INDEX('Referensi Harga'!$D:$D,
                  MATCH($F398&amp;$C398,'Referensi Harga'!$A:$A&amp;'Referensi Harga'!$B:$B,0)),
        $G398="Pipa Stainless",
            INDEX('Referensi Harga'!$E:$E,
                  MATCH($F398&amp;$C398,'Referensi Harga'!$A:$A&amp;'Referensi Harga'!$B:$B,0))
     ),0)
  + IFERROR(VLOOKUP($H398,'Profile Size'!$A:$B,2,FALSE),0)
  + IFERROR(VLOOKUP($I398,'Ketebalan Material'!$A:$B,2,FALSE),0),
0)</f>
        <v>1200000</v>
      </c>
      <c r="O398">
        <f>IF($M398="PER-M",
  IFERROR(
    IF($G398="Hollow",
       INDEX('Referensi Harga'!$C:$C, MATCH($F398 &amp; "|" &amp; $C398, 'Referensi Harga'!$F:$F, 0)),
    IF($G398="Hollow Stainless",
       INDEX('Referensi Harga'!$D:$D, MATCH($F398 &amp; "|" &amp; $C398, 'Referensi Harga'!$F:$F, 0)),
       INDEX('Referensi Harga'!$E:$E, MATCH($F398 &amp; "|" &amp; $C398, 'Referensi Harga'!$F:$F, 0))
    ))
    + IFERROR(VLOOKUP($H398, 'Profile Size'!$A:$B, 2, FALSE), 0)
    + IFERROR(VLOOKUP($I398, 'Ketebalan Material'!$A:$B, 2, FALSE), 0), 0),
0)</f>
        <v>0</v>
      </c>
      <c r="P398" cm="1">
        <f t="array" ref="P398">IF($M398="PER-LUBANG",
  IFERROR(
     _xlfn.IFS(
        $G398="Hollow",
            INDEX('Referensi Harga'!$C:$C,
                  MATCH($F398&amp;$C398,'Referensi Harga'!$A:$A&amp;'Referensi Harga'!$B:$B,0)),
        $G398="Hollow Stainless",
            INDEX('Referensi Harga'!$D:$D,
                  MATCH($F398&amp;$C398,'Referensi Harga'!$A:$A&amp;'Referensi Harga'!$B:$B,0)),
        $G398="Pipa Stainless",
            INDEX('Referensi Harga'!$E:$E,
                  MATCH($F398&amp;$C398,'Referensi Harga'!$A:$A&amp;'Referensi Harga'!$B:$B,0))
     ),0)
  + IFERROR(VLOOKUP($H398,'Profile Size'!$A:$B,2,FALSE),0)
  + IFERROR(VLOOKUP($I398,'Ketebalan Material'!$A:$B,2,FALSE),0),
0)</f>
        <v>0</v>
      </c>
      <c r="Q398">
        <f>IF($M398="PER-M2",
    IFERROR(
        SUMIFS('Upah Tenaga Ahli'!$C:$C,
               'Upah Tenaga Ahli'!$A:$A,"PER-M2",
               'Upah Tenaga Ahli'!$B:$B,$G398
        ) * $J398 * $K398,
    0),
IF($M398="PER-LUBANG",
    IFERROR(
        SUMIFS('Upah Tenaga Ahli'!$D:$D,
               'Upah Tenaga Ahli'!$A:$A,"PER-LUBANG",
               'Upah Tenaga Ahli'!$B:$B,$G398
        ) * $L398 * $K398,
    0),
IF($M398="PER-M",
    IFERROR(
        SUMIFS('Upah Tenaga Ahli'!$E:$E,
               'Upah Tenaga Ahli'!$A:$A,"PER-M",
               'Upah Tenaga Ahli'!$B:$B,$G398
        ) * $J398 * $K398,
    0),
0)))</f>
        <v>1971000</v>
      </c>
      <c r="R398" t="s">
        <v>617</v>
      </c>
      <c r="S398" t="s">
        <v>23</v>
      </c>
      <c r="T398">
        <f>IF($M398="PER-M2",
   ($N398 * $J398 * $K398)
   + IFERROR(VLOOKUP($R398,Finishing!A:B,2,FALSE),0)
   + IFERROR(VLOOKUP($S398,Kerumitan!A:B,2,FALSE),0),
IF($M398="PER-LUBANG",
   ($P398 * $L398 * $K398)
   + IFERROR(VLOOKUP($R398,Finishing!A:B,2,FALSE),0)
   + IFERROR(VLOOKUP($S398,Kerumitan!A:B,2,FALSE),0),
IF($M398="PER-M",
   ($O398 * $J398 * $K398)
   + IFERROR(VLOOKUP($R398,Finishing!A:B,2,FALSE),0)
   + IFERROR(VLOOKUP($S398,Kerumitan!A:B,2,FALSE),0),
0)))</f>
        <v>15768000</v>
      </c>
    </row>
    <row r="399" spans="1:20" x14ac:dyDescent="0.45">
      <c r="A399" t="s">
        <v>496</v>
      </c>
      <c r="B399" s="5">
        <v>43689</v>
      </c>
      <c r="C399">
        <f t="shared" si="6"/>
        <v>2019</v>
      </c>
      <c r="D399" t="s">
        <v>49</v>
      </c>
      <c r="E399" t="s">
        <v>44</v>
      </c>
      <c r="F399" t="s">
        <v>6</v>
      </c>
      <c r="G399" t="s">
        <v>14</v>
      </c>
      <c r="H399" t="s">
        <v>615</v>
      </c>
      <c r="I399">
        <v>1.2</v>
      </c>
      <c r="J399">
        <v>12.39</v>
      </c>
      <c r="K399">
        <v>1</v>
      </c>
      <c r="L399">
        <v>0</v>
      </c>
      <c r="M399" t="str" cm="1">
        <f t="array" ref="M399">_xlfn.IFS(
   OR($F399="Pagar", $F399="Pintu Gerbang", $F399="Pintu Handerson", $F399="Kanopi"), "PER-M2",
   $F399="Teralis", "PER-LUBANG",
   OR($F399="Railing", $F399="Railing/Balkon"), "PER-M",
   TRUE, ""
)</f>
        <v>PER-M2</v>
      </c>
      <c r="N399" cm="1">
        <f t="array" ref="N399">IF($M399="PER-M2",
  IFERROR(
     _xlfn.IFS(
        $G399="Hollow",
            INDEX('Referensi Harga'!$C:$C,
                  MATCH($F399&amp;$C399,'Referensi Harga'!$A:$A&amp;'Referensi Harga'!$B:$B,0)),
        $G399="Hollow Stainless",
            INDEX('Referensi Harga'!$D:$D,
                  MATCH($F399&amp;$C399,'Referensi Harga'!$A:$A&amp;'Referensi Harga'!$B:$B,0)),
        $G399="Pipa Stainless",
            INDEX('Referensi Harga'!$E:$E,
                  MATCH($F399&amp;$C399,'Referensi Harga'!$A:$A&amp;'Referensi Harga'!$B:$B,0))
     ),0)
  + IFERROR(VLOOKUP($H399,'Profile Size'!$A:$B,2,FALSE),0)
  + IFERROR(VLOOKUP($I399,'Ketebalan Material'!$A:$B,2,FALSE),0),
0)</f>
        <v>800000</v>
      </c>
      <c r="O399">
        <f>IF($M399="PER-M",
  IFERROR(
    IF($G399="Hollow",
       INDEX('Referensi Harga'!$C:$C, MATCH($F399 &amp; "|" &amp; $C399, 'Referensi Harga'!$F:$F, 0)),
    IF($G399="Hollow Stainless",
       INDEX('Referensi Harga'!$D:$D, MATCH($F399 &amp; "|" &amp; $C399, 'Referensi Harga'!$F:$F, 0)),
       INDEX('Referensi Harga'!$E:$E, MATCH($F399 &amp; "|" &amp; $C399, 'Referensi Harga'!$F:$F, 0))
    ))
    + IFERROR(VLOOKUP($H399, 'Profile Size'!$A:$B, 2, FALSE), 0)
    + IFERROR(VLOOKUP($I399, 'Ketebalan Material'!$A:$B, 2, FALSE), 0), 0),
0)</f>
        <v>0</v>
      </c>
      <c r="P399" cm="1">
        <f t="array" ref="P399">IF($M399="PER-LUBANG",
  IFERROR(
     _xlfn.IFS(
        $G399="Hollow",
            INDEX('Referensi Harga'!$C:$C,
                  MATCH($F399&amp;$C399,'Referensi Harga'!$A:$A&amp;'Referensi Harga'!$B:$B,0)),
        $G399="Hollow Stainless",
            INDEX('Referensi Harga'!$D:$D,
                  MATCH($F399&amp;$C399,'Referensi Harga'!$A:$A&amp;'Referensi Harga'!$B:$B,0)),
        $G399="Pipa Stainless",
            INDEX('Referensi Harga'!$E:$E,
                  MATCH($F399&amp;$C399,'Referensi Harga'!$A:$A&amp;'Referensi Harga'!$B:$B,0))
     ),0)
  + IFERROR(VLOOKUP($H399,'Profile Size'!$A:$B,2,FALSE),0)
  + IFERROR(VLOOKUP($I399,'Ketebalan Material'!$A:$B,2,FALSE),0),
0)</f>
        <v>0</v>
      </c>
      <c r="Q399">
        <f>IF($M399="PER-M2",
    IFERROR(
        SUMIFS('Upah Tenaga Ahli'!$C:$C,
               'Upah Tenaga Ahli'!$A:$A,"PER-M2",
               'Upah Tenaga Ahli'!$B:$B,$G399
        ) * $J399 * $K399,
    0),
IF($M399="PER-LUBANG",
    IFERROR(
        SUMIFS('Upah Tenaga Ahli'!$D:$D,
               'Upah Tenaga Ahli'!$A:$A,"PER-LUBANG",
               'Upah Tenaga Ahli'!$B:$B,$G399
        ) * $L399 * $K399,
    0),
IF($M399="PER-M",
    IFERROR(
        SUMIFS('Upah Tenaga Ahli'!$E:$E,
               'Upah Tenaga Ahli'!$A:$A,"PER-M",
               'Upah Tenaga Ahli'!$B:$B,$G399
        ) * $J399 * $K399,
    0),
0)))</f>
        <v>2478000</v>
      </c>
      <c r="R399" t="s">
        <v>617</v>
      </c>
      <c r="S399" t="s">
        <v>23</v>
      </c>
      <c r="T399">
        <f>IF($M399="PER-M2",
   ($N399 * $J399 * $K399)
   + IFERROR(VLOOKUP($R399,Finishing!A:B,2,FALSE),0)
   + IFERROR(VLOOKUP($S399,Kerumitan!A:B,2,FALSE),0),
IF($M399="PER-LUBANG",
   ($P399 * $L399 * $K399)
   + IFERROR(VLOOKUP($R399,Finishing!A:B,2,FALSE),0)
   + IFERROR(VLOOKUP($S399,Kerumitan!A:B,2,FALSE),0),
IF($M399="PER-M",
   ($O399 * $J399 * $K399)
   + IFERROR(VLOOKUP($R399,Finishing!A:B,2,FALSE),0)
   + IFERROR(VLOOKUP($S399,Kerumitan!A:B,2,FALSE),0),
0)))</f>
        <v>9912000</v>
      </c>
    </row>
    <row r="400" spans="1:20" x14ac:dyDescent="0.45">
      <c r="A400" t="s">
        <v>497</v>
      </c>
      <c r="B400" s="5">
        <v>43847</v>
      </c>
      <c r="C400">
        <f t="shared" si="6"/>
        <v>2020</v>
      </c>
      <c r="D400" t="s">
        <v>59</v>
      </c>
      <c r="E400" t="s">
        <v>87</v>
      </c>
      <c r="F400" t="s">
        <v>4</v>
      </c>
      <c r="G400" t="s">
        <v>15</v>
      </c>
      <c r="H400" t="s">
        <v>33</v>
      </c>
      <c r="I400">
        <v>1.2</v>
      </c>
      <c r="J400">
        <v>22.96</v>
      </c>
      <c r="K400">
        <v>1</v>
      </c>
      <c r="L400">
        <v>0</v>
      </c>
      <c r="M400" t="str" cm="1">
        <f t="array" ref="M400">_xlfn.IFS(
   OR($F400="Pagar", $F400="Pintu Gerbang", $F400="Pintu Handerson", $F400="Kanopi"), "PER-M2",
   $F400="Teralis", "PER-LUBANG",
   OR($F400="Railing", $F400="Railing/Balkon"), "PER-M",
   TRUE, ""
)</f>
        <v>PER-M2</v>
      </c>
      <c r="N400" cm="1">
        <f t="array" ref="N400">IF($M400="PER-M2",
  IFERROR(
     _xlfn.IFS(
        $G400="Hollow",
            INDEX('Referensi Harga'!$C:$C,
                  MATCH($F400&amp;$C400,'Referensi Harga'!$A:$A&amp;'Referensi Harga'!$B:$B,0)),
        $G400="Hollow Stainless",
            INDEX('Referensi Harga'!$D:$D,
                  MATCH($F400&amp;$C400,'Referensi Harga'!$A:$A&amp;'Referensi Harga'!$B:$B,0)),
        $G400="Pipa Stainless",
            INDEX('Referensi Harga'!$E:$E,
                  MATCH($F400&amp;$C400,'Referensi Harga'!$A:$A&amp;'Referensi Harga'!$B:$B,0))
     ),0)
  + IFERROR(VLOOKUP($H400,'Profile Size'!$A:$B,2,FALSE),0)
  + IFERROR(VLOOKUP($I400,'Ketebalan Material'!$A:$B,2,FALSE),0),
0)</f>
        <v>1150000</v>
      </c>
      <c r="O400">
        <f>IF($M400="PER-M",
  IFERROR(
    IF($G400="Hollow",
       INDEX('Referensi Harga'!$C:$C, MATCH($F400 &amp; "|" &amp; $C400, 'Referensi Harga'!$F:$F, 0)),
    IF($G400="Hollow Stainless",
       INDEX('Referensi Harga'!$D:$D, MATCH($F400 &amp; "|" &amp; $C400, 'Referensi Harga'!$F:$F, 0)),
       INDEX('Referensi Harga'!$E:$E, MATCH($F400 &amp; "|" &amp; $C400, 'Referensi Harga'!$F:$F, 0))
    ))
    + IFERROR(VLOOKUP($H400, 'Profile Size'!$A:$B, 2, FALSE), 0)
    + IFERROR(VLOOKUP($I400, 'Ketebalan Material'!$A:$B, 2, FALSE), 0), 0),
0)</f>
        <v>0</v>
      </c>
      <c r="P400" cm="1">
        <f t="array" ref="P400">IF($M400="PER-LUBANG",
  IFERROR(
     _xlfn.IFS(
        $G400="Hollow",
            INDEX('Referensi Harga'!$C:$C,
                  MATCH($F400&amp;$C400,'Referensi Harga'!$A:$A&amp;'Referensi Harga'!$B:$B,0)),
        $G400="Hollow Stainless",
            INDEX('Referensi Harga'!$D:$D,
                  MATCH($F400&amp;$C400,'Referensi Harga'!$A:$A&amp;'Referensi Harga'!$B:$B,0)),
        $G400="Pipa Stainless",
            INDEX('Referensi Harga'!$E:$E,
                  MATCH($F400&amp;$C400,'Referensi Harga'!$A:$A&amp;'Referensi Harga'!$B:$B,0))
     ),0)
  + IFERROR(VLOOKUP($H400,'Profile Size'!$A:$B,2,FALSE),0)
  + IFERROR(VLOOKUP($I400,'Ketebalan Material'!$A:$B,2,FALSE),0),
0)</f>
        <v>0</v>
      </c>
      <c r="Q400">
        <f>IF($M400="PER-M2",
    IFERROR(
        SUMIFS('Upah Tenaga Ahli'!$C:$C,
               'Upah Tenaga Ahli'!$A:$A,"PER-M2",
               'Upah Tenaga Ahli'!$B:$B,$G400
        ) * $J400 * $K400,
    0),
IF($M400="PER-LUBANG",
    IFERROR(
        SUMIFS('Upah Tenaga Ahli'!$D:$D,
               'Upah Tenaga Ahli'!$A:$A,"PER-LUBANG",
               'Upah Tenaga Ahli'!$B:$B,$G400
        ) * $L400 * $K400,
    0),
IF($M400="PER-M",
    IFERROR(
        SUMIFS('Upah Tenaga Ahli'!$E:$E,
               'Upah Tenaga Ahli'!$A:$A,"PER-M",
               'Upah Tenaga Ahli'!$B:$B,$G400
        ) * $J400 * $K400,
    0),
0)))</f>
        <v>3444000</v>
      </c>
      <c r="R400" t="s">
        <v>617</v>
      </c>
      <c r="S400" t="s">
        <v>24</v>
      </c>
      <c r="T400">
        <f>IF($M400="PER-M2",
   ($N400 * $J400 * $K400)
   + IFERROR(VLOOKUP($R400,Finishing!A:B,2,FALSE),0)
   + IFERROR(VLOOKUP($S400,Kerumitan!A:B,2,FALSE),0),
IF($M400="PER-LUBANG",
   ($P400 * $L400 * $K400)
   + IFERROR(VLOOKUP($R400,Finishing!A:B,2,FALSE),0)
   + IFERROR(VLOOKUP($S400,Kerumitan!A:B,2,FALSE),0),
IF($M400="PER-M",
   ($O400 * $J400 * $K400)
   + IFERROR(VLOOKUP($R400,Finishing!A:B,2,FALSE),0)
   + IFERROR(VLOOKUP($S400,Kerumitan!A:B,2,FALSE),0),
0)))</f>
        <v>26504000</v>
      </c>
    </row>
    <row r="401" spans="1:20" x14ac:dyDescent="0.45">
      <c r="A401" t="s">
        <v>498</v>
      </c>
      <c r="B401" s="5">
        <v>45972</v>
      </c>
      <c r="C401">
        <f t="shared" si="6"/>
        <v>2025</v>
      </c>
      <c r="D401" t="s">
        <v>49</v>
      </c>
      <c r="E401" t="s">
        <v>69</v>
      </c>
      <c r="F401" t="s">
        <v>7</v>
      </c>
      <c r="G401" t="s">
        <v>13</v>
      </c>
      <c r="H401" t="s">
        <v>33</v>
      </c>
      <c r="I401">
        <v>1.2</v>
      </c>
      <c r="J401">
        <v>5.56</v>
      </c>
      <c r="K401">
        <v>1</v>
      </c>
      <c r="L401">
        <v>0</v>
      </c>
      <c r="M401" t="str" cm="1">
        <f t="array" ref="M401">_xlfn.IFS(
   OR($F401="Pagar", $F401="Pintu Gerbang", $F401="Pintu Handerson", $F401="Kanopi"), "PER-M2",
   $F401="Teralis", "PER-LUBANG",
   OR($F401="Railing", $F401="Railing/Balkon"), "PER-M",
   TRUE, ""
)</f>
        <v>PER-M2</v>
      </c>
      <c r="N401" cm="1">
        <f t="array" ref="N401">IF($M401="PER-M2",
  IFERROR(
     _xlfn.IFS(
        $G401="Hollow",
            INDEX('Referensi Harga'!$C:$C,
                  MATCH($F401&amp;$C401,'Referensi Harga'!$A:$A&amp;'Referensi Harga'!$B:$B,0)),
        $G401="Hollow Stainless",
            INDEX('Referensi Harga'!$D:$D,
                  MATCH($F401&amp;$C401,'Referensi Harga'!$A:$A&amp;'Referensi Harga'!$B:$B,0)),
        $G401="Pipa Stainless",
            INDEX('Referensi Harga'!$E:$E,
                  MATCH($F401&amp;$C401,'Referensi Harga'!$A:$A&amp;'Referensi Harga'!$B:$B,0))
     ),0)
  + IFERROR(VLOOKUP($H401,'Profile Size'!$A:$B,2,FALSE),0)
  + IFERROR(VLOOKUP($I401,'Ketebalan Material'!$A:$B,2,FALSE),0),
0)</f>
        <v>850000</v>
      </c>
      <c r="O401">
        <f>IF($M401="PER-M",
  IFERROR(
    IF($G401="Hollow",
       INDEX('Referensi Harga'!$C:$C, MATCH($F401 &amp; "|" &amp; $C401, 'Referensi Harga'!$F:$F, 0)),
    IF($G401="Hollow Stainless",
       INDEX('Referensi Harga'!$D:$D, MATCH($F401 &amp; "|" &amp; $C401, 'Referensi Harga'!$F:$F, 0)),
       INDEX('Referensi Harga'!$E:$E, MATCH($F401 &amp; "|" &amp; $C401, 'Referensi Harga'!$F:$F, 0))
    ))
    + IFERROR(VLOOKUP($H401, 'Profile Size'!$A:$B, 2, FALSE), 0)
    + IFERROR(VLOOKUP($I401, 'Ketebalan Material'!$A:$B, 2, FALSE), 0), 0),
0)</f>
        <v>0</v>
      </c>
      <c r="P401" cm="1">
        <f t="array" ref="P401">IF($M401="PER-LUBANG",
  IFERROR(
     _xlfn.IFS(
        $G401="Hollow",
            INDEX('Referensi Harga'!$C:$C,
                  MATCH($F401&amp;$C401,'Referensi Harga'!$A:$A&amp;'Referensi Harga'!$B:$B,0)),
        $G401="Hollow Stainless",
            INDEX('Referensi Harga'!$D:$D,
                  MATCH($F401&amp;$C401,'Referensi Harga'!$A:$A&amp;'Referensi Harga'!$B:$B,0)),
        $G401="Pipa Stainless",
            INDEX('Referensi Harga'!$E:$E,
                  MATCH($F401&amp;$C401,'Referensi Harga'!$A:$A&amp;'Referensi Harga'!$B:$B,0))
     ),0)
  + IFERROR(VLOOKUP($H401,'Profile Size'!$A:$B,2,FALSE),0)
  + IFERROR(VLOOKUP($I401,'Ketebalan Material'!$A:$B,2,FALSE),0),
0)</f>
        <v>0</v>
      </c>
      <c r="Q401">
        <f>IF($M401="PER-M2",
    IFERROR(
        SUMIFS('Upah Tenaga Ahli'!$C:$C,
               'Upah Tenaga Ahli'!$A:$A,"PER-M2",
               'Upah Tenaga Ahli'!$B:$B,$G401
        ) * $J401 * $K401,
    0),
IF($M401="PER-LUBANG",
    IFERROR(
        SUMIFS('Upah Tenaga Ahli'!$D:$D,
               'Upah Tenaga Ahli'!$A:$A,"PER-LUBANG",
               'Upah Tenaga Ahli'!$B:$B,$G401
        ) * $L401 * $K401,
    0),
IF($M401="PER-M",
    IFERROR(
        SUMIFS('Upah Tenaga Ahli'!$E:$E,
               'Upah Tenaga Ahli'!$A:$A,"PER-M",
               'Upah Tenaga Ahli'!$B:$B,$G401
        ) * $J401 * $K401,
    0),
0)))</f>
        <v>556000</v>
      </c>
      <c r="R401" t="s">
        <v>20</v>
      </c>
      <c r="S401" t="s">
        <v>24</v>
      </c>
      <c r="T401">
        <f>IF($M401="PER-M2",
   ($N401 * $J401 * $K401)
   + IFERROR(VLOOKUP($R401,Finishing!A:B,2,FALSE),0)
   + IFERROR(VLOOKUP($S401,Kerumitan!A:B,2,FALSE),0),
IF($M401="PER-LUBANG",
   ($P401 * $L401 * $K401)
   + IFERROR(VLOOKUP($R401,Finishing!A:B,2,FALSE),0)
   + IFERROR(VLOOKUP($S401,Kerumitan!A:B,2,FALSE),0),
IF($M401="PER-M",
   ($O401 * $J401 * $K401)
   + IFERROR(VLOOKUP($R401,Finishing!A:B,2,FALSE),0)
   + IFERROR(VLOOKUP($S401,Kerumitan!A:B,2,FALSE),0),
0)))</f>
        <v>4976000</v>
      </c>
    </row>
    <row r="402" spans="1:20" x14ac:dyDescent="0.45">
      <c r="A402" t="s">
        <v>499</v>
      </c>
      <c r="B402" s="5">
        <v>44595</v>
      </c>
      <c r="C402">
        <f t="shared" si="6"/>
        <v>2022</v>
      </c>
      <c r="D402" t="s">
        <v>65</v>
      </c>
      <c r="E402" t="s">
        <v>87</v>
      </c>
      <c r="F402" t="s">
        <v>8</v>
      </c>
      <c r="G402" t="s">
        <v>13</v>
      </c>
      <c r="H402" t="s">
        <v>612</v>
      </c>
      <c r="I402">
        <v>1.2</v>
      </c>
      <c r="J402">
        <v>0</v>
      </c>
      <c r="K402">
        <v>1</v>
      </c>
      <c r="L402">
        <v>14</v>
      </c>
      <c r="M402" t="str" cm="1">
        <f t="array" ref="M402">_xlfn.IFS(
   OR($F402="Pagar", $F402="Pintu Gerbang", $F402="Pintu Handerson", $F402="Kanopi"), "PER-M2",
   $F402="Teralis", "PER-LUBANG",
   OR($F402="Railing", $F402="Railing/Balkon"), "PER-M",
   TRUE, ""
)</f>
        <v>PER-LUBANG</v>
      </c>
      <c r="N402" cm="1">
        <f t="array" ref="N402">IF($M402="PER-M2",
  IFERROR(
     _xlfn.IFS(
        $G402="Hollow",
            INDEX('Referensi Harga'!$C:$C,
                  MATCH($F402&amp;$C402,'Referensi Harga'!$A:$A&amp;'Referensi Harga'!$B:$B,0)),
        $G402="Hollow Stainless",
            INDEX('Referensi Harga'!$D:$D,
                  MATCH($F402&amp;$C402,'Referensi Harga'!$A:$A&amp;'Referensi Harga'!$B:$B,0)),
        $G402="Pipa Stainless",
            INDEX('Referensi Harga'!$E:$E,
                  MATCH($F402&amp;$C402,'Referensi Harga'!$A:$A&amp;'Referensi Harga'!$B:$B,0))
     ),0)
  + IFERROR(VLOOKUP($H402,'Profile Size'!$A:$B,2,FALSE),0)
  + IFERROR(VLOOKUP($I402,'Ketebalan Material'!$A:$B,2,FALSE),0),
0)</f>
        <v>0</v>
      </c>
      <c r="O402">
        <f>IF($M402="PER-M",
  IFERROR(
    IF($G402="Hollow",
       INDEX('Referensi Harga'!$C:$C, MATCH($F402 &amp; "|" &amp; $C402, 'Referensi Harga'!$F:$F, 0)),
    IF($G402="Hollow Stainless",
       INDEX('Referensi Harga'!$D:$D, MATCH($F402 &amp; "|" &amp; $C402, 'Referensi Harga'!$F:$F, 0)),
       INDEX('Referensi Harga'!$E:$E, MATCH($F402 &amp; "|" &amp; $C402, 'Referensi Harga'!$F:$F, 0))
    ))
    + IFERROR(VLOOKUP($H402, 'Profile Size'!$A:$B, 2, FALSE), 0)
    + IFERROR(VLOOKUP($I402, 'Ketebalan Material'!$A:$B, 2, FALSE), 0), 0),
0)</f>
        <v>0</v>
      </c>
      <c r="P402" cm="1">
        <f t="array" ref="P402">IF($M402="PER-LUBANG",
  IFERROR(
     _xlfn.IFS(
        $G402="Hollow",
            INDEX('Referensi Harga'!$C:$C,
                  MATCH($F402&amp;$C402,'Referensi Harga'!$A:$A&amp;'Referensi Harga'!$B:$B,0)),
        $G402="Hollow Stainless",
            INDEX('Referensi Harga'!$D:$D,
                  MATCH($F402&amp;$C402,'Referensi Harga'!$A:$A&amp;'Referensi Harga'!$B:$B,0)),
        $G402="Pipa Stainless",
            INDEX('Referensi Harga'!$E:$E,
                  MATCH($F402&amp;$C402,'Referensi Harga'!$A:$A&amp;'Referensi Harga'!$B:$B,0))
     ),0)
  + IFERROR(VLOOKUP($H402,'Profile Size'!$A:$B,2,FALSE),0)
  + IFERROR(VLOOKUP($I402,'Ketebalan Material'!$A:$B,2,FALSE),0),
0)</f>
        <v>400000</v>
      </c>
      <c r="Q402">
        <f>IF($M402="PER-M2",
    IFERROR(
        SUMIFS('Upah Tenaga Ahli'!$C:$C,
               'Upah Tenaga Ahli'!$A:$A,"PER-M2",
               'Upah Tenaga Ahli'!$B:$B,$G402
        ) * $J402 * $K402,
    0),
IF($M402="PER-LUBANG",
    IFERROR(
        SUMIFS('Upah Tenaga Ahli'!$D:$D,
               'Upah Tenaga Ahli'!$A:$A,"PER-LUBANG",
               'Upah Tenaga Ahli'!$B:$B,$G402
        ) * $L402 * $K402,
    0),
IF($M402="PER-M",
    IFERROR(
        SUMIFS('Upah Tenaga Ahli'!$E:$E,
               'Upah Tenaga Ahli'!$A:$A,"PER-M",
               'Upah Tenaga Ahli'!$B:$B,$G402
        ) * $J402 * $K402,
    0),
0)))</f>
        <v>1050000</v>
      </c>
      <c r="R402" t="s">
        <v>19</v>
      </c>
      <c r="S402" t="s">
        <v>24</v>
      </c>
      <c r="T402">
        <f>IF($M402="PER-M2",
   ($N402 * $J402 * $K402)
   + IFERROR(VLOOKUP($R402,Finishing!A:B,2,FALSE),0)
   + IFERROR(VLOOKUP($S402,Kerumitan!A:B,2,FALSE),0),
IF($M402="PER-LUBANG",
   ($P402 * $L402 * $K402)
   + IFERROR(VLOOKUP($R402,Finishing!A:B,2,FALSE),0)
   + IFERROR(VLOOKUP($S402,Kerumitan!A:B,2,FALSE),0),
IF($M402="PER-M",
   ($O402 * $J402 * $K402)
   + IFERROR(VLOOKUP($R402,Finishing!A:B,2,FALSE),0)
   + IFERROR(VLOOKUP($S402,Kerumitan!A:B,2,FALSE),0),
0)))</f>
        <v>5750000</v>
      </c>
    </row>
    <row r="403" spans="1:20" x14ac:dyDescent="0.45">
      <c r="A403" t="s">
        <v>500</v>
      </c>
      <c r="B403" s="5">
        <v>43833</v>
      </c>
      <c r="C403">
        <f t="shared" si="6"/>
        <v>2020</v>
      </c>
      <c r="D403" t="s">
        <v>115</v>
      </c>
      <c r="E403" t="s">
        <v>121</v>
      </c>
      <c r="F403" t="s">
        <v>7</v>
      </c>
      <c r="G403" t="s">
        <v>13</v>
      </c>
      <c r="H403" t="s">
        <v>33</v>
      </c>
      <c r="I403">
        <v>1.2</v>
      </c>
      <c r="J403">
        <v>5.8</v>
      </c>
      <c r="K403">
        <v>1</v>
      </c>
      <c r="L403">
        <v>0</v>
      </c>
      <c r="M403" t="str" cm="1">
        <f t="array" ref="M403">_xlfn.IFS(
   OR($F403="Pagar", $F403="Pintu Gerbang", $F403="Pintu Handerson", $F403="Kanopi"), "PER-M2",
   $F403="Teralis", "PER-LUBANG",
   OR($F403="Railing", $F403="Railing/Balkon"), "PER-M",
   TRUE, ""
)</f>
        <v>PER-M2</v>
      </c>
      <c r="N403" cm="1">
        <f t="array" ref="N403">IF($M403="PER-M2",
  IFERROR(
     _xlfn.IFS(
        $G403="Hollow",
            INDEX('Referensi Harga'!$C:$C,
                  MATCH($F403&amp;$C403,'Referensi Harga'!$A:$A&amp;'Referensi Harga'!$B:$B,0)),
        $G403="Hollow Stainless",
            INDEX('Referensi Harga'!$D:$D,
                  MATCH($F403&amp;$C403,'Referensi Harga'!$A:$A&amp;'Referensi Harga'!$B:$B,0)),
        $G403="Pipa Stainless",
            INDEX('Referensi Harga'!$E:$E,
                  MATCH($F403&amp;$C403,'Referensi Harga'!$A:$A&amp;'Referensi Harga'!$B:$B,0))
     ),0)
  + IFERROR(VLOOKUP($H403,'Profile Size'!$A:$B,2,FALSE),0)
  + IFERROR(VLOOKUP($I403,'Ketebalan Material'!$A:$B,2,FALSE),0),
0)</f>
        <v>700000</v>
      </c>
      <c r="O403">
        <f>IF($M403="PER-M",
  IFERROR(
    IF($G403="Hollow",
       INDEX('Referensi Harga'!$C:$C, MATCH($F403 &amp; "|" &amp; $C403, 'Referensi Harga'!$F:$F, 0)),
    IF($G403="Hollow Stainless",
       INDEX('Referensi Harga'!$D:$D, MATCH($F403 &amp; "|" &amp; $C403, 'Referensi Harga'!$F:$F, 0)),
       INDEX('Referensi Harga'!$E:$E, MATCH($F403 &amp; "|" &amp; $C403, 'Referensi Harga'!$F:$F, 0))
    ))
    + IFERROR(VLOOKUP($H403, 'Profile Size'!$A:$B, 2, FALSE), 0)
    + IFERROR(VLOOKUP($I403, 'Ketebalan Material'!$A:$B, 2, FALSE), 0), 0),
0)</f>
        <v>0</v>
      </c>
      <c r="P403" cm="1">
        <f t="array" ref="P403">IF($M403="PER-LUBANG",
  IFERROR(
     _xlfn.IFS(
        $G403="Hollow",
            INDEX('Referensi Harga'!$C:$C,
                  MATCH($F403&amp;$C403,'Referensi Harga'!$A:$A&amp;'Referensi Harga'!$B:$B,0)),
        $G403="Hollow Stainless",
            INDEX('Referensi Harga'!$D:$D,
                  MATCH($F403&amp;$C403,'Referensi Harga'!$A:$A&amp;'Referensi Harga'!$B:$B,0)),
        $G403="Pipa Stainless",
            INDEX('Referensi Harga'!$E:$E,
                  MATCH($F403&amp;$C403,'Referensi Harga'!$A:$A&amp;'Referensi Harga'!$B:$B,0))
     ),0)
  + IFERROR(VLOOKUP($H403,'Profile Size'!$A:$B,2,FALSE),0)
  + IFERROR(VLOOKUP($I403,'Ketebalan Material'!$A:$B,2,FALSE),0),
0)</f>
        <v>0</v>
      </c>
      <c r="Q403">
        <f>IF($M403="PER-M2",
    IFERROR(
        SUMIFS('Upah Tenaga Ahli'!$C:$C,
               'Upah Tenaga Ahli'!$A:$A,"PER-M2",
               'Upah Tenaga Ahli'!$B:$B,$G403
        ) * $J403 * $K403,
    0),
IF($M403="PER-LUBANG",
    IFERROR(
        SUMIFS('Upah Tenaga Ahli'!$D:$D,
               'Upah Tenaga Ahli'!$A:$A,"PER-LUBANG",
               'Upah Tenaga Ahli'!$B:$B,$G403
        ) * $L403 * $K403,
    0),
IF($M403="PER-M",
    IFERROR(
        SUMIFS('Upah Tenaga Ahli'!$E:$E,
               'Upah Tenaga Ahli'!$A:$A,"PER-M",
               'Upah Tenaga Ahli'!$B:$B,$G403
        ) * $J403 * $K403,
    0),
0)))</f>
        <v>580000</v>
      </c>
      <c r="R403" t="s">
        <v>19</v>
      </c>
      <c r="S403" t="s">
        <v>24</v>
      </c>
      <c r="T403">
        <f>IF($M403="PER-M2",
   ($N403 * $J403 * $K403)
   + IFERROR(VLOOKUP($R403,Finishing!A:B,2,FALSE),0)
   + IFERROR(VLOOKUP($S403,Kerumitan!A:B,2,FALSE),0),
IF($M403="PER-LUBANG",
   ($P403 * $L403 * $K403)
   + IFERROR(VLOOKUP($R403,Finishing!A:B,2,FALSE),0)
   + IFERROR(VLOOKUP($S403,Kerumitan!A:B,2,FALSE),0),
IF($M403="PER-M",
   ($O403 * $J403 * $K403)
   + IFERROR(VLOOKUP($R403,Finishing!A:B,2,FALSE),0)
   + IFERROR(VLOOKUP($S403,Kerumitan!A:B,2,FALSE),0),
0)))</f>
        <v>4210000</v>
      </c>
    </row>
    <row r="404" spans="1:20" x14ac:dyDescent="0.45">
      <c r="A404" t="s">
        <v>501</v>
      </c>
      <c r="B404" s="5">
        <v>43920</v>
      </c>
      <c r="C404">
        <f t="shared" si="6"/>
        <v>2020</v>
      </c>
      <c r="D404" t="s">
        <v>110</v>
      </c>
      <c r="E404" t="s">
        <v>105</v>
      </c>
      <c r="F404" t="s">
        <v>8</v>
      </c>
      <c r="G404" t="s">
        <v>13</v>
      </c>
      <c r="H404" t="s">
        <v>612</v>
      </c>
      <c r="I404">
        <v>1</v>
      </c>
      <c r="J404">
        <v>0</v>
      </c>
      <c r="K404">
        <v>1</v>
      </c>
      <c r="L404">
        <v>10</v>
      </c>
      <c r="M404" t="str" cm="1">
        <f t="array" ref="M404">_xlfn.IFS(
   OR($F404="Pagar", $F404="Pintu Gerbang", $F404="Pintu Handerson", $F404="Kanopi"), "PER-M2",
   $F404="Teralis", "PER-LUBANG",
   OR($F404="Railing", $F404="Railing/Balkon"), "PER-M",
   TRUE, ""
)</f>
        <v>PER-LUBANG</v>
      </c>
      <c r="N404" cm="1">
        <f t="array" ref="N404">IF($M404="PER-M2",
  IFERROR(
     _xlfn.IFS(
        $G404="Hollow",
            INDEX('Referensi Harga'!$C:$C,
                  MATCH($F404&amp;$C404,'Referensi Harga'!$A:$A&amp;'Referensi Harga'!$B:$B,0)),
        $G404="Hollow Stainless",
            INDEX('Referensi Harga'!$D:$D,
                  MATCH($F404&amp;$C404,'Referensi Harga'!$A:$A&amp;'Referensi Harga'!$B:$B,0)),
        $G404="Pipa Stainless",
            INDEX('Referensi Harga'!$E:$E,
                  MATCH($F404&amp;$C404,'Referensi Harga'!$A:$A&amp;'Referensi Harga'!$B:$B,0))
     ),0)
  + IFERROR(VLOOKUP($H404,'Profile Size'!$A:$B,2,FALSE),0)
  + IFERROR(VLOOKUP($I404,'Ketebalan Material'!$A:$B,2,FALSE),0),
0)</f>
        <v>0</v>
      </c>
      <c r="O404">
        <f>IF($M404="PER-M",
  IFERROR(
    IF($G404="Hollow",
       INDEX('Referensi Harga'!$C:$C, MATCH($F404 &amp; "|" &amp; $C404, 'Referensi Harga'!$F:$F, 0)),
    IF($G404="Hollow Stainless",
       INDEX('Referensi Harga'!$D:$D, MATCH($F404 &amp; "|" &amp; $C404, 'Referensi Harga'!$F:$F, 0)),
       INDEX('Referensi Harga'!$E:$E, MATCH($F404 &amp; "|" &amp; $C404, 'Referensi Harga'!$F:$F, 0))
    ))
    + IFERROR(VLOOKUP($H404, 'Profile Size'!$A:$B, 2, FALSE), 0)
    + IFERROR(VLOOKUP($I404, 'Ketebalan Material'!$A:$B, 2, FALSE), 0), 0),
0)</f>
        <v>0</v>
      </c>
      <c r="P404" cm="1">
        <f t="array" ref="P404">IF($M404="PER-LUBANG",
  IFERROR(
     _xlfn.IFS(
        $G404="Hollow",
            INDEX('Referensi Harga'!$C:$C,
                  MATCH($F404&amp;$C404,'Referensi Harga'!$A:$A&amp;'Referensi Harga'!$B:$B,0)),
        $G404="Hollow Stainless",
            INDEX('Referensi Harga'!$D:$D,
                  MATCH($F404&amp;$C404,'Referensi Harga'!$A:$A&amp;'Referensi Harga'!$B:$B,0)),
        $G404="Pipa Stainless",
            INDEX('Referensi Harga'!$E:$E,
                  MATCH($F404&amp;$C404,'Referensi Harga'!$A:$A&amp;'Referensi Harga'!$B:$B,0))
     ),0)
  + IFERROR(VLOOKUP($H404,'Profile Size'!$A:$B,2,FALSE),0)
  + IFERROR(VLOOKUP($I404,'Ketebalan Material'!$A:$B,2,FALSE),0),
0)</f>
        <v>350000</v>
      </c>
      <c r="Q404">
        <f>IF($M404="PER-M2",
    IFERROR(
        SUMIFS('Upah Tenaga Ahli'!$C:$C,
               'Upah Tenaga Ahli'!$A:$A,"PER-M2",
               'Upah Tenaga Ahli'!$B:$B,$G404
        ) * $J404 * $K404,
    0),
IF($M404="PER-LUBANG",
    IFERROR(
        SUMIFS('Upah Tenaga Ahli'!$D:$D,
               'Upah Tenaga Ahli'!$A:$A,"PER-LUBANG",
               'Upah Tenaga Ahli'!$B:$B,$G404
        ) * $L404 * $K404,
    0),
IF($M404="PER-M",
    IFERROR(
        SUMIFS('Upah Tenaga Ahli'!$E:$E,
               'Upah Tenaga Ahli'!$A:$A,"PER-M",
               'Upah Tenaga Ahli'!$B:$B,$G404
        ) * $J404 * $K404,
    0),
0)))</f>
        <v>750000</v>
      </c>
      <c r="R404" t="s">
        <v>19</v>
      </c>
      <c r="S404" t="s">
        <v>24</v>
      </c>
      <c r="T404">
        <f>IF($M404="PER-M2",
   ($N404 * $J404 * $K404)
   + IFERROR(VLOOKUP($R404,Finishing!A:B,2,FALSE),0)
   + IFERROR(VLOOKUP($S404,Kerumitan!A:B,2,FALSE),0),
IF($M404="PER-LUBANG",
   ($P404 * $L404 * $K404)
   + IFERROR(VLOOKUP($R404,Finishing!A:B,2,FALSE),0)
   + IFERROR(VLOOKUP($S404,Kerumitan!A:B,2,FALSE),0),
IF($M404="PER-M",
   ($O404 * $J404 * $K404)
   + IFERROR(VLOOKUP($R404,Finishing!A:B,2,FALSE),0)
   + IFERROR(VLOOKUP($S404,Kerumitan!A:B,2,FALSE),0),
0)))</f>
        <v>3650000</v>
      </c>
    </row>
    <row r="405" spans="1:20" x14ac:dyDescent="0.45">
      <c r="A405" t="s">
        <v>502</v>
      </c>
      <c r="B405" s="5">
        <v>45619</v>
      </c>
      <c r="C405">
        <f t="shared" si="6"/>
        <v>2024</v>
      </c>
      <c r="D405" t="s">
        <v>139</v>
      </c>
      <c r="E405" t="s">
        <v>38</v>
      </c>
      <c r="F405" t="s">
        <v>10</v>
      </c>
      <c r="G405" t="s">
        <v>13</v>
      </c>
      <c r="H405" t="s">
        <v>33</v>
      </c>
      <c r="I405">
        <v>1.2</v>
      </c>
      <c r="J405">
        <v>4.8499999999999996</v>
      </c>
      <c r="K405">
        <v>1</v>
      </c>
      <c r="L405">
        <v>0</v>
      </c>
      <c r="M405" t="str" cm="1">
        <f t="array" ref="M405">_xlfn.IFS(
   OR($F405="Pagar", $F405="Pintu Gerbang", $F405="Pintu Handerson", $F405="Kanopi"), "PER-M2",
   $F405="Teralis", "PER-LUBANG",
   OR($F405="Railing", $F405="Railing/Balkon"), "PER-M",
   TRUE, ""
)</f>
        <v>PER-M2</v>
      </c>
      <c r="N405" cm="1">
        <f t="array" ref="N405">IF($M405="PER-M2",
  IFERROR(
     _xlfn.IFS(
        $G405="Hollow",
            INDEX('Referensi Harga'!$C:$C,
                  MATCH($F405&amp;$C405,'Referensi Harga'!$A:$A&amp;'Referensi Harga'!$B:$B,0)),
        $G405="Hollow Stainless",
            INDEX('Referensi Harga'!$D:$D,
                  MATCH($F405&amp;$C405,'Referensi Harga'!$A:$A&amp;'Referensi Harga'!$B:$B,0)),
        $G405="Pipa Stainless",
            INDEX('Referensi Harga'!$E:$E,
                  MATCH($F405&amp;$C405,'Referensi Harga'!$A:$A&amp;'Referensi Harga'!$B:$B,0))
     ),0)
  + IFERROR(VLOOKUP($H405,'Profile Size'!$A:$B,2,FALSE),0)
  + IFERROR(VLOOKUP($I405,'Ketebalan Material'!$A:$B,2,FALSE),0),
0)</f>
        <v>1000000</v>
      </c>
      <c r="O405">
        <f>IF($M405="PER-M",
  IFERROR(
    IF($G405="Hollow",
       INDEX('Referensi Harga'!$C:$C, MATCH($F405 &amp; "|" &amp; $C405, 'Referensi Harga'!$F:$F, 0)),
    IF($G405="Hollow Stainless",
       INDEX('Referensi Harga'!$D:$D, MATCH($F405 &amp; "|" &amp; $C405, 'Referensi Harga'!$F:$F, 0)),
       INDEX('Referensi Harga'!$E:$E, MATCH($F405 &amp; "|" &amp; $C405, 'Referensi Harga'!$F:$F, 0))
    ))
    + IFERROR(VLOOKUP($H405, 'Profile Size'!$A:$B, 2, FALSE), 0)
    + IFERROR(VLOOKUP($I405, 'Ketebalan Material'!$A:$B, 2, FALSE), 0), 0),
0)</f>
        <v>0</v>
      </c>
      <c r="P405" cm="1">
        <f t="array" ref="P405">IF($M405="PER-LUBANG",
  IFERROR(
     _xlfn.IFS(
        $G405="Hollow",
            INDEX('Referensi Harga'!$C:$C,
                  MATCH($F405&amp;$C405,'Referensi Harga'!$A:$A&amp;'Referensi Harga'!$B:$B,0)),
        $G405="Hollow Stainless",
            INDEX('Referensi Harga'!$D:$D,
                  MATCH($F405&amp;$C405,'Referensi Harga'!$A:$A&amp;'Referensi Harga'!$B:$B,0)),
        $G405="Pipa Stainless",
            INDEX('Referensi Harga'!$E:$E,
                  MATCH($F405&amp;$C405,'Referensi Harga'!$A:$A&amp;'Referensi Harga'!$B:$B,0))
     ),0)
  + IFERROR(VLOOKUP($H405,'Profile Size'!$A:$B,2,FALSE),0)
  + IFERROR(VLOOKUP($I405,'Ketebalan Material'!$A:$B,2,FALSE),0),
0)</f>
        <v>0</v>
      </c>
      <c r="Q405">
        <f>IF($M405="PER-M2",
    IFERROR(
        SUMIFS('Upah Tenaga Ahli'!$C:$C,
               'Upah Tenaga Ahli'!$A:$A,"PER-M2",
               'Upah Tenaga Ahli'!$B:$B,$G405
        ) * $J405 * $K405,
    0),
IF($M405="PER-LUBANG",
    IFERROR(
        SUMIFS('Upah Tenaga Ahli'!$D:$D,
               'Upah Tenaga Ahli'!$A:$A,"PER-LUBANG",
               'Upah Tenaga Ahli'!$B:$B,$G405
        ) * $L405 * $K405,
    0),
IF($M405="PER-M",
    IFERROR(
        SUMIFS('Upah Tenaga Ahli'!$E:$E,
               'Upah Tenaga Ahli'!$A:$A,"PER-M",
               'Upah Tenaga Ahli'!$B:$B,$G405
        ) * $J405 * $K405,
    0),
0)))</f>
        <v>484999.99999999994</v>
      </c>
      <c r="R405" t="s">
        <v>18</v>
      </c>
      <c r="S405" t="s">
        <v>24</v>
      </c>
      <c r="T405">
        <f>IF($M405="PER-M2",
   ($N405 * $J405 * $K405)
   + IFERROR(VLOOKUP($R405,Finishing!A:B,2,FALSE),0)
   + IFERROR(VLOOKUP($S405,Kerumitan!A:B,2,FALSE),0),
IF($M405="PER-LUBANG",
   ($P405 * $L405 * $K405)
   + IFERROR(VLOOKUP($R405,Finishing!A:B,2,FALSE),0)
   + IFERROR(VLOOKUP($S405,Kerumitan!A:B,2,FALSE),0),
IF($M405="PER-M",
   ($O405 * $J405 * $K405)
   + IFERROR(VLOOKUP($R405,Finishing!A:B,2,FALSE),0)
   + IFERROR(VLOOKUP($S405,Kerumitan!A:B,2,FALSE),0),
0)))</f>
        <v>4950000</v>
      </c>
    </row>
    <row r="406" spans="1:20" x14ac:dyDescent="0.45">
      <c r="A406" t="s">
        <v>503</v>
      </c>
      <c r="B406" s="5">
        <v>45518</v>
      </c>
      <c r="C406">
        <f t="shared" si="6"/>
        <v>2024</v>
      </c>
      <c r="D406" t="s">
        <v>90</v>
      </c>
      <c r="E406" t="s">
        <v>87</v>
      </c>
      <c r="F406" t="s">
        <v>4</v>
      </c>
      <c r="G406" t="s">
        <v>15</v>
      </c>
      <c r="H406" t="s">
        <v>35</v>
      </c>
      <c r="I406">
        <v>0.8</v>
      </c>
      <c r="J406">
        <v>19.22</v>
      </c>
      <c r="K406">
        <v>1</v>
      </c>
      <c r="L406">
        <v>0</v>
      </c>
      <c r="M406" t="str" cm="1">
        <f t="array" ref="M406">_xlfn.IFS(
   OR($F406="Pagar", $F406="Pintu Gerbang", $F406="Pintu Handerson", $F406="Kanopi"), "PER-M2",
   $F406="Teralis", "PER-LUBANG",
   OR($F406="Railing", $F406="Railing/Balkon"), "PER-M",
   TRUE, ""
)</f>
        <v>PER-M2</v>
      </c>
      <c r="N406" cm="1">
        <f t="array" ref="N406">IF($M406="PER-M2",
  IFERROR(
     _xlfn.IFS(
        $G406="Hollow",
            INDEX('Referensi Harga'!$C:$C,
                  MATCH($F406&amp;$C406,'Referensi Harga'!$A:$A&amp;'Referensi Harga'!$B:$B,0)),
        $G406="Hollow Stainless",
            INDEX('Referensi Harga'!$D:$D,
                  MATCH($F406&amp;$C406,'Referensi Harga'!$A:$A&amp;'Referensi Harga'!$B:$B,0)),
        $G406="Pipa Stainless",
            INDEX('Referensi Harga'!$E:$E,
                  MATCH($F406&amp;$C406,'Referensi Harga'!$A:$A&amp;'Referensi Harga'!$B:$B,0))
     ),0)
  + IFERROR(VLOOKUP($H406,'Profile Size'!$A:$B,2,FALSE),0)
  + IFERROR(VLOOKUP($I406,'Ketebalan Material'!$A:$B,2,FALSE),0),
0)</f>
        <v>1280000</v>
      </c>
      <c r="O406">
        <f>IF($M406="PER-M",
  IFERROR(
    IF($G406="Hollow",
       INDEX('Referensi Harga'!$C:$C, MATCH($F406 &amp; "|" &amp; $C406, 'Referensi Harga'!$F:$F, 0)),
    IF($G406="Hollow Stainless",
       INDEX('Referensi Harga'!$D:$D, MATCH($F406 &amp; "|" &amp; $C406, 'Referensi Harga'!$F:$F, 0)),
       INDEX('Referensi Harga'!$E:$E, MATCH($F406 &amp; "|" &amp; $C406, 'Referensi Harga'!$F:$F, 0))
    ))
    + IFERROR(VLOOKUP($H406, 'Profile Size'!$A:$B, 2, FALSE), 0)
    + IFERROR(VLOOKUP($I406, 'Ketebalan Material'!$A:$B, 2, FALSE), 0), 0),
0)</f>
        <v>0</v>
      </c>
      <c r="P406" cm="1">
        <f t="array" ref="P406">IF($M406="PER-LUBANG",
  IFERROR(
     _xlfn.IFS(
        $G406="Hollow",
            INDEX('Referensi Harga'!$C:$C,
                  MATCH($F406&amp;$C406,'Referensi Harga'!$A:$A&amp;'Referensi Harga'!$B:$B,0)),
        $G406="Hollow Stainless",
            INDEX('Referensi Harga'!$D:$D,
                  MATCH($F406&amp;$C406,'Referensi Harga'!$A:$A&amp;'Referensi Harga'!$B:$B,0)),
        $G406="Pipa Stainless",
            INDEX('Referensi Harga'!$E:$E,
                  MATCH($F406&amp;$C406,'Referensi Harga'!$A:$A&amp;'Referensi Harga'!$B:$B,0))
     ),0)
  + IFERROR(VLOOKUP($H406,'Profile Size'!$A:$B,2,FALSE),0)
  + IFERROR(VLOOKUP($I406,'Ketebalan Material'!$A:$B,2,FALSE),0),
0)</f>
        <v>0</v>
      </c>
      <c r="Q406">
        <f>IF($M406="PER-M2",
    IFERROR(
        SUMIFS('Upah Tenaga Ahli'!$C:$C,
               'Upah Tenaga Ahli'!$A:$A,"PER-M2",
               'Upah Tenaga Ahli'!$B:$B,$G406
        ) * $J406 * $K406,
    0),
IF($M406="PER-LUBANG",
    IFERROR(
        SUMIFS('Upah Tenaga Ahli'!$D:$D,
               'Upah Tenaga Ahli'!$A:$A,"PER-LUBANG",
               'Upah Tenaga Ahli'!$B:$B,$G406
        ) * $L406 * $K406,
    0),
IF($M406="PER-M",
    IFERROR(
        SUMIFS('Upah Tenaga Ahli'!$E:$E,
               'Upah Tenaga Ahli'!$A:$A,"PER-M",
               'Upah Tenaga Ahli'!$B:$B,$G406
        ) * $J406 * $K406,
    0),
0)))</f>
        <v>2883000</v>
      </c>
      <c r="R406" t="s">
        <v>617</v>
      </c>
      <c r="S406" t="s">
        <v>24</v>
      </c>
      <c r="T406">
        <f>IF($M406="PER-M2",
   ($N406 * $J406 * $K406)
   + IFERROR(VLOOKUP($R406,Finishing!A:B,2,FALSE),0)
   + IFERROR(VLOOKUP($S406,Kerumitan!A:B,2,FALSE),0),
IF($M406="PER-LUBANG",
   ($P406 * $L406 * $K406)
   + IFERROR(VLOOKUP($R406,Finishing!A:B,2,FALSE),0)
   + IFERROR(VLOOKUP($S406,Kerumitan!A:B,2,FALSE),0),
IF($M406="PER-M",
   ($O406 * $J406 * $K406)
   + IFERROR(VLOOKUP($R406,Finishing!A:B,2,FALSE),0)
   + IFERROR(VLOOKUP($S406,Kerumitan!A:B,2,FALSE),0),
0)))</f>
        <v>24701600</v>
      </c>
    </row>
    <row r="407" spans="1:20" x14ac:dyDescent="0.45">
      <c r="A407" t="s">
        <v>504</v>
      </c>
      <c r="B407" s="5">
        <v>45094</v>
      </c>
      <c r="C407">
        <f t="shared" si="6"/>
        <v>2023</v>
      </c>
      <c r="D407" t="s">
        <v>93</v>
      </c>
      <c r="E407" t="s">
        <v>41</v>
      </c>
      <c r="F407" t="s">
        <v>10</v>
      </c>
      <c r="G407" t="s">
        <v>13</v>
      </c>
      <c r="H407" t="s">
        <v>35</v>
      </c>
      <c r="I407">
        <v>1.2</v>
      </c>
      <c r="J407">
        <v>4.3600000000000003</v>
      </c>
      <c r="K407">
        <v>2</v>
      </c>
      <c r="L407">
        <v>0</v>
      </c>
      <c r="M407" t="str" cm="1">
        <f t="array" ref="M407">_xlfn.IFS(
   OR($F407="Pagar", $F407="Pintu Gerbang", $F407="Pintu Handerson", $F407="Kanopi"), "PER-M2",
   $F407="Teralis", "PER-LUBANG",
   OR($F407="Railing", $F407="Railing/Balkon"), "PER-M",
   TRUE, ""
)</f>
        <v>PER-M2</v>
      </c>
      <c r="N407" cm="1">
        <f t="array" ref="N407">IF($M407="PER-M2",
  IFERROR(
     _xlfn.IFS(
        $G407="Hollow",
            INDEX('Referensi Harga'!$C:$C,
                  MATCH($F407&amp;$C407,'Referensi Harga'!$A:$A&amp;'Referensi Harga'!$B:$B,0)),
        $G407="Hollow Stainless",
            INDEX('Referensi Harga'!$D:$D,
                  MATCH($F407&amp;$C407,'Referensi Harga'!$A:$A&amp;'Referensi Harga'!$B:$B,0)),
        $G407="Pipa Stainless",
            INDEX('Referensi Harga'!$E:$E,
                  MATCH($F407&amp;$C407,'Referensi Harga'!$A:$A&amp;'Referensi Harga'!$B:$B,0))
     ),0)
  + IFERROR(VLOOKUP($H407,'Profile Size'!$A:$B,2,FALSE),0)
  + IFERROR(VLOOKUP($I407,'Ketebalan Material'!$A:$B,2,FALSE),0),
0)</f>
        <v>1050000</v>
      </c>
      <c r="O407">
        <f>IF($M407="PER-M",
  IFERROR(
    IF($G407="Hollow",
       INDEX('Referensi Harga'!$C:$C, MATCH($F407 &amp; "|" &amp; $C407, 'Referensi Harga'!$F:$F, 0)),
    IF($G407="Hollow Stainless",
       INDEX('Referensi Harga'!$D:$D, MATCH($F407 &amp; "|" &amp; $C407, 'Referensi Harga'!$F:$F, 0)),
       INDEX('Referensi Harga'!$E:$E, MATCH($F407 &amp; "|" &amp; $C407, 'Referensi Harga'!$F:$F, 0))
    ))
    + IFERROR(VLOOKUP($H407, 'Profile Size'!$A:$B, 2, FALSE), 0)
    + IFERROR(VLOOKUP($I407, 'Ketebalan Material'!$A:$B, 2, FALSE), 0), 0),
0)</f>
        <v>0</v>
      </c>
      <c r="P407" cm="1">
        <f t="array" ref="P407">IF($M407="PER-LUBANG",
  IFERROR(
     _xlfn.IFS(
        $G407="Hollow",
            INDEX('Referensi Harga'!$C:$C,
                  MATCH($F407&amp;$C407,'Referensi Harga'!$A:$A&amp;'Referensi Harga'!$B:$B,0)),
        $G407="Hollow Stainless",
            INDEX('Referensi Harga'!$D:$D,
                  MATCH($F407&amp;$C407,'Referensi Harga'!$A:$A&amp;'Referensi Harga'!$B:$B,0)),
        $G407="Pipa Stainless",
            INDEX('Referensi Harga'!$E:$E,
                  MATCH($F407&amp;$C407,'Referensi Harga'!$A:$A&amp;'Referensi Harga'!$B:$B,0))
     ),0)
  + IFERROR(VLOOKUP($H407,'Profile Size'!$A:$B,2,FALSE),0)
  + IFERROR(VLOOKUP($I407,'Ketebalan Material'!$A:$B,2,FALSE),0),
0)</f>
        <v>0</v>
      </c>
      <c r="Q407">
        <f>IF($M407="PER-M2",
    IFERROR(
        SUMIFS('Upah Tenaga Ahli'!$C:$C,
               'Upah Tenaga Ahli'!$A:$A,"PER-M2",
               'Upah Tenaga Ahli'!$B:$B,$G407
        ) * $J407 * $K407,
    0),
IF($M407="PER-LUBANG",
    IFERROR(
        SUMIFS('Upah Tenaga Ahli'!$D:$D,
               'Upah Tenaga Ahli'!$A:$A,"PER-LUBANG",
               'Upah Tenaga Ahli'!$B:$B,$G407
        ) * $L407 * $K407,
    0),
IF($M407="PER-M",
    IFERROR(
        SUMIFS('Upah Tenaga Ahli'!$E:$E,
               'Upah Tenaga Ahli'!$A:$A,"PER-M",
               'Upah Tenaga Ahli'!$B:$B,$G407
        ) * $J407 * $K407,
    0),
0)))</f>
        <v>872000.00000000012</v>
      </c>
      <c r="R407" t="s">
        <v>18</v>
      </c>
      <c r="S407" t="s">
        <v>24</v>
      </c>
      <c r="T407">
        <f>IF($M407="PER-M2",
   ($N407 * $J407 * $K407)
   + IFERROR(VLOOKUP($R407,Finishing!A:B,2,FALSE),0)
   + IFERROR(VLOOKUP($S407,Kerumitan!A:B,2,FALSE),0),
IF($M407="PER-LUBANG",
   ($P407 * $L407 * $K407)
   + IFERROR(VLOOKUP($R407,Finishing!A:B,2,FALSE),0)
   + IFERROR(VLOOKUP($S407,Kerumitan!A:B,2,FALSE),0),
IF($M407="PER-M",
   ($O407 * $J407 * $K407)
   + IFERROR(VLOOKUP($R407,Finishing!A:B,2,FALSE),0)
   + IFERROR(VLOOKUP($S407,Kerumitan!A:B,2,FALSE),0),
0)))</f>
        <v>9256000</v>
      </c>
    </row>
    <row r="408" spans="1:20" x14ac:dyDescent="0.45">
      <c r="A408" t="s">
        <v>505</v>
      </c>
      <c r="B408" s="5">
        <v>44110</v>
      </c>
      <c r="C408">
        <f t="shared" si="6"/>
        <v>2020</v>
      </c>
      <c r="D408" t="s">
        <v>73</v>
      </c>
      <c r="E408" t="s">
        <v>91</v>
      </c>
      <c r="F408" t="s">
        <v>7</v>
      </c>
      <c r="G408" t="s">
        <v>14</v>
      </c>
      <c r="H408" t="s">
        <v>615</v>
      </c>
      <c r="I408">
        <v>0.8</v>
      </c>
      <c r="J408">
        <v>9.76</v>
      </c>
      <c r="K408">
        <v>1</v>
      </c>
      <c r="L408">
        <v>0</v>
      </c>
      <c r="M408" t="str" cm="1">
        <f t="array" ref="M408">_xlfn.IFS(
   OR($F408="Pagar", $F408="Pintu Gerbang", $F408="Pintu Handerson", $F408="Kanopi"), "PER-M2",
   $F408="Teralis", "PER-LUBANG",
   OR($F408="Railing", $F408="Railing/Balkon"), "PER-M",
   TRUE, ""
)</f>
        <v>PER-M2</v>
      </c>
      <c r="N408" cm="1">
        <f t="array" ref="N408">IF($M408="PER-M2",
  IFERROR(
     _xlfn.IFS(
        $G408="Hollow",
            INDEX('Referensi Harga'!$C:$C,
                  MATCH($F408&amp;$C408,'Referensi Harga'!$A:$A&amp;'Referensi Harga'!$B:$B,0)),
        $G408="Hollow Stainless",
            INDEX('Referensi Harga'!$D:$D,
                  MATCH($F408&amp;$C408,'Referensi Harga'!$A:$A&amp;'Referensi Harga'!$B:$B,0)),
        $G408="Pipa Stainless",
            INDEX('Referensi Harga'!$E:$E,
                  MATCH($F408&amp;$C408,'Referensi Harga'!$A:$A&amp;'Referensi Harga'!$B:$B,0))
     ),0)
  + IFERROR(VLOOKUP($H408,'Profile Size'!$A:$B,2,FALSE),0)
  + IFERROR(VLOOKUP($I408,'Ketebalan Material'!$A:$B,2,FALSE),0),
0)</f>
        <v>1100000</v>
      </c>
      <c r="O408">
        <f>IF($M408="PER-M",
  IFERROR(
    IF($G408="Hollow",
       INDEX('Referensi Harga'!$C:$C, MATCH($F408 &amp; "|" &amp; $C408, 'Referensi Harga'!$F:$F, 0)),
    IF($G408="Hollow Stainless",
       INDEX('Referensi Harga'!$D:$D, MATCH($F408 &amp; "|" &amp; $C408, 'Referensi Harga'!$F:$F, 0)),
       INDEX('Referensi Harga'!$E:$E, MATCH($F408 &amp; "|" &amp; $C408, 'Referensi Harga'!$F:$F, 0))
    ))
    + IFERROR(VLOOKUP($H408, 'Profile Size'!$A:$B, 2, FALSE), 0)
    + IFERROR(VLOOKUP($I408, 'Ketebalan Material'!$A:$B, 2, FALSE), 0), 0),
0)</f>
        <v>0</v>
      </c>
      <c r="P408" cm="1">
        <f t="array" ref="P408">IF($M408="PER-LUBANG",
  IFERROR(
     _xlfn.IFS(
        $G408="Hollow",
            INDEX('Referensi Harga'!$C:$C,
                  MATCH($F408&amp;$C408,'Referensi Harga'!$A:$A&amp;'Referensi Harga'!$B:$B,0)),
        $G408="Hollow Stainless",
            INDEX('Referensi Harga'!$D:$D,
                  MATCH($F408&amp;$C408,'Referensi Harga'!$A:$A&amp;'Referensi Harga'!$B:$B,0)),
        $G408="Pipa Stainless",
            INDEX('Referensi Harga'!$E:$E,
                  MATCH($F408&amp;$C408,'Referensi Harga'!$A:$A&amp;'Referensi Harga'!$B:$B,0))
     ),0)
  + IFERROR(VLOOKUP($H408,'Profile Size'!$A:$B,2,FALSE),0)
  + IFERROR(VLOOKUP($I408,'Ketebalan Material'!$A:$B,2,FALSE),0),
0)</f>
        <v>0</v>
      </c>
      <c r="Q408">
        <f>IF($M408="PER-M2",
    IFERROR(
        SUMIFS('Upah Tenaga Ahli'!$C:$C,
               'Upah Tenaga Ahli'!$A:$A,"PER-M2",
               'Upah Tenaga Ahli'!$B:$B,$G408
        ) * $J408 * $K408,
    0),
IF($M408="PER-LUBANG",
    IFERROR(
        SUMIFS('Upah Tenaga Ahli'!$D:$D,
               'Upah Tenaga Ahli'!$A:$A,"PER-LUBANG",
               'Upah Tenaga Ahli'!$B:$B,$G408
        ) * $L408 * $K408,
    0),
IF($M408="PER-M",
    IFERROR(
        SUMIFS('Upah Tenaga Ahli'!$E:$E,
               'Upah Tenaga Ahli'!$A:$A,"PER-M",
               'Upah Tenaga Ahli'!$B:$B,$G408
        ) * $J408 * $K408,
    0),
0)))</f>
        <v>1952000</v>
      </c>
      <c r="R408" t="s">
        <v>617</v>
      </c>
      <c r="S408" t="s">
        <v>23</v>
      </c>
      <c r="T408">
        <f>IF($M408="PER-M2",
   ($N408 * $J408 * $K408)
   + IFERROR(VLOOKUP($R408,Finishing!A:B,2,FALSE),0)
   + IFERROR(VLOOKUP($S408,Kerumitan!A:B,2,FALSE),0),
IF($M408="PER-LUBANG",
   ($P408 * $L408 * $K408)
   + IFERROR(VLOOKUP($R408,Finishing!A:B,2,FALSE),0)
   + IFERROR(VLOOKUP($S408,Kerumitan!A:B,2,FALSE),0),
IF($M408="PER-M",
   ($O408 * $J408 * $K408)
   + IFERROR(VLOOKUP($R408,Finishing!A:B,2,FALSE),0)
   + IFERROR(VLOOKUP($S408,Kerumitan!A:B,2,FALSE),0),
0)))</f>
        <v>10736000</v>
      </c>
    </row>
    <row r="409" spans="1:20" x14ac:dyDescent="0.45">
      <c r="A409" t="s">
        <v>506</v>
      </c>
      <c r="B409" s="5">
        <v>44610</v>
      </c>
      <c r="C409">
        <f t="shared" si="6"/>
        <v>2022</v>
      </c>
      <c r="D409" t="s">
        <v>77</v>
      </c>
      <c r="E409" t="s">
        <v>54</v>
      </c>
      <c r="F409" t="s">
        <v>7</v>
      </c>
      <c r="G409" t="s">
        <v>13</v>
      </c>
      <c r="H409" t="s">
        <v>46</v>
      </c>
      <c r="I409">
        <v>1.2</v>
      </c>
      <c r="J409">
        <v>14.35</v>
      </c>
      <c r="K409">
        <v>1</v>
      </c>
      <c r="L409">
        <v>0</v>
      </c>
      <c r="M409" t="str" cm="1">
        <f t="array" ref="M409">_xlfn.IFS(
   OR($F409="Pagar", $F409="Pintu Gerbang", $F409="Pintu Handerson", $F409="Kanopi"), "PER-M2",
   $F409="Teralis", "PER-LUBANG",
   OR($F409="Railing", $F409="Railing/Balkon"), "PER-M",
   TRUE, ""
)</f>
        <v>PER-M2</v>
      </c>
      <c r="N409" cm="1">
        <f t="array" ref="N409">IF($M409="PER-M2",
  IFERROR(
     _xlfn.IFS(
        $G409="Hollow",
            INDEX('Referensi Harga'!$C:$C,
                  MATCH($F409&amp;$C409,'Referensi Harga'!$A:$A&amp;'Referensi Harga'!$B:$B,0)),
        $G409="Hollow Stainless",
            INDEX('Referensi Harga'!$D:$D,
                  MATCH($F409&amp;$C409,'Referensi Harga'!$A:$A&amp;'Referensi Harga'!$B:$B,0)),
        $G409="Pipa Stainless",
            INDEX('Referensi Harga'!$E:$E,
                  MATCH($F409&amp;$C409,'Referensi Harga'!$A:$A&amp;'Referensi Harga'!$B:$B,0))
     ),0)
  + IFERROR(VLOOKUP($H409,'Profile Size'!$A:$B,2,FALSE),0)
  + IFERROR(VLOOKUP($I409,'Ketebalan Material'!$A:$B,2,FALSE),0),
0)</f>
        <v>800000</v>
      </c>
      <c r="O409">
        <f>IF($M409="PER-M",
  IFERROR(
    IF($G409="Hollow",
       INDEX('Referensi Harga'!$C:$C, MATCH($F409 &amp; "|" &amp; $C409, 'Referensi Harga'!$F:$F, 0)),
    IF($G409="Hollow Stainless",
       INDEX('Referensi Harga'!$D:$D, MATCH($F409 &amp; "|" &amp; $C409, 'Referensi Harga'!$F:$F, 0)),
       INDEX('Referensi Harga'!$E:$E, MATCH($F409 &amp; "|" &amp; $C409, 'Referensi Harga'!$F:$F, 0))
    ))
    + IFERROR(VLOOKUP($H409, 'Profile Size'!$A:$B, 2, FALSE), 0)
    + IFERROR(VLOOKUP($I409, 'Ketebalan Material'!$A:$B, 2, FALSE), 0), 0),
0)</f>
        <v>0</v>
      </c>
      <c r="P409" cm="1">
        <f t="array" ref="P409">IF($M409="PER-LUBANG",
  IFERROR(
     _xlfn.IFS(
        $G409="Hollow",
            INDEX('Referensi Harga'!$C:$C,
                  MATCH($F409&amp;$C409,'Referensi Harga'!$A:$A&amp;'Referensi Harga'!$B:$B,0)),
        $G409="Hollow Stainless",
            INDEX('Referensi Harga'!$D:$D,
                  MATCH($F409&amp;$C409,'Referensi Harga'!$A:$A&amp;'Referensi Harga'!$B:$B,0)),
        $G409="Pipa Stainless",
            INDEX('Referensi Harga'!$E:$E,
                  MATCH($F409&amp;$C409,'Referensi Harga'!$A:$A&amp;'Referensi Harga'!$B:$B,0))
     ),0)
  + IFERROR(VLOOKUP($H409,'Profile Size'!$A:$B,2,FALSE),0)
  + IFERROR(VLOOKUP($I409,'Ketebalan Material'!$A:$B,2,FALSE),0),
0)</f>
        <v>0</v>
      </c>
      <c r="Q409">
        <f>IF($M409="PER-M2",
    IFERROR(
        SUMIFS('Upah Tenaga Ahli'!$C:$C,
               'Upah Tenaga Ahli'!$A:$A,"PER-M2",
               'Upah Tenaga Ahli'!$B:$B,$G409
        ) * $J409 * $K409,
    0),
IF($M409="PER-LUBANG",
    IFERROR(
        SUMIFS('Upah Tenaga Ahli'!$D:$D,
               'Upah Tenaga Ahli'!$A:$A,"PER-LUBANG",
               'Upah Tenaga Ahli'!$B:$B,$G409
        ) * $L409 * $K409,
    0),
IF($M409="PER-M",
    IFERROR(
        SUMIFS('Upah Tenaga Ahli'!$E:$E,
               'Upah Tenaga Ahli'!$A:$A,"PER-M",
               'Upah Tenaga Ahli'!$B:$B,$G409
        ) * $J409 * $K409,
    0),
0)))</f>
        <v>1435000</v>
      </c>
      <c r="R409" t="s">
        <v>19</v>
      </c>
      <c r="S409" t="s">
        <v>23</v>
      </c>
      <c r="T409">
        <f>IF($M409="PER-M2",
   ($N409 * $J409 * $K409)
   + IFERROR(VLOOKUP($R409,Finishing!A:B,2,FALSE),0)
   + IFERROR(VLOOKUP($S409,Kerumitan!A:B,2,FALSE),0),
IF($M409="PER-LUBANG",
   ($P409 * $L409 * $K409)
   + IFERROR(VLOOKUP($R409,Finishing!A:B,2,FALSE),0)
   + IFERROR(VLOOKUP($S409,Kerumitan!A:B,2,FALSE),0),
IF($M409="PER-M",
   ($O409 * $J409 * $K409)
   + IFERROR(VLOOKUP($R409,Finishing!A:B,2,FALSE),0)
   + IFERROR(VLOOKUP($S409,Kerumitan!A:B,2,FALSE),0),
0)))</f>
        <v>11530000</v>
      </c>
    </row>
    <row r="410" spans="1:20" x14ac:dyDescent="0.45">
      <c r="A410" t="s">
        <v>507</v>
      </c>
      <c r="B410" s="5">
        <v>44183</v>
      </c>
      <c r="C410">
        <f t="shared" si="6"/>
        <v>2020</v>
      </c>
      <c r="D410" t="s">
        <v>117</v>
      </c>
      <c r="E410" t="s">
        <v>121</v>
      </c>
      <c r="F410" t="s">
        <v>4</v>
      </c>
      <c r="G410" t="s">
        <v>13</v>
      </c>
      <c r="H410" t="s">
        <v>35</v>
      </c>
      <c r="I410">
        <v>0.8</v>
      </c>
      <c r="J410">
        <v>25.35</v>
      </c>
      <c r="K410">
        <v>1</v>
      </c>
      <c r="L410">
        <v>0</v>
      </c>
      <c r="M410" t="str" cm="1">
        <f t="array" ref="M410">_xlfn.IFS(
   OR($F410="Pagar", $F410="Pintu Gerbang", $F410="Pintu Handerson", $F410="Kanopi"), "PER-M2",
   $F410="Teralis", "PER-LUBANG",
   OR($F410="Railing", $F410="Railing/Balkon"), "PER-M",
   TRUE, ""
)</f>
        <v>PER-M2</v>
      </c>
      <c r="N410" cm="1">
        <f t="array" ref="N410">IF($M410="PER-M2",
  IFERROR(
     _xlfn.IFS(
        $G410="Hollow",
            INDEX('Referensi Harga'!$C:$C,
                  MATCH($F410&amp;$C410,'Referensi Harga'!$A:$A&amp;'Referensi Harga'!$B:$B,0)),
        $G410="Hollow Stainless",
            INDEX('Referensi Harga'!$D:$D,
                  MATCH($F410&amp;$C410,'Referensi Harga'!$A:$A&amp;'Referensi Harga'!$B:$B,0)),
        $G410="Pipa Stainless",
            INDEX('Referensi Harga'!$E:$E,
                  MATCH($F410&amp;$C410,'Referensi Harga'!$A:$A&amp;'Referensi Harga'!$B:$B,0))
     ),0)
  + IFERROR(VLOOKUP($H410,'Profile Size'!$A:$B,2,FALSE),0)
  + IFERROR(VLOOKUP($I410,'Ketebalan Material'!$A:$B,2,FALSE),0),
0)</f>
        <v>600000</v>
      </c>
      <c r="O410">
        <f>IF($M410="PER-M",
  IFERROR(
    IF($G410="Hollow",
       INDEX('Referensi Harga'!$C:$C, MATCH($F410 &amp; "|" &amp; $C410, 'Referensi Harga'!$F:$F, 0)),
    IF($G410="Hollow Stainless",
       INDEX('Referensi Harga'!$D:$D, MATCH($F410 &amp; "|" &amp; $C410, 'Referensi Harga'!$F:$F, 0)),
       INDEX('Referensi Harga'!$E:$E, MATCH($F410 &amp; "|" &amp; $C410, 'Referensi Harga'!$F:$F, 0))
    ))
    + IFERROR(VLOOKUP($H410, 'Profile Size'!$A:$B, 2, FALSE), 0)
    + IFERROR(VLOOKUP($I410, 'Ketebalan Material'!$A:$B, 2, FALSE), 0), 0),
0)</f>
        <v>0</v>
      </c>
      <c r="P410" cm="1">
        <f t="array" ref="P410">IF($M410="PER-LUBANG",
  IFERROR(
     _xlfn.IFS(
        $G410="Hollow",
            INDEX('Referensi Harga'!$C:$C,
                  MATCH($F410&amp;$C410,'Referensi Harga'!$A:$A&amp;'Referensi Harga'!$B:$B,0)),
        $G410="Hollow Stainless",
            INDEX('Referensi Harga'!$D:$D,
                  MATCH($F410&amp;$C410,'Referensi Harga'!$A:$A&amp;'Referensi Harga'!$B:$B,0)),
        $G410="Pipa Stainless",
            INDEX('Referensi Harga'!$E:$E,
                  MATCH($F410&amp;$C410,'Referensi Harga'!$A:$A&amp;'Referensi Harga'!$B:$B,0))
     ),0)
  + IFERROR(VLOOKUP($H410,'Profile Size'!$A:$B,2,FALSE),0)
  + IFERROR(VLOOKUP($I410,'Ketebalan Material'!$A:$B,2,FALSE),0),
0)</f>
        <v>0</v>
      </c>
      <c r="Q410">
        <f>IF($M410="PER-M2",
    IFERROR(
        SUMIFS('Upah Tenaga Ahli'!$C:$C,
               'Upah Tenaga Ahli'!$A:$A,"PER-M2",
               'Upah Tenaga Ahli'!$B:$B,$G410
        ) * $J410 * $K410,
    0),
IF($M410="PER-LUBANG",
    IFERROR(
        SUMIFS('Upah Tenaga Ahli'!$D:$D,
               'Upah Tenaga Ahli'!$A:$A,"PER-LUBANG",
               'Upah Tenaga Ahli'!$B:$B,$G410
        ) * $L410 * $K410,
    0),
IF($M410="PER-M",
    IFERROR(
        SUMIFS('Upah Tenaga Ahli'!$E:$E,
               'Upah Tenaga Ahli'!$A:$A,"PER-M",
               'Upah Tenaga Ahli'!$B:$B,$G410
        ) * $J410 * $K410,
    0),
0)))</f>
        <v>2535000</v>
      </c>
      <c r="R410" t="s">
        <v>19</v>
      </c>
      <c r="S410" t="s">
        <v>23</v>
      </c>
      <c r="T410">
        <f>IF($M410="PER-M2",
   ($N410 * $J410 * $K410)
   + IFERROR(VLOOKUP($R410,Finishing!A:B,2,FALSE),0)
   + IFERROR(VLOOKUP($S410,Kerumitan!A:B,2,FALSE),0),
IF($M410="PER-LUBANG",
   ($P410 * $L410 * $K410)
   + IFERROR(VLOOKUP($R410,Finishing!A:B,2,FALSE),0)
   + IFERROR(VLOOKUP($S410,Kerumitan!A:B,2,FALSE),0),
IF($M410="PER-M",
   ($O410 * $J410 * $K410)
   + IFERROR(VLOOKUP($R410,Finishing!A:B,2,FALSE),0)
   + IFERROR(VLOOKUP($S410,Kerumitan!A:B,2,FALSE),0),
0)))</f>
        <v>15260000</v>
      </c>
    </row>
    <row r="411" spans="1:20" x14ac:dyDescent="0.45">
      <c r="A411" t="s">
        <v>508</v>
      </c>
      <c r="B411" s="5">
        <v>44352</v>
      </c>
      <c r="C411">
        <f t="shared" si="6"/>
        <v>2021</v>
      </c>
      <c r="D411" t="s">
        <v>40</v>
      </c>
      <c r="E411" t="s">
        <v>41</v>
      </c>
      <c r="F411" t="s">
        <v>4</v>
      </c>
      <c r="G411" t="s">
        <v>14</v>
      </c>
      <c r="H411" t="s">
        <v>615</v>
      </c>
      <c r="I411">
        <v>1.2</v>
      </c>
      <c r="J411">
        <v>27.78</v>
      </c>
      <c r="K411">
        <v>1</v>
      </c>
      <c r="L411">
        <v>0</v>
      </c>
      <c r="M411" t="str" cm="1">
        <f t="array" ref="M411">_xlfn.IFS(
   OR($F411="Pagar", $F411="Pintu Gerbang", $F411="Pintu Handerson", $F411="Kanopi"), "PER-M2",
   $F411="Teralis", "PER-LUBANG",
   OR($F411="Railing", $F411="Railing/Balkon"), "PER-M",
   TRUE, ""
)</f>
        <v>PER-M2</v>
      </c>
      <c r="N411" cm="1">
        <f t="array" ref="N411">IF($M411="PER-M2",
  IFERROR(
     _xlfn.IFS(
        $G411="Hollow",
            INDEX('Referensi Harga'!$C:$C,
                  MATCH($F411&amp;$C411,'Referensi Harga'!$A:$A&amp;'Referensi Harga'!$B:$B,0)),
        $G411="Hollow Stainless",
            INDEX('Referensi Harga'!$D:$D,
                  MATCH($F411&amp;$C411,'Referensi Harga'!$A:$A&amp;'Referensi Harga'!$B:$B,0)),
        $G411="Pipa Stainless",
            INDEX('Referensi Harga'!$E:$E,
                  MATCH($F411&amp;$C411,'Referensi Harga'!$A:$A&amp;'Referensi Harga'!$B:$B,0))
     ),0)
  + IFERROR(VLOOKUP($H411,'Profile Size'!$A:$B,2,FALSE),0)
  + IFERROR(VLOOKUP($I411,'Ketebalan Material'!$A:$B,2,FALSE),0),
0)</f>
        <v>1100000</v>
      </c>
      <c r="O411">
        <f>IF($M411="PER-M",
  IFERROR(
    IF($G411="Hollow",
       INDEX('Referensi Harga'!$C:$C, MATCH($F411 &amp; "|" &amp; $C411, 'Referensi Harga'!$F:$F, 0)),
    IF($G411="Hollow Stainless",
       INDEX('Referensi Harga'!$D:$D, MATCH($F411 &amp; "|" &amp; $C411, 'Referensi Harga'!$F:$F, 0)),
       INDEX('Referensi Harga'!$E:$E, MATCH($F411 &amp; "|" &amp; $C411, 'Referensi Harga'!$F:$F, 0))
    ))
    + IFERROR(VLOOKUP($H411, 'Profile Size'!$A:$B, 2, FALSE), 0)
    + IFERROR(VLOOKUP($I411, 'Ketebalan Material'!$A:$B, 2, FALSE), 0), 0),
0)</f>
        <v>0</v>
      </c>
      <c r="P411" cm="1">
        <f t="array" ref="P411">IF($M411="PER-LUBANG",
  IFERROR(
     _xlfn.IFS(
        $G411="Hollow",
            INDEX('Referensi Harga'!$C:$C,
                  MATCH($F411&amp;$C411,'Referensi Harga'!$A:$A&amp;'Referensi Harga'!$B:$B,0)),
        $G411="Hollow Stainless",
            INDEX('Referensi Harga'!$D:$D,
                  MATCH($F411&amp;$C411,'Referensi Harga'!$A:$A&amp;'Referensi Harga'!$B:$B,0)),
        $G411="Pipa Stainless",
            INDEX('Referensi Harga'!$E:$E,
                  MATCH($F411&amp;$C411,'Referensi Harga'!$A:$A&amp;'Referensi Harga'!$B:$B,0))
     ),0)
  + IFERROR(VLOOKUP($H411,'Profile Size'!$A:$B,2,FALSE),0)
  + IFERROR(VLOOKUP($I411,'Ketebalan Material'!$A:$B,2,FALSE),0),
0)</f>
        <v>0</v>
      </c>
      <c r="Q411">
        <f>IF($M411="PER-M2",
    IFERROR(
        SUMIFS('Upah Tenaga Ahli'!$C:$C,
               'Upah Tenaga Ahli'!$A:$A,"PER-M2",
               'Upah Tenaga Ahli'!$B:$B,$G411
        ) * $J411 * $K411,
    0),
IF($M411="PER-LUBANG",
    IFERROR(
        SUMIFS('Upah Tenaga Ahli'!$D:$D,
               'Upah Tenaga Ahli'!$A:$A,"PER-LUBANG",
               'Upah Tenaga Ahli'!$B:$B,$G411
        ) * $L411 * $K411,
    0),
IF($M411="PER-M",
    IFERROR(
        SUMIFS('Upah Tenaga Ahli'!$E:$E,
               'Upah Tenaga Ahli'!$A:$A,"PER-M",
               'Upah Tenaga Ahli'!$B:$B,$G411
        ) * $J411 * $K411,
    0),
0)))</f>
        <v>5556000</v>
      </c>
      <c r="R411" t="s">
        <v>617</v>
      </c>
      <c r="S411" t="s">
        <v>23</v>
      </c>
      <c r="T411">
        <f>IF($M411="PER-M2",
   ($N411 * $J411 * $K411)
   + IFERROR(VLOOKUP($R411,Finishing!A:B,2,FALSE),0)
   + IFERROR(VLOOKUP($S411,Kerumitan!A:B,2,FALSE),0),
IF($M411="PER-LUBANG",
   ($P411 * $L411 * $K411)
   + IFERROR(VLOOKUP($R411,Finishing!A:B,2,FALSE),0)
   + IFERROR(VLOOKUP($S411,Kerumitan!A:B,2,FALSE),0),
IF($M411="PER-M",
   ($O411 * $J411 * $K411)
   + IFERROR(VLOOKUP($R411,Finishing!A:B,2,FALSE),0)
   + IFERROR(VLOOKUP($S411,Kerumitan!A:B,2,FALSE),0),
0)))</f>
        <v>30558000</v>
      </c>
    </row>
    <row r="412" spans="1:20" x14ac:dyDescent="0.45">
      <c r="A412" t="s">
        <v>509</v>
      </c>
      <c r="B412" s="5">
        <v>44748</v>
      </c>
      <c r="C412">
        <f t="shared" si="6"/>
        <v>2022</v>
      </c>
      <c r="D412" t="s">
        <v>232</v>
      </c>
      <c r="E412" t="s">
        <v>54</v>
      </c>
      <c r="F412" t="s">
        <v>10</v>
      </c>
      <c r="G412" t="s">
        <v>14</v>
      </c>
      <c r="H412" t="s">
        <v>615</v>
      </c>
      <c r="I412">
        <v>0.8</v>
      </c>
      <c r="J412">
        <v>3.17</v>
      </c>
      <c r="K412">
        <v>2</v>
      </c>
      <c r="L412">
        <v>0</v>
      </c>
      <c r="M412" t="str" cm="1">
        <f t="array" ref="M412">_xlfn.IFS(
   OR($F412="Pagar", $F412="Pintu Gerbang", $F412="Pintu Handerson", $F412="Kanopi"), "PER-M2",
   $F412="Teralis", "PER-LUBANG",
   OR($F412="Railing", $F412="Railing/Balkon"), "PER-M",
   TRUE, ""
)</f>
        <v>PER-M2</v>
      </c>
      <c r="N412" cm="1">
        <f t="array" ref="N412">IF($M412="PER-M2",
  IFERROR(
     _xlfn.IFS(
        $G412="Hollow",
            INDEX('Referensi Harga'!$C:$C,
                  MATCH($F412&amp;$C412,'Referensi Harga'!$A:$A&amp;'Referensi Harga'!$B:$B,0)),
        $G412="Hollow Stainless",
            INDEX('Referensi Harga'!$D:$D,
                  MATCH($F412&amp;$C412,'Referensi Harga'!$A:$A&amp;'Referensi Harga'!$B:$B,0)),
        $G412="Pipa Stainless",
            INDEX('Referensi Harga'!$E:$E,
                  MATCH($F412&amp;$C412,'Referensi Harga'!$A:$A&amp;'Referensi Harga'!$B:$B,0))
     ),0)
  + IFERROR(VLOOKUP($H412,'Profile Size'!$A:$B,2,FALSE),0)
  + IFERROR(VLOOKUP($I412,'Ketebalan Material'!$A:$B,2,FALSE),0),
0)</f>
        <v>1450000</v>
      </c>
      <c r="O412">
        <f>IF($M412="PER-M",
  IFERROR(
    IF($G412="Hollow",
       INDEX('Referensi Harga'!$C:$C, MATCH($F412 &amp; "|" &amp; $C412, 'Referensi Harga'!$F:$F, 0)),
    IF($G412="Hollow Stainless",
       INDEX('Referensi Harga'!$D:$D, MATCH($F412 &amp; "|" &amp; $C412, 'Referensi Harga'!$F:$F, 0)),
       INDEX('Referensi Harga'!$E:$E, MATCH($F412 &amp; "|" &amp; $C412, 'Referensi Harga'!$F:$F, 0))
    ))
    + IFERROR(VLOOKUP($H412, 'Profile Size'!$A:$B, 2, FALSE), 0)
    + IFERROR(VLOOKUP($I412, 'Ketebalan Material'!$A:$B, 2, FALSE), 0), 0),
0)</f>
        <v>0</v>
      </c>
      <c r="P412" cm="1">
        <f t="array" ref="P412">IF($M412="PER-LUBANG",
  IFERROR(
     _xlfn.IFS(
        $G412="Hollow",
            INDEX('Referensi Harga'!$C:$C,
                  MATCH($F412&amp;$C412,'Referensi Harga'!$A:$A&amp;'Referensi Harga'!$B:$B,0)),
        $G412="Hollow Stainless",
            INDEX('Referensi Harga'!$D:$D,
                  MATCH($F412&amp;$C412,'Referensi Harga'!$A:$A&amp;'Referensi Harga'!$B:$B,0)),
        $G412="Pipa Stainless",
            INDEX('Referensi Harga'!$E:$E,
                  MATCH($F412&amp;$C412,'Referensi Harga'!$A:$A&amp;'Referensi Harga'!$B:$B,0))
     ),0)
  + IFERROR(VLOOKUP($H412,'Profile Size'!$A:$B,2,FALSE),0)
  + IFERROR(VLOOKUP($I412,'Ketebalan Material'!$A:$B,2,FALSE),0),
0)</f>
        <v>0</v>
      </c>
      <c r="Q412">
        <f>IF($M412="PER-M2",
    IFERROR(
        SUMIFS('Upah Tenaga Ahli'!$C:$C,
               'Upah Tenaga Ahli'!$A:$A,"PER-M2",
               'Upah Tenaga Ahli'!$B:$B,$G412
        ) * $J412 * $K412,
    0),
IF($M412="PER-LUBANG",
    IFERROR(
        SUMIFS('Upah Tenaga Ahli'!$D:$D,
               'Upah Tenaga Ahli'!$A:$A,"PER-LUBANG",
               'Upah Tenaga Ahli'!$B:$B,$G412
        ) * $L412 * $K412,
    0),
IF($M412="PER-M",
    IFERROR(
        SUMIFS('Upah Tenaga Ahli'!$E:$E,
               'Upah Tenaga Ahli'!$A:$A,"PER-M",
               'Upah Tenaga Ahli'!$B:$B,$G412
        ) * $J412 * $K412,
    0),
0)))</f>
        <v>1268000</v>
      </c>
      <c r="R412" t="s">
        <v>617</v>
      </c>
      <c r="S412" t="s">
        <v>24</v>
      </c>
      <c r="T412">
        <f>IF($M412="PER-M2",
   ($N412 * $J412 * $K412)
   + IFERROR(VLOOKUP($R412,Finishing!A:B,2,FALSE),0)
   + IFERROR(VLOOKUP($S412,Kerumitan!A:B,2,FALSE),0),
IF($M412="PER-LUBANG",
   ($P412 * $L412 * $K412)
   + IFERROR(VLOOKUP($R412,Finishing!A:B,2,FALSE),0)
   + IFERROR(VLOOKUP($S412,Kerumitan!A:B,2,FALSE),0),
IF($M412="PER-M",
   ($O412 * $J412 * $K412)
   + IFERROR(VLOOKUP($R412,Finishing!A:B,2,FALSE),0)
   + IFERROR(VLOOKUP($S412,Kerumitan!A:B,2,FALSE),0),
0)))</f>
        <v>9293000</v>
      </c>
    </row>
    <row r="413" spans="1:20" x14ac:dyDescent="0.45">
      <c r="A413" t="s">
        <v>510</v>
      </c>
      <c r="B413" s="5">
        <v>43972</v>
      </c>
      <c r="C413">
        <f t="shared" si="6"/>
        <v>2020</v>
      </c>
      <c r="D413" t="s">
        <v>93</v>
      </c>
      <c r="E413" t="s">
        <v>87</v>
      </c>
      <c r="F413" t="s">
        <v>6</v>
      </c>
      <c r="G413" t="s">
        <v>15</v>
      </c>
      <c r="H413" t="s">
        <v>35</v>
      </c>
      <c r="I413">
        <v>0.8</v>
      </c>
      <c r="J413">
        <v>24.61</v>
      </c>
      <c r="K413">
        <v>1</v>
      </c>
      <c r="L413">
        <v>0</v>
      </c>
      <c r="M413" t="str" cm="1">
        <f t="array" ref="M413">_xlfn.IFS(
   OR($F413="Pagar", $F413="Pintu Gerbang", $F413="Pintu Handerson", $F413="Kanopi"), "PER-M2",
   $F413="Teralis", "PER-LUBANG",
   OR($F413="Railing", $F413="Railing/Balkon"), "PER-M",
   TRUE, ""
)</f>
        <v>PER-M2</v>
      </c>
      <c r="N413" cm="1">
        <f t="array" ref="N413">IF($M413="PER-M2",
  IFERROR(
     _xlfn.IFS(
        $G413="Hollow",
            INDEX('Referensi Harga'!$C:$C,
                  MATCH($F413&amp;$C413,'Referensi Harga'!$A:$A&amp;'Referensi Harga'!$B:$B,0)),
        $G413="Hollow Stainless",
            INDEX('Referensi Harga'!$D:$D,
                  MATCH($F413&amp;$C413,'Referensi Harga'!$A:$A&amp;'Referensi Harga'!$B:$B,0)),
        $G413="Pipa Stainless",
            INDEX('Referensi Harga'!$E:$E,
                  MATCH($F413&amp;$C413,'Referensi Harga'!$A:$A&amp;'Referensi Harga'!$B:$B,0))
     ),0)
  + IFERROR(VLOOKUP($H413,'Profile Size'!$A:$B,2,FALSE),0)
  + IFERROR(VLOOKUP($I413,'Ketebalan Material'!$A:$B,2,FALSE),0),
0)</f>
        <v>800000</v>
      </c>
      <c r="O413">
        <f>IF($M413="PER-M",
  IFERROR(
    IF($G413="Hollow",
       INDEX('Referensi Harga'!$C:$C, MATCH($F413 &amp; "|" &amp; $C413, 'Referensi Harga'!$F:$F, 0)),
    IF($G413="Hollow Stainless",
       INDEX('Referensi Harga'!$D:$D, MATCH($F413 &amp; "|" &amp; $C413, 'Referensi Harga'!$F:$F, 0)),
       INDEX('Referensi Harga'!$E:$E, MATCH($F413 &amp; "|" &amp; $C413, 'Referensi Harga'!$F:$F, 0))
    ))
    + IFERROR(VLOOKUP($H413, 'Profile Size'!$A:$B, 2, FALSE), 0)
    + IFERROR(VLOOKUP($I413, 'Ketebalan Material'!$A:$B, 2, FALSE), 0), 0),
0)</f>
        <v>0</v>
      </c>
      <c r="P413" cm="1">
        <f t="array" ref="P413">IF($M413="PER-LUBANG",
  IFERROR(
     _xlfn.IFS(
        $G413="Hollow",
            INDEX('Referensi Harga'!$C:$C,
                  MATCH($F413&amp;$C413,'Referensi Harga'!$A:$A&amp;'Referensi Harga'!$B:$B,0)),
        $G413="Hollow Stainless",
            INDEX('Referensi Harga'!$D:$D,
                  MATCH($F413&amp;$C413,'Referensi Harga'!$A:$A&amp;'Referensi Harga'!$B:$B,0)),
        $G413="Pipa Stainless",
            INDEX('Referensi Harga'!$E:$E,
                  MATCH($F413&amp;$C413,'Referensi Harga'!$A:$A&amp;'Referensi Harga'!$B:$B,0))
     ),0)
  + IFERROR(VLOOKUP($H413,'Profile Size'!$A:$B,2,FALSE),0)
  + IFERROR(VLOOKUP($I413,'Ketebalan Material'!$A:$B,2,FALSE),0),
0)</f>
        <v>0</v>
      </c>
      <c r="Q413">
        <f>IF($M413="PER-M2",
    IFERROR(
        SUMIFS('Upah Tenaga Ahli'!$C:$C,
               'Upah Tenaga Ahli'!$A:$A,"PER-M2",
               'Upah Tenaga Ahli'!$B:$B,$G413
        ) * $J413 * $K413,
    0),
IF($M413="PER-LUBANG",
    IFERROR(
        SUMIFS('Upah Tenaga Ahli'!$D:$D,
               'Upah Tenaga Ahli'!$A:$A,"PER-LUBANG",
               'Upah Tenaga Ahli'!$B:$B,$G413
        ) * $L413 * $K413,
    0),
IF($M413="PER-M",
    IFERROR(
        SUMIFS('Upah Tenaga Ahli'!$E:$E,
               'Upah Tenaga Ahli'!$A:$A,"PER-M",
               'Upah Tenaga Ahli'!$B:$B,$G413
        ) * $J413 * $K413,
    0),
0)))</f>
        <v>3691500</v>
      </c>
      <c r="R413" t="s">
        <v>617</v>
      </c>
      <c r="S413" t="s">
        <v>25</v>
      </c>
      <c r="T413">
        <f>IF($M413="PER-M2",
   ($N413 * $J413 * $K413)
   + IFERROR(VLOOKUP($R413,Finishing!A:B,2,FALSE),0)
   + IFERROR(VLOOKUP($S413,Kerumitan!A:B,2,FALSE),0),
IF($M413="PER-LUBANG",
   ($P413 * $L413 * $K413)
   + IFERROR(VLOOKUP($R413,Finishing!A:B,2,FALSE),0)
   + IFERROR(VLOOKUP($S413,Kerumitan!A:B,2,FALSE),0),
IF($M413="PER-M",
   ($O413 * $J413 * $K413)
   + IFERROR(VLOOKUP($R413,Finishing!A:B,2,FALSE),0)
   + IFERROR(VLOOKUP($S413,Kerumitan!A:B,2,FALSE),0),
0)))</f>
        <v>19838000</v>
      </c>
    </row>
    <row r="414" spans="1:20" x14ac:dyDescent="0.45">
      <c r="A414" t="s">
        <v>511</v>
      </c>
      <c r="B414" s="5">
        <v>44993</v>
      </c>
      <c r="C414">
        <f t="shared" si="6"/>
        <v>2023</v>
      </c>
      <c r="D414" t="s">
        <v>53</v>
      </c>
      <c r="E414" t="s">
        <v>69</v>
      </c>
      <c r="F414" t="s">
        <v>4</v>
      </c>
      <c r="G414" t="s">
        <v>14</v>
      </c>
      <c r="H414" t="s">
        <v>614</v>
      </c>
      <c r="I414">
        <v>1.2</v>
      </c>
      <c r="J414">
        <v>26.01</v>
      </c>
      <c r="K414">
        <v>1</v>
      </c>
      <c r="L414">
        <v>0</v>
      </c>
      <c r="M414" t="str" cm="1">
        <f t="array" ref="M414">_xlfn.IFS(
   OR($F414="Pagar", $F414="Pintu Gerbang", $F414="Pintu Handerson", $F414="Kanopi"), "PER-M2",
   $F414="Teralis", "PER-LUBANG",
   OR($F414="Railing", $F414="Railing/Balkon"), "PER-M",
   TRUE, ""
)</f>
        <v>PER-M2</v>
      </c>
      <c r="N414" cm="1">
        <f t="array" ref="N414">IF($M414="PER-M2",
  IFERROR(
     _xlfn.IFS(
        $G414="Hollow",
            INDEX('Referensi Harga'!$C:$C,
                  MATCH($F414&amp;$C414,'Referensi Harga'!$A:$A&amp;'Referensi Harga'!$B:$B,0)),
        $G414="Hollow Stainless",
            INDEX('Referensi Harga'!$D:$D,
                  MATCH($F414&amp;$C414,'Referensi Harga'!$A:$A&amp;'Referensi Harga'!$B:$B,0)),
        $G414="Pipa Stainless",
            INDEX('Referensi Harga'!$E:$E,
                  MATCH($F414&amp;$C414,'Referensi Harga'!$A:$A&amp;'Referensi Harga'!$B:$B,0))
     ),0)
  + IFERROR(VLOOKUP($H414,'Profile Size'!$A:$B,2,FALSE),0)
  + IFERROR(VLOOKUP($I414,'Ketebalan Material'!$A:$B,2,FALSE),0),
0)</f>
        <v>1040000</v>
      </c>
      <c r="O414">
        <f>IF($M414="PER-M",
  IFERROR(
    IF($G414="Hollow",
       INDEX('Referensi Harga'!$C:$C, MATCH($F414 &amp; "|" &amp; $C414, 'Referensi Harga'!$F:$F, 0)),
    IF($G414="Hollow Stainless",
       INDEX('Referensi Harga'!$D:$D, MATCH($F414 &amp; "|" &amp; $C414, 'Referensi Harga'!$F:$F, 0)),
       INDEX('Referensi Harga'!$E:$E, MATCH($F414 &amp; "|" &amp; $C414, 'Referensi Harga'!$F:$F, 0))
    ))
    + IFERROR(VLOOKUP($H414, 'Profile Size'!$A:$B, 2, FALSE), 0)
    + IFERROR(VLOOKUP($I414, 'Ketebalan Material'!$A:$B, 2, FALSE), 0), 0),
0)</f>
        <v>0</v>
      </c>
      <c r="P414" cm="1">
        <f t="array" ref="P414">IF($M414="PER-LUBANG",
  IFERROR(
     _xlfn.IFS(
        $G414="Hollow",
            INDEX('Referensi Harga'!$C:$C,
                  MATCH($F414&amp;$C414,'Referensi Harga'!$A:$A&amp;'Referensi Harga'!$B:$B,0)),
        $G414="Hollow Stainless",
            INDEX('Referensi Harga'!$D:$D,
                  MATCH($F414&amp;$C414,'Referensi Harga'!$A:$A&amp;'Referensi Harga'!$B:$B,0)),
        $G414="Pipa Stainless",
            INDEX('Referensi Harga'!$E:$E,
                  MATCH($F414&amp;$C414,'Referensi Harga'!$A:$A&amp;'Referensi Harga'!$B:$B,0))
     ),0)
  + IFERROR(VLOOKUP($H414,'Profile Size'!$A:$B,2,FALSE),0)
  + IFERROR(VLOOKUP($I414,'Ketebalan Material'!$A:$B,2,FALSE),0),
0)</f>
        <v>0</v>
      </c>
      <c r="Q414">
        <f>IF($M414="PER-M2",
    IFERROR(
        SUMIFS('Upah Tenaga Ahli'!$C:$C,
               'Upah Tenaga Ahli'!$A:$A,"PER-M2",
               'Upah Tenaga Ahli'!$B:$B,$G414
        ) * $J414 * $K414,
    0),
IF($M414="PER-LUBANG",
    IFERROR(
        SUMIFS('Upah Tenaga Ahli'!$D:$D,
               'Upah Tenaga Ahli'!$A:$A,"PER-LUBANG",
               'Upah Tenaga Ahli'!$B:$B,$G414
        ) * $L414 * $K414,
    0),
IF($M414="PER-M",
    IFERROR(
        SUMIFS('Upah Tenaga Ahli'!$E:$E,
               'Upah Tenaga Ahli'!$A:$A,"PER-M",
               'Upah Tenaga Ahli'!$B:$B,$G414
        ) * $J414 * $K414,
    0),
0)))</f>
        <v>5202000</v>
      </c>
      <c r="R414" t="s">
        <v>617</v>
      </c>
      <c r="S414" t="s">
        <v>24</v>
      </c>
      <c r="T414">
        <f>IF($M414="PER-M2",
   ($N414 * $J414 * $K414)
   + IFERROR(VLOOKUP($R414,Finishing!A:B,2,FALSE),0)
   + IFERROR(VLOOKUP($S414,Kerumitan!A:B,2,FALSE),0),
IF($M414="PER-LUBANG",
   ($P414 * $L414 * $K414)
   + IFERROR(VLOOKUP($R414,Finishing!A:B,2,FALSE),0)
   + IFERROR(VLOOKUP($S414,Kerumitan!A:B,2,FALSE),0),
IF($M414="PER-M",
   ($O414 * $J414 * $K414)
   + IFERROR(VLOOKUP($R414,Finishing!A:B,2,FALSE),0)
   + IFERROR(VLOOKUP($S414,Kerumitan!A:B,2,FALSE),0),
0)))</f>
        <v>27150400</v>
      </c>
    </row>
    <row r="415" spans="1:20" x14ac:dyDescent="0.45">
      <c r="A415" t="s">
        <v>512</v>
      </c>
      <c r="B415" s="5">
        <v>44450</v>
      </c>
      <c r="C415">
        <f t="shared" si="6"/>
        <v>2021</v>
      </c>
      <c r="D415" t="s">
        <v>148</v>
      </c>
      <c r="E415" t="s">
        <v>105</v>
      </c>
      <c r="F415" t="s">
        <v>7</v>
      </c>
      <c r="G415" t="s">
        <v>15</v>
      </c>
      <c r="H415" t="s">
        <v>33</v>
      </c>
      <c r="I415">
        <v>1.2</v>
      </c>
      <c r="J415">
        <v>5.0999999999999996</v>
      </c>
      <c r="K415">
        <v>1</v>
      </c>
      <c r="L415">
        <v>0</v>
      </c>
      <c r="M415" t="str" cm="1">
        <f t="array" ref="M415">_xlfn.IFS(
   OR($F415="Pagar", $F415="Pintu Gerbang", $F415="Pintu Handerson", $F415="Kanopi"), "PER-M2",
   $F415="Teralis", "PER-LUBANG",
   OR($F415="Railing", $F415="Railing/Balkon"), "PER-M",
   TRUE, ""
)</f>
        <v>PER-M2</v>
      </c>
      <c r="N415" cm="1">
        <f t="array" ref="N415">IF($M415="PER-M2",
  IFERROR(
     _xlfn.IFS(
        $G415="Hollow",
            INDEX('Referensi Harga'!$C:$C,
                  MATCH($F415&amp;$C415,'Referensi Harga'!$A:$A&amp;'Referensi Harga'!$B:$B,0)),
        $G415="Hollow Stainless",
            INDEX('Referensi Harga'!$D:$D,
                  MATCH($F415&amp;$C415,'Referensi Harga'!$A:$A&amp;'Referensi Harga'!$B:$B,0)),
        $G415="Pipa Stainless",
            INDEX('Referensi Harga'!$E:$E,
                  MATCH($F415&amp;$C415,'Referensi Harga'!$A:$A&amp;'Referensi Harga'!$B:$B,0))
     ),0)
  + IFERROR(VLOOKUP($H415,'Profile Size'!$A:$B,2,FALSE),0)
  + IFERROR(VLOOKUP($I415,'Ketebalan Material'!$A:$B,2,FALSE),0),
0)</f>
        <v>1300000</v>
      </c>
      <c r="O415">
        <f>IF($M415="PER-M",
  IFERROR(
    IF($G415="Hollow",
       INDEX('Referensi Harga'!$C:$C, MATCH($F415 &amp; "|" &amp; $C415, 'Referensi Harga'!$F:$F, 0)),
    IF($G415="Hollow Stainless",
       INDEX('Referensi Harga'!$D:$D, MATCH($F415 &amp; "|" &amp; $C415, 'Referensi Harga'!$F:$F, 0)),
       INDEX('Referensi Harga'!$E:$E, MATCH($F415 &amp; "|" &amp; $C415, 'Referensi Harga'!$F:$F, 0))
    ))
    + IFERROR(VLOOKUP($H415, 'Profile Size'!$A:$B, 2, FALSE), 0)
    + IFERROR(VLOOKUP($I415, 'Ketebalan Material'!$A:$B, 2, FALSE), 0), 0),
0)</f>
        <v>0</v>
      </c>
      <c r="P415" cm="1">
        <f t="array" ref="P415">IF($M415="PER-LUBANG",
  IFERROR(
     _xlfn.IFS(
        $G415="Hollow",
            INDEX('Referensi Harga'!$C:$C,
                  MATCH($F415&amp;$C415,'Referensi Harga'!$A:$A&amp;'Referensi Harga'!$B:$B,0)),
        $G415="Hollow Stainless",
            INDEX('Referensi Harga'!$D:$D,
                  MATCH($F415&amp;$C415,'Referensi Harga'!$A:$A&amp;'Referensi Harga'!$B:$B,0)),
        $G415="Pipa Stainless",
            INDEX('Referensi Harga'!$E:$E,
                  MATCH($F415&amp;$C415,'Referensi Harga'!$A:$A&amp;'Referensi Harga'!$B:$B,0))
     ),0)
  + IFERROR(VLOOKUP($H415,'Profile Size'!$A:$B,2,FALSE),0)
  + IFERROR(VLOOKUP($I415,'Ketebalan Material'!$A:$B,2,FALSE),0),
0)</f>
        <v>0</v>
      </c>
      <c r="Q415">
        <f>IF($M415="PER-M2",
    IFERROR(
        SUMIFS('Upah Tenaga Ahli'!$C:$C,
               'Upah Tenaga Ahli'!$A:$A,"PER-M2",
               'Upah Tenaga Ahli'!$B:$B,$G415
        ) * $J415 * $K415,
    0),
IF($M415="PER-LUBANG",
    IFERROR(
        SUMIFS('Upah Tenaga Ahli'!$D:$D,
               'Upah Tenaga Ahli'!$A:$A,"PER-LUBANG",
               'Upah Tenaga Ahli'!$B:$B,$G415
        ) * $L415 * $K415,
    0),
IF($M415="PER-M",
    IFERROR(
        SUMIFS('Upah Tenaga Ahli'!$E:$E,
               'Upah Tenaga Ahli'!$A:$A,"PER-M",
               'Upah Tenaga Ahli'!$B:$B,$G415
        ) * $J415 * $K415,
    0),
0)))</f>
        <v>765000</v>
      </c>
      <c r="R415" t="s">
        <v>617</v>
      </c>
      <c r="S415" t="s">
        <v>23</v>
      </c>
      <c r="T415">
        <f>IF($M415="PER-M2",
   ($N415 * $J415 * $K415)
   + IFERROR(VLOOKUP($R415,Finishing!A:B,2,FALSE),0)
   + IFERROR(VLOOKUP($S415,Kerumitan!A:B,2,FALSE),0),
IF($M415="PER-LUBANG",
   ($P415 * $L415 * $K415)
   + IFERROR(VLOOKUP($R415,Finishing!A:B,2,FALSE),0)
   + IFERROR(VLOOKUP($S415,Kerumitan!A:B,2,FALSE),0),
IF($M415="PER-M",
   ($O415 * $J415 * $K415)
   + IFERROR(VLOOKUP($R415,Finishing!A:B,2,FALSE),0)
   + IFERROR(VLOOKUP($S415,Kerumitan!A:B,2,FALSE),0),
0)))</f>
        <v>6630000</v>
      </c>
    </row>
    <row r="416" spans="1:20" x14ac:dyDescent="0.45">
      <c r="A416" t="s">
        <v>513</v>
      </c>
      <c r="B416" s="5">
        <v>44677</v>
      </c>
      <c r="C416">
        <f t="shared" si="6"/>
        <v>2022</v>
      </c>
      <c r="D416" t="s">
        <v>123</v>
      </c>
      <c r="E416" t="s">
        <v>57</v>
      </c>
      <c r="F416" t="s">
        <v>625</v>
      </c>
      <c r="G416" t="s">
        <v>15</v>
      </c>
      <c r="H416" t="s">
        <v>33</v>
      </c>
      <c r="I416">
        <v>1.2</v>
      </c>
      <c r="J416">
        <v>3.13</v>
      </c>
      <c r="K416">
        <v>1</v>
      </c>
      <c r="L416">
        <v>0</v>
      </c>
      <c r="M416" t="str" cm="1">
        <f t="array" ref="M416">_xlfn.IFS(
   OR($F416="Pagar", $F416="Pintu Gerbang", $F416="Pintu Handerson", $F416="Kanopi"), "PER-M2",
   $F416="Teralis", "PER-LUBANG",
   OR($F416="Railing", $F416="Railing/Balkon"), "PER-M",
   TRUE, ""
)</f>
        <v>PER-M</v>
      </c>
      <c r="N416" cm="1">
        <f t="array" ref="N416">IF($M416="PER-M2",
  IFERROR(
     _xlfn.IFS(
        $G416="Hollow",
            INDEX('Referensi Harga'!$C:$C,
                  MATCH($F416&amp;$C416,'Referensi Harga'!$A:$A&amp;'Referensi Harga'!$B:$B,0)),
        $G416="Hollow Stainless",
            INDEX('Referensi Harga'!$D:$D,
                  MATCH($F416&amp;$C416,'Referensi Harga'!$A:$A&amp;'Referensi Harga'!$B:$B,0)),
        $G416="Pipa Stainless",
            INDEX('Referensi Harga'!$E:$E,
                  MATCH($F416&amp;$C416,'Referensi Harga'!$A:$A&amp;'Referensi Harga'!$B:$B,0))
     ),0)
  + IFERROR(VLOOKUP($H416,'Profile Size'!$A:$B,2,FALSE),0)
  + IFERROR(VLOOKUP($I416,'Ketebalan Material'!$A:$B,2,FALSE),0),
0)</f>
        <v>0</v>
      </c>
      <c r="O416">
        <f>IF($M416="PER-M",
  IFERROR(
    IF($G416="Hollow",
       INDEX('Referensi Harga'!$C:$C, MATCH($F416 &amp; "|" &amp; $C416, 'Referensi Harga'!$F:$F, 0)),
    IF($G416="Hollow Stainless",
       INDEX('Referensi Harga'!$D:$D, MATCH($F416 &amp; "|" &amp; $C416, 'Referensi Harga'!$F:$F, 0)),
       INDEX('Referensi Harga'!$E:$E, MATCH($F416 &amp; "|" &amp; $C416, 'Referensi Harga'!$F:$F, 0))
    ))
    + IFERROR(VLOOKUP($H416, 'Profile Size'!$A:$B, 2, FALSE), 0)
    + IFERROR(VLOOKUP($I416, 'Ketebalan Material'!$A:$B, 2, FALSE), 0), 0),
0)</f>
        <v>1220000</v>
      </c>
      <c r="P416" cm="1">
        <f t="array" ref="P416">IF($M416="PER-LUBANG",
  IFERROR(
     _xlfn.IFS(
        $G416="Hollow",
            INDEX('Referensi Harga'!$C:$C,
                  MATCH($F416&amp;$C416,'Referensi Harga'!$A:$A&amp;'Referensi Harga'!$B:$B,0)),
        $G416="Hollow Stainless",
            INDEX('Referensi Harga'!$D:$D,
                  MATCH($F416&amp;$C416,'Referensi Harga'!$A:$A&amp;'Referensi Harga'!$B:$B,0)),
        $G416="Pipa Stainless",
            INDEX('Referensi Harga'!$E:$E,
                  MATCH($F416&amp;$C416,'Referensi Harga'!$A:$A&amp;'Referensi Harga'!$B:$B,0))
     ),0)
  + IFERROR(VLOOKUP($H416,'Profile Size'!$A:$B,2,FALSE),0)
  + IFERROR(VLOOKUP($I416,'Ketebalan Material'!$A:$B,2,FALSE),0),
0)</f>
        <v>0</v>
      </c>
      <c r="Q416">
        <f>IF($M416="PER-M2",
    IFERROR(
        SUMIFS('Upah Tenaga Ahli'!$C:$C,
               'Upah Tenaga Ahli'!$A:$A,"PER-M2",
               'Upah Tenaga Ahli'!$B:$B,$G416
        ) * $J416 * $K416,
    0),
IF($M416="PER-LUBANG",
    IFERROR(
        SUMIFS('Upah Tenaga Ahli'!$D:$D,
               'Upah Tenaga Ahli'!$A:$A,"PER-LUBANG",
               'Upah Tenaga Ahli'!$B:$B,$G416
        ) * $L416 * $K416,
    0),
IF($M416="PER-M",
    IFERROR(
        SUMIFS('Upah Tenaga Ahli'!$E:$E,
               'Upah Tenaga Ahli'!$A:$A,"PER-M",
               'Upah Tenaga Ahli'!$B:$B,$G416
        ) * $J416 * $K416,
    0),
0)))</f>
        <v>469500</v>
      </c>
      <c r="R416" t="s">
        <v>617</v>
      </c>
      <c r="S416" t="s">
        <v>24</v>
      </c>
      <c r="T416">
        <f>IF($M416="PER-M2",
   ($N416 * $J416 * $K416)
   + IFERROR(VLOOKUP($R416,Finishing!A:B,2,FALSE),0)
   + IFERROR(VLOOKUP($S416,Kerumitan!A:B,2,FALSE),0),
IF($M416="PER-LUBANG",
   ($P416 * $L416 * $K416)
   + IFERROR(VLOOKUP($R416,Finishing!A:B,2,FALSE),0)
   + IFERROR(VLOOKUP($S416,Kerumitan!A:B,2,FALSE),0),
IF($M416="PER-M",
   ($O416 * $J416 * $K416)
   + IFERROR(VLOOKUP($R416,Finishing!A:B,2,FALSE),0)
   + IFERROR(VLOOKUP($S416,Kerumitan!A:B,2,FALSE),0),
0)))</f>
        <v>3918600</v>
      </c>
    </row>
    <row r="417" spans="1:20" x14ac:dyDescent="0.45">
      <c r="A417" t="s">
        <v>514</v>
      </c>
      <c r="B417" s="5">
        <v>44795</v>
      </c>
      <c r="C417">
        <f t="shared" si="6"/>
        <v>2022</v>
      </c>
      <c r="D417" t="s">
        <v>129</v>
      </c>
      <c r="E417" t="s">
        <v>44</v>
      </c>
      <c r="F417" t="s">
        <v>4</v>
      </c>
      <c r="G417" t="s">
        <v>15</v>
      </c>
      <c r="H417" t="s">
        <v>46</v>
      </c>
      <c r="I417">
        <v>1.2</v>
      </c>
      <c r="J417">
        <v>12.21</v>
      </c>
      <c r="K417">
        <v>1</v>
      </c>
      <c r="L417">
        <v>0</v>
      </c>
      <c r="M417" t="str" cm="1">
        <f t="array" ref="M417">_xlfn.IFS(
   OR($F417="Pagar", $F417="Pintu Gerbang", $F417="Pintu Handerson", $F417="Kanopi"), "PER-M2",
   $F417="Teralis", "PER-LUBANG",
   OR($F417="Railing", $F417="Railing/Balkon"), "PER-M",
   TRUE, ""
)</f>
        <v>PER-M2</v>
      </c>
      <c r="N417" cm="1">
        <f t="array" ref="N417">IF($M417="PER-M2",
  IFERROR(
     _xlfn.IFS(
        $G417="Hollow",
            INDEX('Referensi Harga'!$C:$C,
                  MATCH($F417&amp;$C417,'Referensi Harga'!$A:$A&amp;'Referensi Harga'!$B:$B,0)),
        $G417="Hollow Stainless",
            INDEX('Referensi Harga'!$D:$D,
                  MATCH($F417&amp;$C417,'Referensi Harga'!$A:$A&amp;'Referensi Harga'!$B:$B,0)),
        $G417="Pipa Stainless",
            INDEX('Referensi Harga'!$E:$E,
                  MATCH($F417&amp;$C417,'Referensi Harga'!$A:$A&amp;'Referensi Harga'!$B:$B,0))
     ),0)
  + IFERROR(VLOOKUP($H417,'Profile Size'!$A:$B,2,FALSE),0)
  + IFERROR(VLOOKUP($I417,'Ketebalan Material'!$A:$B,2,FALSE),0),
0)</f>
        <v>1280000</v>
      </c>
      <c r="O417">
        <f>IF($M417="PER-M",
  IFERROR(
    IF($G417="Hollow",
       INDEX('Referensi Harga'!$C:$C, MATCH($F417 &amp; "|" &amp; $C417, 'Referensi Harga'!$F:$F, 0)),
    IF($G417="Hollow Stainless",
       INDEX('Referensi Harga'!$D:$D, MATCH($F417 &amp; "|" &amp; $C417, 'Referensi Harga'!$F:$F, 0)),
       INDEX('Referensi Harga'!$E:$E, MATCH($F417 &amp; "|" &amp; $C417, 'Referensi Harga'!$F:$F, 0))
    ))
    + IFERROR(VLOOKUP($H417, 'Profile Size'!$A:$B, 2, FALSE), 0)
    + IFERROR(VLOOKUP($I417, 'Ketebalan Material'!$A:$B, 2, FALSE), 0), 0),
0)</f>
        <v>0</v>
      </c>
      <c r="P417" cm="1">
        <f t="array" ref="P417">IF($M417="PER-LUBANG",
  IFERROR(
     _xlfn.IFS(
        $G417="Hollow",
            INDEX('Referensi Harga'!$C:$C,
                  MATCH($F417&amp;$C417,'Referensi Harga'!$A:$A&amp;'Referensi Harga'!$B:$B,0)),
        $G417="Hollow Stainless",
            INDEX('Referensi Harga'!$D:$D,
                  MATCH($F417&amp;$C417,'Referensi Harga'!$A:$A&amp;'Referensi Harga'!$B:$B,0)),
        $G417="Pipa Stainless",
            INDEX('Referensi Harga'!$E:$E,
                  MATCH($F417&amp;$C417,'Referensi Harga'!$A:$A&amp;'Referensi Harga'!$B:$B,0))
     ),0)
  + IFERROR(VLOOKUP($H417,'Profile Size'!$A:$B,2,FALSE),0)
  + IFERROR(VLOOKUP($I417,'Ketebalan Material'!$A:$B,2,FALSE),0),
0)</f>
        <v>0</v>
      </c>
      <c r="Q417">
        <f>IF($M417="PER-M2",
    IFERROR(
        SUMIFS('Upah Tenaga Ahli'!$C:$C,
               'Upah Tenaga Ahli'!$A:$A,"PER-M2",
               'Upah Tenaga Ahli'!$B:$B,$G417
        ) * $J417 * $K417,
    0),
IF($M417="PER-LUBANG",
    IFERROR(
        SUMIFS('Upah Tenaga Ahli'!$D:$D,
               'Upah Tenaga Ahli'!$A:$A,"PER-LUBANG",
               'Upah Tenaga Ahli'!$B:$B,$G417
        ) * $L417 * $K417,
    0),
IF($M417="PER-M",
    IFERROR(
        SUMIFS('Upah Tenaga Ahli'!$E:$E,
               'Upah Tenaga Ahli'!$A:$A,"PER-M",
               'Upah Tenaga Ahli'!$B:$B,$G417
        ) * $J417 * $K417,
    0),
0)))</f>
        <v>1831500.0000000002</v>
      </c>
      <c r="R417" t="s">
        <v>617</v>
      </c>
      <c r="S417" t="s">
        <v>23</v>
      </c>
      <c r="T417">
        <f>IF($M417="PER-M2",
   ($N417 * $J417 * $K417)
   + IFERROR(VLOOKUP($R417,Finishing!A:B,2,FALSE),0)
   + IFERROR(VLOOKUP($S417,Kerumitan!A:B,2,FALSE),0),
IF($M417="PER-LUBANG",
   ($P417 * $L417 * $K417)
   + IFERROR(VLOOKUP($R417,Finishing!A:B,2,FALSE),0)
   + IFERROR(VLOOKUP($S417,Kerumitan!A:B,2,FALSE),0),
IF($M417="PER-M",
   ($O417 * $J417 * $K417)
   + IFERROR(VLOOKUP($R417,Finishing!A:B,2,FALSE),0)
   + IFERROR(VLOOKUP($S417,Kerumitan!A:B,2,FALSE),0),
0)))</f>
        <v>15628800.000000002</v>
      </c>
    </row>
    <row r="418" spans="1:20" x14ac:dyDescent="0.45">
      <c r="A418" t="s">
        <v>515</v>
      </c>
      <c r="B418" s="5">
        <v>45119</v>
      </c>
      <c r="C418">
        <f t="shared" si="6"/>
        <v>2023</v>
      </c>
      <c r="D418" t="s">
        <v>68</v>
      </c>
      <c r="E418" t="s">
        <v>38</v>
      </c>
      <c r="F418" t="s">
        <v>7</v>
      </c>
      <c r="G418" t="s">
        <v>13</v>
      </c>
      <c r="H418" t="s">
        <v>46</v>
      </c>
      <c r="I418">
        <v>0.8</v>
      </c>
      <c r="J418">
        <v>7.7</v>
      </c>
      <c r="K418">
        <v>1</v>
      </c>
      <c r="L418">
        <v>0</v>
      </c>
      <c r="M418" t="str" cm="1">
        <f t="array" ref="M418">_xlfn.IFS(
   OR($F418="Pagar", $F418="Pintu Gerbang", $F418="Pintu Handerson", $F418="Kanopi"), "PER-M2",
   $F418="Teralis", "PER-LUBANG",
   OR($F418="Railing", $F418="Railing/Balkon"), "PER-M",
   TRUE, ""
)</f>
        <v>PER-M2</v>
      </c>
      <c r="N418" cm="1">
        <f t="array" ref="N418">IF($M418="PER-M2",
  IFERROR(
     _xlfn.IFS(
        $G418="Hollow",
            INDEX('Referensi Harga'!$C:$C,
                  MATCH($F418&amp;$C418,'Referensi Harga'!$A:$A&amp;'Referensi Harga'!$B:$B,0)),
        $G418="Hollow Stainless",
            INDEX('Referensi Harga'!$D:$D,
                  MATCH($F418&amp;$C418,'Referensi Harga'!$A:$A&amp;'Referensi Harga'!$B:$B,0)),
        $G418="Pipa Stainless",
            INDEX('Referensi Harga'!$E:$E,
                  MATCH($F418&amp;$C418,'Referensi Harga'!$A:$A&amp;'Referensi Harga'!$B:$B,0))
     ),0)
  + IFERROR(VLOOKUP($H418,'Profile Size'!$A:$B,2,FALSE),0)
  + IFERROR(VLOOKUP($I418,'Ketebalan Material'!$A:$B,2,FALSE),0),
0)</f>
        <v>750000</v>
      </c>
      <c r="O418">
        <f>IF($M418="PER-M",
  IFERROR(
    IF($G418="Hollow",
       INDEX('Referensi Harga'!$C:$C, MATCH($F418 &amp; "|" &amp; $C418, 'Referensi Harga'!$F:$F, 0)),
    IF($G418="Hollow Stainless",
       INDEX('Referensi Harga'!$D:$D, MATCH($F418 &amp; "|" &amp; $C418, 'Referensi Harga'!$F:$F, 0)),
       INDEX('Referensi Harga'!$E:$E, MATCH($F418 &amp; "|" &amp; $C418, 'Referensi Harga'!$F:$F, 0))
    ))
    + IFERROR(VLOOKUP($H418, 'Profile Size'!$A:$B, 2, FALSE), 0)
    + IFERROR(VLOOKUP($I418, 'Ketebalan Material'!$A:$B, 2, FALSE), 0), 0),
0)</f>
        <v>0</v>
      </c>
      <c r="P418" cm="1">
        <f t="array" ref="P418">IF($M418="PER-LUBANG",
  IFERROR(
     _xlfn.IFS(
        $G418="Hollow",
            INDEX('Referensi Harga'!$C:$C,
                  MATCH($F418&amp;$C418,'Referensi Harga'!$A:$A&amp;'Referensi Harga'!$B:$B,0)),
        $G418="Hollow Stainless",
            INDEX('Referensi Harga'!$D:$D,
                  MATCH($F418&amp;$C418,'Referensi Harga'!$A:$A&amp;'Referensi Harga'!$B:$B,0)),
        $G418="Pipa Stainless",
            INDEX('Referensi Harga'!$E:$E,
                  MATCH($F418&amp;$C418,'Referensi Harga'!$A:$A&amp;'Referensi Harga'!$B:$B,0))
     ),0)
  + IFERROR(VLOOKUP($H418,'Profile Size'!$A:$B,2,FALSE),0)
  + IFERROR(VLOOKUP($I418,'Ketebalan Material'!$A:$B,2,FALSE),0),
0)</f>
        <v>0</v>
      </c>
      <c r="Q418">
        <f>IF($M418="PER-M2",
    IFERROR(
        SUMIFS('Upah Tenaga Ahli'!$C:$C,
               'Upah Tenaga Ahli'!$A:$A,"PER-M2",
               'Upah Tenaga Ahli'!$B:$B,$G418
        ) * $J418 * $K418,
    0),
IF($M418="PER-LUBANG",
    IFERROR(
        SUMIFS('Upah Tenaga Ahli'!$D:$D,
               'Upah Tenaga Ahli'!$A:$A,"PER-LUBANG",
               'Upah Tenaga Ahli'!$B:$B,$G418
        ) * $L418 * $K418,
    0),
IF($M418="PER-M",
    IFERROR(
        SUMIFS('Upah Tenaga Ahli'!$E:$E,
               'Upah Tenaga Ahli'!$A:$A,"PER-M",
               'Upah Tenaga Ahli'!$B:$B,$G418
        ) * $J418 * $K418,
    0),
0)))</f>
        <v>770000</v>
      </c>
      <c r="R418" t="s">
        <v>19</v>
      </c>
      <c r="S418" t="s">
        <v>24</v>
      </c>
      <c r="T418">
        <f>IF($M418="PER-M2",
   ($N418 * $J418 * $K418)
   + IFERROR(VLOOKUP($R418,Finishing!A:B,2,FALSE),0)
   + IFERROR(VLOOKUP($S418,Kerumitan!A:B,2,FALSE),0),
IF($M418="PER-LUBANG",
   ($P418 * $L418 * $K418)
   + IFERROR(VLOOKUP($R418,Finishing!A:B,2,FALSE),0)
   + IFERROR(VLOOKUP($S418,Kerumitan!A:B,2,FALSE),0),
IF($M418="PER-M",
   ($O418 * $J418 * $K418)
   + IFERROR(VLOOKUP($R418,Finishing!A:B,2,FALSE),0)
   + IFERROR(VLOOKUP($S418,Kerumitan!A:B,2,FALSE),0),
0)))</f>
        <v>5925000</v>
      </c>
    </row>
    <row r="419" spans="1:20" x14ac:dyDescent="0.45">
      <c r="A419" t="s">
        <v>516</v>
      </c>
      <c r="B419" s="5">
        <v>44430</v>
      </c>
      <c r="C419">
        <f t="shared" si="6"/>
        <v>2021</v>
      </c>
      <c r="D419" t="s">
        <v>133</v>
      </c>
      <c r="E419" t="s">
        <v>41</v>
      </c>
      <c r="F419" t="s">
        <v>625</v>
      </c>
      <c r="G419" t="s">
        <v>14</v>
      </c>
      <c r="H419" t="s">
        <v>615</v>
      </c>
      <c r="I419">
        <v>1.2</v>
      </c>
      <c r="J419">
        <v>4.8499999999999996</v>
      </c>
      <c r="K419">
        <v>2</v>
      </c>
      <c r="L419">
        <v>0</v>
      </c>
      <c r="M419" t="str" cm="1">
        <f t="array" ref="M419">_xlfn.IFS(
   OR($F419="Pagar", $F419="Pintu Gerbang", $F419="Pintu Handerson", $F419="Kanopi"), "PER-M2",
   $F419="Teralis", "PER-LUBANG",
   OR($F419="Railing", $F419="Railing/Balkon"), "PER-M",
   TRUE, ""
)</f>
        <v>PER-M</v>
      </c>
      <c r="N419" cm="1">
        <f t="array" ref="N419">IF($M419="PER-M2",
  IFERROR(
     _xlfn.IFS(
        $G419="Hollow",
            INDEX('Referensi Harga'!$C:$C,
                  MATCH($F419&amp;$C419,'Referensi Harga'!$A:$A&amp;'Referensi Harga'!$B:$B,0)),
        $G419="Hollow Stainless",
            INDEX('Referensi Harga'!$D:$D,
                  MATCH($F419&amp;$C419,'Referensi Harga'!$A:$A&amp;'Referensi Harga'!$B:$B,0)),
        $G419="Pipa Stainless",
            INDEX('Referensi Harga'!$E:$E,
                  MATCH($F419&amp;$C419,'Referensi Harga'!$A:$A&amp;'Referensi Harga'!$B:$B,0))
     ),0)
  + IFERROR(VLOOKUP($H419,'Profile Size'!$A:$B,2,FALSE),0)
  + IFERROR(VLOOKUP($I419,'Ketebalan Material'!$A:$B,2,FALSE),0),
0)</f>
        <v>0</v>
      </c>
      <c r="O419">
        <f>IF($M419="PER-M",
  IFERROR(
    IF($G419="Hollow",
       INDEX('Referensi Harga'!$C:$C, MATCH($F419 &amp; "|" &amp; $C419, 'Referensi Harga'!$F:$F, 0)),
    IF($G419="Hollow Stainless",
       INDEX('Referensi Harga'!$D:$D, MATCH($F419 &amp; "|" &amp; $C419, 'Referensi Harga'!$F:$F, 0)),
       INDEX('Referensi Harga'!$E:$E, MATCH($F419 &amp; "|" &amp; $C419, 'Referensi Harga'!$F:$F, 0))
    ))
    + IFERROR(VLOOKUP($H419, 'Profile Size'!$A:$B, 2, FALSE), 0)
    + IFERROR(VLOOKUP($I419, 'Ketebalan Material'!$A:$B, 2, FALSE), 0), 0),
0)</f>
        <v>1100000</v>
      </c>
      <c r="P419" cm="1">
        <f t="array" ref="P419">IF($M419="PER-LUBANG",
  IFERROR(
     _xlfn.IFS(
        $G419="Hollow",
            INDEX('Referensi Harga'!$C:$C,
                  MATCH($F419&amp;$C419,'Referensi Harga'!$A:$A&amp;'Referensi Harga'!$B:$B,0)),
        $G419="Hollow Stainless",
            INDEX('Referensi Harga'!$D:$D,
                  MATCH($F419&amp;$C419,'Referensi Harga'!$A:$A&amp;'Referensi Harga'!$B:$B,0)),
        $G419="Pipa Stainless",
            INDEX('Referensi Harga'!$E:$E,
                  MATCH($F419&amp;$C419,'Referensi Harga'!$A:$A&amp;'Referensi Harga'!$B:$B,0))
     ),0)
  + IFERROR(VLOOKUP($H419,'Profile Size'!$A:$B,2,FALSE),0)
  + IFERROR(VLOOKUP($I419,'Ketebalan Material'!$A:$B,2,FALSE),0),
0)</f>
        <v>0</v>
      </c>
      <c r="Q419">
        <f>IF($M419="PER-M2",
    IFERROR(
        SUMIFS('Upah Tenaga Ahli'!$C:$C,
               'Upah Tenaga Ahli'!$A:$A,"PER-M2",
               'Upah Tenaga Ahli'!$B:$B,$G419
        ) * $J419 * $K419,
    0),
IF($M419="PER-LUBANG",
    IFERROR(
        SUMIFS('Upah Tenaga Ahli'!$D:$D,
               'Upah Tenaga Ahli'!$A:$A,"PER-LUBANG",
               'Upah Tenaga Ahli'!$B:$B,$G419
        ) * $L419 * $K419,
    0),
IF($M419="PER-M",
    IFERROR(
        SUMIFS('Upah Tenaga Ahli'!$E:$E,
               'Upah Tenaga Ahli'!$A:$A,"PER-M",
               'Upah Tenaga Ahli'!$B:$B,$G419
        ) * $J419 * $K419,
    0),
0)))</f>
        <v>1939999.9999999998</v>
      </c>
      <c r="R419" t="s">
        <v>617</v>
      </c>
      <c r="S419" t="s">
        <v>24</v>
      </c>
      <c r="T419">
        <f>IF($M419="PER-M2",
   ($N419 * $J419 * $K419)
   + IFERROR(VLOOKUP($R419,Finishing!A:B,2,FALSE),0)
   + IFERROR(VLOOKUP($S419,Kerumitan!A:B,2,FALSE),0),
IF($M419="PER-LUBANG",
   ($P419 * $L419 * $K419)
   + IFERROR(VLOOKUP($R419,Finishing!A:B,2,FALSE),0)
   + IFERROR(VLOOKUP($S419,Kerumitan!A:B,2,FALSE),0),
IF($M419="PER-M",
   ($O419 * $J419 * $K419)
   + IFERROR(VLOOKUP($R419,Finishing!A:B,2,FALSE),0)
   + IFERROR(VLOOKUP($S419,Kerumitan!A:B,2,FALSE),0),
0)))</f>
        <v>10770000</v>
      </c>
    </row>
    <row r="420" spans="1:20" x14ac:dyDescent="0.45">
      <c r="A420" t="s">
        <v>517</v>
      </c>
      <c r="B420" s="5">
        <v>44298</v>
      </c>
      <c r="C420">
        <f t="shared" si="6"/>
        <v>2021</v>
      </c>
      <c r="D420" t="s">
        <v>43</v>
      </c>
      <c r="E420" t="s">
        <v>41</v>
      </c>
      <c r="F420" t="s">
        <v>625</v>
      </c>
      <c r="G420" t="s">
        <v>13</v>
      </c>
      <c r="H420" t="s">
        <v>46</v>
      </c>
      <c r="I420">
        <v>0.8</v>
      </c>
      <c r="J420">
        <v>2.67</v>
      </c>
      <c r="K420">
        <v>3</v>
      </c>
      <c r="L420">
        <v>0</v>
      </c>
      <c r="M420" t="str" cm="1">
        <f t="array" ref="M420">_xlfn.IFS(
   OR($F420="Pagar", $F420="Pintu Gerbang", $F420="Pintu Handerson", $F420="Kanopi"), "PER-M2",
   $F420="Teralis", "PER-LUBANG",
   OR($F420="Railing", $F420="Railing/Balkon"), "PER-M",
   TRUE, ""
)</f>
        <v>PER-M</v>
      </c>
      <c r="N420" cm="1">
        <f t="array" ref="N420">IF($M420="PER-M2",
  IFERROR(
     _xlfn.IFS(
        $G420="Hollow",
            INDEX('Referensi Harga'!$C:$C,
                  MATCH($F420&amp;$C420,'Referensi Harga'!$A:$A&amp;'Referensi Harga'!$B:$B,0)),
        $G420="Hollow Stainless",
            INDEX('Referensi Harga'!$D:$D,
                  MATCH($F420&amp;$C420,'Referensi Harga'!$A:$A&amp;'Referensi Harga'!$B:$B,0)),
        $G420="Pipa Stainless",
            INDEX('Referensi Harga'!$E:$E,
                  MATCH($F420&amp;$C420,'Referensi Harga'!$A:$A&amp;'Referensi Harga'!$B:$B,0))
     ),0)
  + IFERROR(VLOOKUP($H420,'Profile Size'!$A:$B,2,FALSE),0)
  + IFERROR(VLOOKUP($I420,'Ketebalan Material'!$A:$B,2,FALSE),0),
0)</f>
        <v>0</v>
      </c>
      <c r="O420">
        <f>IF($M420="PER-M",
  IFERROR(
    IF($G420="Hollow",
       INDEX('Referensi Harga'!$C:$C, MATCH($F420 &amp; "|" &amp; $C420, 'Referensi Harga'!$F:$F, 0)),
    IF($G420="Hollow Stainless",
       INDEX('Referensi Harga'!$D:$D, MATCH($F420 &amp; "|" &amp; $C420, 'Referensi Harga'!$F:$F, 0)),
       INDEX('Referensi Harga'!$E:$E, MATCH($F420 &amp; "|" &amp; $C420, 'Referensi Harga'!$F:$F, 0))
    ))
    + IFERROR(VLOOKUP($H420, 'Profile Size'!$A:$B, 2, FALSE), 0)
    + IFERROR(VLOOKUP($I420, 'Ketebalan Material'!$A:$B, 2, FALSE), 0), 0),
0)</f>
        <v>500000</v>
      </c>
      <c r="P420" cm="1">
        <f t="array" ref="P420">IF($M420="PER-LUBANG",
  IFERROR(
     _xlfn.IFS(
        $G420="Hollow",
            INDEX('Referensi Harga'!$C:$C,
                  MATCH($F420&amp;$C420,'Referensi Harga'!$A:$A&amp;'Referensi Harga'!$B:$B,0)),
        $G420="Hollow Stainless",
            INDEX('Referensi Harga'!$D:$D,
                  MATCH($F420&amp;$C420,'Referensi Harga'!$A:$A&amp;'Referensi Harga'!$B:$B,0)),
        $G420="Pipa Stainless",
            INDEX('Referensi Harga'!$E:$E,
                  MATCH($F420&amp;$C420,'Referensi Harga'!$A:$A&amp;'Referensi Harga'!$B:$B,0))
     ),0)
  + IFERROR(VLOOKUP($H420,'Profile Size'!$A:$B,2,FALSE),0)
  + IFERROR(VLOOKUP($I420,'Ketebalan Material'!$A:$B,2,FALSE),0),
0)</f>
        <v>0</v>
      </c>
      <c r="Q420">
        <f>IF($M420="PER-M2",
    IFERROR(
        SUMIFS('Upah Tenaga Ahli'!$C:$C,
               'Upah Tenaga Ahli'!$A:$A,"PER-M2",
               'Upah Tenaga Ahli'!$B:$B,$G420
        ) * $J420 * $K420,
    0),
IF($M420="PER-LUBANG",
    IFERROR(
        SUMIFS('Upah Tenaga Ahli'!$D:$D,
               'Upah Tenaga Ahli'!$A:$A,"PER-LUBANG",
               'Upah Tenaga Ahli'!$B:$B,$G420
        ) * $L420 * $K420,
    0),
IF($M420="PER-M",
    IFERROR(
        SUMIFS('Upah Tenaga Ahli'!$E:$E,
               'Upah Tenaga Ahli'!$A:$A,"PER-M",
               'Upah Tenaga Ahli'!$B:$B,$G420
        ) * $J420 * $K420,
    0),
0)))</f>
        <v>801000</v>
      </c>
      <c r="R420" t="s">
        <v>18</v>
      </c>
      <c r="S420" t="s">
        <v>24</v>
      </c>
      <c r="T420">
        <f>IF($M420="PER-M2",
   ($N420 * $J420 * $K420)
   + IFERROR(VLOOKUP($R420,Finishing!A:B,2,FALSE),0)
   + IFERROR(VLOOKUP($S420,Kerumitan!A:B,2,FALSE),0),
IF($M420="PER-LUBANG",
   ($P420 * $L420 * $K420)
   + IFERROR(VLOOKUP($R420,Finishing!A:B,2,FALSE),0)
   + IFERROR(VLOOKUP($S420,Kerumitan!A:B,2,FALSE),0),
IF($M420="PER-M",
   ($O420 * $J420 * $K420)
   + IFERROR(VLOOKUP($R420,Finishing!A:B,2,FALSE),0)
   + IFERROR(VLOOKUP($S420,Kerumitan!A:B,2,FALSE),0),
0)))</f>
        <v>4105000</v>
      </c>
    </row>
    <row r="421" spans="1:20" x14ac:dyDescent="0.45">
      <c r="A421" t="s">
        <v>518</v>
      </c>
      <c r="B421" s="5">
        <v>45504</v>
      </c>
      <c r="C421">
        <f t="shared" si="6"/>
        <v>2024</v>
      </c>
      <c r="D421" t="s">
        <v>63</v>
      </c>
      <c r="E421" t="s">
        <v>28</v>
      </c>
      <c r="F421" t="s">
        <v>625</v>
      </c>
      <c r="G421" t="s">
        <v>14</v>
      </c>
      <c r="H421" t="s">
        <v>615</v>
      </c>
      <c r="I421">
        <v>1.2</v>
      </c>
      <c r="J421">
        <v>7.79</v>
      </c>
      <c r="K421">
        <v>3</v>
      </c>
      <c r="L421">
        <v>0</v>
      </c>
      <c r="M421" t="str" cm="1">
        <f t="array" ref="M421">_xlfn.IFS(
   OR($F421="Pagar", $F421="Pintu Gerbang", $F421="Pintu Handerson", $F421="Kanopi"), "PER-M2",
   $F421="Teralis", "PER-LUBANG",
   OR($F421="Railing", $F421="Railing/Balkon"), "PER-M",
   TRUE, ""
)</f>
        <v>PER-M</v>
      </c>
      <c r="N421" cm="1">
        <f t="array" ref="N421">IF($M421="PER-M2",
  IFERROR(
     _xlfn.IFS(
        $G421="Hollow",
            INDEX('Referensi Harga'!$C:$C,
                  MATCH($F421&amp;$C421,'Referensi Harga'!$A:$A&amp;'Referensi Harga'!$B:$B,0)),
        $G421="Hollow Stainless",
            INDEX('Referensi Harga'!$D:$D,
                  MATCH($F421&amp;$C421,'Referensi Harga'!$A:$A&amp;'Referensi Harga'!$B:$B,0)),
        $G421="Pipa Stainless",
            INDEX('Referensi Harga'!$E:$E,
                  MATCH($F421&amp;$C421,'Referensi Harga'!$A:$A&amp;'Referensi Harga'!$B:$B,0))
     ),0)
  + IFERROR(VLOOKUP($H421,'Profile Size'!$A:$B,2,FALSE),0)
  + IFERROR(VLOOKUP($I421,'Ketebalan Material'!$A:$B,2,FALSE),0),
0)</f>
        <v>0</v>
      </c>
      <c r="O421">
        <f>IF($M421="PER-M",
  IFERROR(
    IF($G421="Hollow",
       INDEX('Referensi Harga'!$C:$C, MATCH($F421 &amp; "|" &amp; $C421, 'Referensi Harga'!$F:$F, 0)),
    IF($G421="Hollow Stainless",
       INDEX('Referensi Harga'!$D:$D, MATCH($F421 &amp; "|" &amp; $C421, 'Referensi Harga'!$F:$F, 0)),
       INDEX('Referensi Harga'!$E:$E, MATCH($F421 &amp; "|" &amp; $C421, 'Referensi Harga'!$F:$F, 0))
    ))
    + IFERROR(VLOOKUP($H421, 'Profile Size'!$A:$B, 2, FALSE), 0)
    + IFERROR(VLOOKUP($I421, 'Ketebalan Material'!$A:$B, 2, FALSE), 0), 0),
0)</f>
        <v>1200000</v>
      </c>
      <c r="P421" cm="1">
        <f t="array" ref="P421">IF($M421="PER-LUBANG",
  IFERROR(
     _xlfn.IFS(
        $G421="Hollow",
            INDEX('Referensi Harga'!$C:$C,
                  MATCH($F421&amp;$C421,'Referensi Harga'!$A:$A&amp;'Referensi Harga'!$B:$B,0)),
        $G421="Hollow Stainless",
            INDEX('Referensi Harga'!$D:$D,
                  MATCH($F421&amp;$C421,'Referensi Harga'!$A:$A&amp;'Referensi Harga'!$B:$B,0)),
        $G421="Pipa Stainless",
            INDEX('Referensi Harga'!$E:$E,
                  MATCH($F421&amp;$C421,'Referensi Harga'!$A:$A&amp;'Referensi Harga'!$B:$B,0))
     ),0)
  + IFERROR(VLOOKUP($H421,'Profile Size'!$A:$B,2,FALSE),0)
  + IFERROR(VLOOKUP($I421,'Ketebalan Material'!$A:$B,2,FALSE),0),
0)</f>
        <v>0</v>
      </c>
      <c r="Q421">
        <f>IF($M421="PER-M2",
    IFERROR(
        SUMIFS('Upah Tenaga Ahli'!$C:$C,
               'Upah Tenaga Ahli'!$A:$A,"PER-M2",
               'Upah Tenaga Ahli'!$B:$B,$G421
        ) * $J421 * $K421,
    0),
IF($M421="PER-LUBANG",
    IFERROR(
        SUMIFS('Upah Tenaga Ahli'!$D:$D,
               'Upah Tenaga Ahli'!$A:$A,"PER-LUBANG",
               'Upah Tenaga Ahli'!$B:$B,$G421
        ) * $L421 * $K421,
    0),
IF($M421="PER-M",
    IFERROR(
        SUMIFS('Upah Tenaga Ahli'!$E:$E,
               'Upah Tenaga Ahli'!$A:$A,"PER-M",
               'Upah Tenaga Ahli'!$B:$B,$G421
        ) * $J421 * $K421,
    0),
0)))</f>
        <v>4674000</v>
      </c>
      <c r="R421" t="s">
        <v>617</v>
      </c>
      <c r="S421" t="s">
        <v>23</v>
      </c>
      <c r="T421">
        <f>IF($M421="PER-M2",
   ($N421 * $J421 * $K421)
   + IFERROR(VLOOKUP($R421,Finishing!A:B,2,FALSE),0)
   + IFERROR(VLOOKUP($S421,Kerumitan!A:B,2,FALSE),0),
IF($M421="PER-LUBANG",
   ($P421 * $L421 * $K421)
   + IFERROR(VLOOKUP($R421,Finishing!A:B,2,FALSE),0)
   + IFERROR(VLOOKUP($S421,Kerumitan!A:B,2,FALSE),0),
IF($M421="PER-M",
   ($O421 * $J421 * $K421)
   + IFERROR(VLOOKUP($R421,Finishing!A:B,2,FALSE),0)
   + IFERROR(VLOOKUP($S421,Kerumitan!A:B,2,FALSE),0),
0)))</f>
        <v>28044000</v>
      </c>
    </row>
    <row r="422" spans="1:20" x14ac:dyDescent="0.45">
      <c r="A422" t="s">
        <v>519</v>
      </c>
      <c r="B422" s="5">
        <v>44031</v>
      </c>
      <c r="C422">
        <f t="shared" si="6"/>
        <v>2020</v>
      </c>
      <c r="D422" t="s">
        <v>148</v>
      </c>
      <c r="E422" t="s">
        <v>75</v>
      </c>
      <c r="F422" t="s">
        <v>7</v>
      </c>
      <c r="G422" t="s">
        <v>13</v>
      </c>
      <c r="H422" t="s">
        <v>46</v>
      </c>
      <c r="I422">
        <v>1.2</v>
      </c>
      <c r="J422">
        <v>6.89</v>
      </c>
      <c r="K422">
        <v>1</v>
      </c>
      <c r="L422">
        <v>0</v>
      </c>
      <c r="M422" t="str" cm="1">
        <f t="array" ref="M422">_xlfn.IFS(
   OR($F422="Pagar", $F422="Pintu Gerbang", $F422="Pintu Handerson", $F422="Kanopi"), "PER-M2",
   $F422="Teralis", "PER-LUBANG",
   OR($F422="Railing", $F422="Railing/Balkon"), "PER-M",
   TRUE, ""
)</f>
        <v>PER-M2</v>
      </c>
      <c r="N422" cm="1">
        <f t="array" ref="N422">IF($M422="PER-M2",
  IFERROR(
     _xlfn.IFS(
        $G422="Hollow",
            INDEX('Referensi Harga'!$C:$C,
                  MATCH($F422&amp;$C422,'Referensi Harga'!$A:$A&amp;'Referensi Harga'!$B:$B,0)),
        $G422="Hollow Stainless",
            INDEX('Referensi Harga'!$D:$D,
                  MATCH($F422&amp;$C422,'Referensi Harga'!$A:$A&amp;'Referensi Harga'!$B:$B,0)),
        $G422="Pipa Stainless",
            INDEX('Referensi Harga'!$E:$E,
                  MATCH($F422&amp;$C422,'Referensi Harga'!$A:$A&amp;'Referensi Harga'!$B:$B,0))
     ),0)
  + IFERROR(VLOOKUP($H422,'Profile Size'!$A:$B,2,FALSE),0)
  + IFERROR(VLOOKUP($I422,'Ketebalan Material'!$A:$B,2,FALSE),0),
0)</f>
        <v>750000</v>
      </c>
      <c r="O422">
        <f>IF($M422="PER-M",
  IFERROR(
    IF($G422="Hollow",
       INDEX('Referensi Harga'!$C:$C, MATCH($F422 &amp; "|" &amp; $C422, 'Referensi Harga'!$F:$F, 0)),
    IF($G422="Hollow Stainless",
       INDEX('Referensi Harga'!$D:$D, MATCH($F422 &amp; "|" &amp; $C422, 'Referensi Harga'!$F:$F, 0)),
       INDEX('Referensi Harga'!$E:$E, MATCH($F422 &amp; "|" &amp; $C422, 'Referensi Harga'!$F:$F, 0))
    ))
    + IFERROR(VLOOKUP($H422, 'Profile Size'!$A:$B, 2, FALSE), 0)
    + IFERROR(VLOOKUP($I422, 'Ketebalan Material'!$A:$B, 2, FALSE), 0), 0),
0)</f>
        <v>0</v>
      </c>
      <c r="P422" cm="1">
        <f t="array" ref="P422">IF($M422="PER-LUBANG",
  IFERROR(
     _xlfn.IFS(
        $G422="Hollow",
            INDEX('Referensi Harga'!$C:$C,
                  MATCH($F422&amp;$C422,'Referensi Harga'!$A:$A&amp;'Referensi Harga'!$B:$B,0)),
        $G422="Hollow Stainless",
            INDEX('Referensi Harga'!$D:$D,
                  MATCH($F422&amp;$C422,'Referensi Harga'!$A:$A&amp;'Referensi Harga'!$B:$B,0)),
        $G422="Pipa Stainless",
            INDEX('Referensi Harga'!$E:$E,
                  MATCH($F422&amp;$C422,'Referensi Harga'!$A:$A&amp;'Referensi Harga'!$B:$B,0))
     ),0)
  + IFERROR(VLOOKUP($H422,'Profile Size'!$A:$B,2,FALSE),0)
  + IFERROR(VLOOKUP($I422,'Ketebalan Material'!$A:$B,2,FALSE),0),
0)</f>
        <v>0</v>
      </c>
      <c r="Q422">
        <f>IF($M422="PER-M2",
    IFERROR(
        SUMIFS('Upah Tenaga Ahli'!$C:$C,
               'Upah Tenaga Ahli'!$A:$A,"PER-M2",
               'Upah Tenaga Ahli'!$B:$B,$G422
        ) * $J422 * $K422,
    0),
IF($M422="PER-LUBANG",
    IFERROR(
        SUMIFS('Upah Tenaga Ahli'!$D:$D,
               'Upah Tenaga Ahli'!$A:$A,"PER-LUBANG",
               'Upah Tenaga Ahli'!$B:$B,$G422
        ) * $L422 * $K422,
    0),
IF($M422="PER-M",
    IFERROR(
        SUMIFS('Upah Tenaga Ahli'!$E:$E,
               'Upah Tenaga Ahli'!$A:$A,"PER-M",
               'Upah Tenaga Ahli'!$B:$B,$G422
        ) * $J422 * $K422,
    0),
0)))</f>
        <v>689000</v>
      </c>
      <c r="R422" t="s">
        <v>19</v>
      </c>
      <c r="S422" t="s">
        <v>24</v>
      </c>
      <c r="T422">
        <f>IF($M422="PER-M2",
   ($N422 * $J422 * $K422)
   + IFERROR(VLOOKUP($R422,Finishing!A:B,2,FALSE),0)
   + IFERROR(VLOOKUP($S422,Kerumitan!A:B,2,FALSE),0),
IF($M422="PER-LUBANG",
   ($P422 * $L422 * $K422)
   + IFERROR(VLOOKUP($R422,Finishing!A:B,2,FALSE),0)
   + IFERROR(VLOOKUP($S422,Kerumitan!A:B,2,FALSE),0),
IF($M422="PER-M",
   ($O422 * $J422 * $K422)
   + IFERROR(VLOOKUP($R422,Finishing!A:B,2,FALSE),0)
   + IFERROR(VLOOKUP($S422,Kerumitan!A:B,2,FALSE),0),
0)))</f>
        <v>5317500</v>
      </c>
    </row>
    <row r="423" spans="1:20" x14ac:dyDescent="0.45">
      <c r="A423" t="s">
        <v>520</v>
      </c>
      <c r="B423" s="5">
        <v>43695</v>
      </c>
      <c r="C423">
        <f t="shared" si="6"/>
        <v>2019</v>
      </c>
      <c r="D423" t="s">
        <v>59</v>
      </c>
      <c r="E423" t="s">
        <v>108</v>
      </c>
      <c r="F423" t="s">
        <v>8</v>
      </c>
      <c r="G423" t="s">
        <v>14</v>
      </c>
      <c r="H423" t="s">
        <v>612</v>
      </c>
      <c r="I423">
        <v>1</v>
      </c>
      <c r="J423">
        <v>0</v>
      </c>
      <c r="K423">
        <v>1</v>
      </c>
      <c r="L423">
        <v>27</v>
      </c>
      <c r="M423" t="str" cm="1">
        <f t="array" ref="M423">_xlfn.IFS(
   OR($F423="Pagar", $F423="Pintu Gerbang", $F423="Pintu Handerson", $F423="Kanopi"), "PER-M2",
   $F423="Teralis", "PER-LUBANG",
   OR($F423="Railing", $F423="Railing/Balkon"), "PER-M",
   TRUE, ""
)</f>
        <v>PER-LUBANG</v>
      </c>
      <c r="N423" cm="1">
        <f t="array" ref="N423">IF($M423="PER-M2",
  IFERROR(
     _xlfn.IFS(
        $G423="Hollow",
            INDEX('Referensi Harga'!$C:$C,
                  MATCH($F423&amp;$C423,'Referensi Harga'!$A:$A&amp;'Referensi Harga'!$B:$B,0)),
        $G423="Hollow Stainless",
            INDEX('Referensi Harga'!$D:$D,
                  MATCH($F423&amp;$C423,'Referensi Harga'!$A:$A&amp;'Referensi Harga'!$B:$B,0)),
        $G423="Pipa Stainless",
            INDEX('Referensi Harga'!$E:$E,
                  MATCH($F423&amp;$C423,'Referensi Harga'!$A:$A&amp;'Referensi Harga'!$B:$B,0))
     ),0)
  + IFERROR(VLOOKUP($H423,'Profile Size'!$A:$B,2,FALSE),0)
  + IFERROR(VLOOKUP($I423,'Ketebalan Material'!$A:$B,2,FALSE),0),
0)</f>
        <v>0</v>
      </c>
      <c r="O423">
        <f>IF($M423="PER-M",
  IFERROR(
    IF($G423="Hollow",
       INDEX('Referensi Harga'!$C:$C, MATCH($F423 &amp; "|" &amp; $C423, 'Referensi Harga'!$F:$F, 0)),
    IF($G423="Hollow Stainless",
       INDEX('Referensi Harga'!$D:$D, MATCH($F423 &amp; "|" &amp; $C423, 'Referensi Harga'!$F:$F, 0)),
       INDEX('Referensi Harga'!$E:$E, MATCH($F423 &amp; "|" &amp; $C423, 'Referensi Harga'!$F:$F, 0))
    ))
    + IFERROR(VLOOKUP($H423, 'Profile Size'!$A:$B, 2, FALSE), 0)
    + IFERROR(VLOOKUP($I423, 'Ketebalan Material'!$A:$B, 2, FALSE), 0), 0),
0)</f>
        <v>0</v>
      </c>
      <c r="P423" cm="1">
        <f t="array" ref="P423">IF($M423="PER-LUBANG",
  IFERROR(
     _xlfn.IFS(
        $G423="Hollow",
            INDEX('Referensi Harga'!$C:$C,
                  MATCH($F423&amp;$C423,'Referensi Harga'!$A:$A&amp;'Referensi Harga'!$B:$B,0)),
        $G423="Hollow Stainless",
            INDEX('Referensi Harga'!$D:$D,
                  MATCH($F423&amp;$C423,'Referensi Harga'!$A:$A&amp;'Referensi Harga'!$B:$B,0)),
        $G423="Pipa Stainless",
            INDEX('Referensi Harga'!$E:$E,
                  MATCH($F423&amp;$C423,'Referensi Harga'!$A:$A&amp;'Referensi Harga'!$B:$B,0))
     ),0)
  + IFERROR(VLOOKUP($H423,'Profile Size'!$A:$B,2,FALSE),0)
  + IFERROR(VLOOKUP($I423,'Ketebalan Material'!$A:$B,2,FALSE),0),
0)</f>
        <v>650000</v>
      </c>
      <c r="Q423">
        <f>IF($M423="PER-M2",
    IFERROR(
        SUMIFS('Upah Tenaga Ahli'!$C:$C,
               'Upah Tenaga Ahli'!$A:$A,"PER-M2",
               'Upah Tenaga Ahli'!$B:$B,$G423
        ) * $J423 * $K423,
    0),
IF($M423="PER-LUBANG",
    IFERROR(
        SUMIFS('Upah Tenaga Ahli'!$D:$D,
               'Upah Tenaga Ahli'!$A:$A,"PER-LUBANG",
               'Upah Tenaga Ahli'!$B:$B,$G423
        ) * $L423 * $K423,
    0),
IF($M423="PER-M",
    IFERROR(
        SUMIFS('Upah Tenaga Ahli'!$E:$E,
               'Upah Tenaga Ahli'!$A:$A,"PER-M",
               'Upah Tenaga Ahli'!$B:$B,$G423
        ) * $J423 * $K423,
    0),
0)))</f>
        <v>4050000</v>
      </c>
      <c r="R423" t="s">
        <v>617</v>
      </c>
      <c r="S423" t="s">
        <v>25</v>
      </c>
      <c r="T423">
        <f>IF($M423="PER-M2",
   ($N423 * $J423 * $K423)
   + IFERROR(VLOOKUP($R423,Finishing!A:B,2,FALSE),0)
   + IFERROR(VLOOKUP($S423,Kerumitan!A:B,2,FALSE),0),
IF($M423="PER-LUBANG",
   ($P423 * $L423 * $K423)
   + IFERROR(VLOOKUP($R423,Finishing!A:B,2,FALSE),0)
   + IFERROR(VLOOKUP($S423,Kerumitan!A:B,2,FALSE),0),
IF($M423="PER-M",
   ($O423 * $J423 * $K423)
   + IFERROR(VLOOKUP($R423,Finishing!A:B,2,FALSE),0)
   + IFERROR(VLOOKUP($S423,Kerumitan!A:B,2,FALSE),0),
0)))</f>
        <v>17700000</v>
      </c>
    </row>
    <row r="424" spans="1:20" x14ac:dyDescent="0.45">
      <c r="A424" t="s">
        <v>521</v>
      </c>
      <c r="B424" s="5">
        <v>44958</v>
      </c>
      <c r="C424">
        <f t="shared" si="6"/>
        <v>2023</v>
      </c>
      <c r="D424" t="s">
        <v>133</v>
      </c>
      <c r="E424" t="s">
        <v>57</v>
      </c>
      <c r="F424" t="s">
        <v>10</v>
      </c>
      <c r="G424" t="s">
        <v>13</v>
      </c>
      <c r="H424" t="s">
        <v>33</v>
      </c>
      <c r="I424">
        <v>1.2</v>
      </c>
      <c r="J424">
        <v>3.85</v>
      </c>
      <c r="K424">
        <v>1</v>
      </c>
      <c r="L424">
        <v>0</v>
      </c>
      <c r="M424" t="str" cm="1">
        <f t="array" ref="M424">_xlfn.IFS(
   OR($F424="Pagar", $F424="Pintu Gerbang", $F424="Pintu Handerson", $F424="Kanopi"), "PER-M2",
   $F424="Teralis", "PER-LUBANG",
   OR($F424="Railing", $F424="Railing/Balkon"), "PER-M",
   TRUE, ""
)</f>
        <v>PER-M2</v>
      </c>
      <c r="N424" cm="1">
        <f t="array" ref="N424">IF($M424="PER-M2",
  IFERROR(
     _xlfn.IFS(
        $G424="Hollow",
            INDEX('Referensi Harga'!$C:$C,
                  MATCH($F424&amp;$C424,'Referensi Harga'!$A:$A&amp;'Referensi Harga'!$B:$B,0)),
        $G424="Hollow Stainless",
            INDEX('Referensi Harga'!$D:$D,
                  MATCH($F424&amp;$C424,'Referensi Harga'!$A:$A&amp;'Referensi Harga'!$B:$B,0)),
        $G424="Pipa Stainless",
            INDEX('Referensi Harga'!$E:$E,
                  MATCH($F424&amp;$C424,'Referensi Harga'!$A:$A&amp;'Referensi Harga'!$B:$B,0))
     ),0)
  + IFERROR(VLOOKUP($H424,'Profile Size'!$A:$B,2,FALSE),0)
  + IFERROR(VLOOKUP($I424,'Ketebalan Material'!$A:$B,2,FALSE),0),
0)</f>
        <v>950000</v>
      </c>
      <c r="O424">
        <f>IF($M424="PER-M",
  IFERROR(
    IF($G424="Hollow",
       INDEX('Referensi Harga'!$C:$C, MATCH($F424 &amp; "|" &amp; $C424, 'Referensi Harga'!$F:$F, 0)),
    IF($G424="Hollow Stainless",
       INDEX('Referensi Harga'!$D:$D, MATCH($F424 &amp; "|" &amp; $C424, 'Referensi Harga'!$F:$F, 0)),
       INDEX('Referensi Harga'!$E:$E, MATCH($F424 &amp; "|" &amp; $C424, 'Referensi Harga'!$F:$F, 0))
    ))
    + IFERROR(VLOOKUP($H424, 'Profile Size'!$A:$B, 2, FALSE), 0)
    + IFERROR(VLOOKUP($I424, 'Ketebalan Material'!$A:$B, 2, FALSE), 0), 0),
0)</f>
        <v>0</v>
      </c>
      <c r="P424" cm="1">
        <f t="array" ref="P424">IF($M424="PER-LUBANG",
  IFERROR(
     _xlfn.IFS(
        $G424="Hollow",
            INDEX('Referensi Harga'!$C:$C,
                  MATCH($F424&amp;$C424,'Referensi Harga'!$A:$A&amp;'Referensi Harga'!$B:$B,0)),
        $G424="Hollow Stainless",
            INDEX('Referensi Harga'!$D:$D,
                  MATCH($F424&amp;$C424,'Referensi Harga'!$A:$A&amp;'Referensi Harga'!$B:$B,0)),
        $G424="Pipa Stainless",
            INDEX('Referensi Harga'!$E:$E,
                  MATCH($F424&amp;$C424,'Referensi Harga'!$A:$A&amp;'Referensi Harga'!$B:$B,0))
     ),0)
  + IFERROR(VLOOKUP($H424,'Profile Size'!$A:$B,2,FALSE),0)
  + IFERROR(VLOOKUP($I424,'Ketebalan Material'!$A:$B,2,FALSE),0),
0)</f>
        <v>0</v>
      </c>
      <c r="Q424">
        <f>IF($M424="PER-M2",
    IFERROR(
        SUMIFS('Upah Tenaga Ahli'!$C:$C,
               'Upah Tenaga Ahli'!$A:$A,"PER-M2",
               'Upah Tenaga Ahli'!$B:$B,$G424
        ) * $J424 * $K424,
    0),
IF($M424="PER-LUBANG",
    IFERROR(
        SUMIFS('Upah Tenaga Ahli'!$D:$D,
               'Upah Tenaga Ahli'!$A:$A,"PER-LUBANG",
               'Upah Tenaga Ahli'!$B:$B,$G424
        ) * $L424 * $K424,
    0),
IF($M424="PER-M",
    IFERROR(
        SUMIFS('Upah Tenaga Ahli'!$E:$E,
               'Upah Tenaga Ahli'!$A:$A,"PER-M",
               'Upah Tenaga Ahli'!$B:$B,$G424
        ) * $J424 * $K424,
    0),
0)))</f>
        <v>385000</v>
      </c>
      <c r="R424" t="s">
        <v>19</v>
      </c>
      <c r="S424" t="s">
        <v>24</v>
      </c>
      <c r="T424">
        <f>IF($M424="PER-M2",
   ($N424 * $J424 * $K424)
   + IFERROR(VLOOKUP($R424,Finishing!A:B,2,FALSE),0)
   + IFERROR(VLOOKUP($S424,Kerumitan!A:B,2,FALSE),0),
IF($M424="PER-LUBANG",
   ($P424 * $L424 * $K424)
   + IFERROR(VLOOKUP($R424,Finishing!A:B,2,FALSE),0)
   + IFERROR(VLOOKUP($S424,Kerumitan!A:B,2,FALSE),0),
IF($M424="PER-M",
   ($O424 * $J424 * $K424)
   + IFERROR(VLOOKUP($R424,Finishing!A:B,2,FALSE),0)
   + IFERROR(VLOOKUP($S424,Kerumitan!A:B,2,FALSE),0),
0)))</f>
        <v>3807500</v>
      </c>
    </row>
    <row r="425" spans="1:20" x14ac:dyDescent="0.45">
      <c r="A425" t="s">
        <v>522</v>
      </c>
      <c r="B425" s="5">
        <v>43505</v>
      </c>
      <c r="C425">
        <f t="shared" si="6"/>
        <v>2019</v>
      </c>
      <c r="D425" t="s">
        <v>199</v>
      </c>
      <c r="E425" t="s">
        <v>38</v>
      </c>
      <c r="F425" t="s">
        <v>10</v>
      </c>
      <c r="G425" t="s">
        <v>13</v>
      </c>
      <c r="H425" t="s">
        <v>46</v>
      </c>
      <c r="I425">
        <v>1.2</v>
      </c>
      <c r="J425">
        <v>5.13</v>
      </c>
      <c r="K425">
        <v>1</v>
      </c>
      <c r="L425">
        <v>0</v>
      </c>
      <c r="M425" t="str" cm="1">
        <f t="array" ref="M425">_xlfn.IFS(
   OR($F425="Pagar", $F425="Pintu Gerbang", $F425="Pintu Handerson", $F425="Kanopi"), "PER-M2",
   $F425="Teralis", "PER-LUBANG",
   OR($F425="Railing", $F425="Railing/Balkon"), "PER-M",
   TRUE, ""
)</f>
        <v>PER-M2</v>
      </c>
      <c r="N425" cm="1">
        <f t="array" ref="N425">IF($M425="PER-M2",
  IFERROR(
     _xlfn.IFS(
        $G425="Hollow",
            INDEX('Referensi Harga'!$C:$C,
                  MATCH($F425&amp;$C425,'Referensi Harga'!$A:$A&amp;'Referensi Harga'!$B:$B,0)),
        $G425="Hollow Stainless",
            INDEX('Referensi Harga'!$D:$D,
                  MATCH($F425&amp;$C425,'Referensi Harga'!$A:$A&amp;'Referensi Harga'!$B:$B,0)),
        $G425="Pipa Stainless",
            INDEX('Referensi Harga'!$E:$E,
                  MATCH($F425&amp;$C425,'Referensi Harga'!$A:$A&amp;'Referensi Harga'!$B:$B,0))
     ),0)
  + IFERROR(VLOOKUP($H425,'Profile Size'!$A:$B,2,FALSE),0)
  + IFERROR(VLOOKUP($I425,'Ketebalan Material'!$A:$B,2,FALSE),0),
0)</f>
        <v>900000</v>
      </c>
      <c r="O425">
        <f>IF($M425="PER-M",
  IFERROR(
    IF($G425="Hollow",
       INDEX('Referensi Harga'!$C:$C, MATCH($F425 &amp; "|" &amp; $C425, 'Referensi Harga'!$F:$F, 0)),
    IF($G425="Hollow Stainless",
       INDEX('Referensi Harga'!$D:$D, MATCH($F425 &amp; "|" &amp; $C425, 'Referensi Harga'!$F:$F, 0)),
       INDEX('Referensi Harga'!$E:$E, MATCH($F425 &amp; "|" &amp; $C425, 'Referensi Harga'!$F:$F, 0))
    ))
    + IFERROR(VLOOKUP($H425, 'Profile Size'!$A:$B, 2, FALSE), 0)
    + IFERROR(VLOOKUP($I425, 'Ketebalan Material'!$A:$B, 2, FALSE), 0), 0),
0)</f>
        <v>0</v>
      </c>
      <c r="P425" cm="1">
        <f t="array" ref="P425">IF($M425="PER-LUBANG",
  IFERROR(
     _xlfn.IFS(
        $G425="Hollow",
            INDEX('Referensi Harga'!$C:$C,
                  MATCH($F425&amp;$C425,'Referensi Harga'!$A:$A&amp;'Referensi Harga'!$B:$B,0)),
        $G425="Hollow Stainless",
            INDEX('Referensi Harga'!$D:$D,
                  MATCH($F425&amp;$C425,'Referensi Harga'!$A:$A&amp;'Referensi Harga'!$B:$B,0)),
        $G425="Pipa Stainless",
            INDEX('Referensi Harga'!$E:$E,
                  MATCH($F425&amp;$C425,'Referensi Harga'!$A:$A&amp;'Referensi Harga'!$B:$B,0))
     ),0)
  + IFERROR(VLOOKUP($H425,'Profile Size'!$A:$B,2,FALSE),0)
  + IFERROR(VLOOKUP($I425,'Ketebalan Material'!$A:$B,2,FALSE),0),
0)</f>
        <v>0</v>
      </c>
      <c r="Q425">
        <f>IF($M425="PER-M2",
    IFERROR(
        SUMIFS('Upah Tenaga Ahli'!$C:$C,
               'Upah Tenaga Ahli'!$A:$A,"PER-M2",
               'Upah Tenaga Ahli'!$B:$B,$G425
        ) * $J425 * $K425,
    0),
IF($M425="PER-LUBANG",
    IFERROR(
        SUMIFS('Upah Tenaga Ahli'!$D:$D,
               'Upah Tenaga Ahli'!$A:$A,"PER-LUBANG",
               'Upah Tenaga Ahli'!$B:$B,$G425
        ) * $L425 * $K425,
    0),
IF($M425="PER-M",
    IFERROR(
        SUMIFS('Upah Tenaga Ahli'!$E:$E,
               'Upah Tenaga Ahli'!$A:$A,"PER-M",
               'Upah Tenaga Ahli'!$B:$B,$G425
        ) * $J425 * $K425,
    0),
0)))</f>
        <v>513000</v>
      </c>
      <c r="R425" t="s">
        <v>18</v>
      </c>
      <c r="S425" t="s">
        <v>24</v>
      </c>
      <c r="T425">
        <f>IF($M425="PER-M2",
   ($N425 * $J425 * $K425)
   + IFERROR(VLOOKUP($R425,Finishing!A:B,2,FALSE),0)
   + IFERROR(VLOOKUP($S425,Kerumitan!A:B,2,FALSE),0),
IF($M425="PER-LUBANG",
   ($P425 * $L425 * $K425)
   + IFERROR(VLOOKUP($R425,Finishing!A:B,2,FALSE),0)
   + IFERROR(VLOOKUP($S425,Kerumitan!A:B,2,FALSE),0),
IF($M425="PER-M",
   ($O425 * $J425 * $K425)
   + IFERROR(VLOOKUP($R425,Finishing!A:B,2,FALSE),0)
   + IFERROR(VLOOKUP($S425,Kerumitan!A:B,2,FALSE),0),
0)))</f>
        <v>4717000</v>
      </c>
    </row>
    <row r="426" spans="1:20" x14ac:dyDescent="0.45">
      <c r="A426" t="s">
        <v>523</v>
      </c>
      <c r="B426" s="5">
        <v>44478</v>
      </c>
      <c r="C426">
        <f t="shared" si="6"/>
        <v>2021</v>
      </c>
      <c r="D426" t="s">
        <v>49</v>
      </c>
      <c r="E426" t="s">
        <v>69</v>
      </c>
      <c r="F426" t="s">
        <v>7</v>
      </c>
      <c r="G426" t="s">
        <v>13</v>
      </c>
      <c r="H426" t="s">
        <v>35</v>
      </c>
      <c r="I426">
        <v>1</v>
      </c>
      <c r="J426">
        <v>7.54</v>
      </c>
      <c r="K426">
        <v>1</v>
      </c>
      <c r="L426">
        <v>0</v>
      </c>
      <c r="M426" t="str" cm="1">
        <f t="array" ref="M426">_xlfn.IFS(
   OR($F426="Pagar", $F426="Pintu Gerbang", $F426="Pintu Handerson", $F426="Kanopi"), "PER-M2",
   $F426="Teralis", "PER-LUBANG",
   OR($F426="Railing", $F426="Railing/Balkon"), "PER-M",
   TRUE, ""
)</f>
        <v>PER-M2</v>
      </c>
      <c r="N426" cm="1">
        <f t="array" ref="N426">IF($M426="PER-M2",
  IFERROR(
     _xlfn.IFS(
        $G426="Hollow",
            INDEX('Referensi Harga'!$C:$C,
                  MATCH($F426&amp;$C426,'Referensi Harga'!$A:$A&amp;'Referensi Harga'!$B:$B,0)),
        $G426="Hollow Stainless",
            INDEX('Referensi Harga'!$D:$D,
                  MATCH($F426&amp;$C426,'Referensi Harga'!$A:$A&amp;'Referensi Harga'!$B:$B,0)),
        $G426="Pipa Stainless",
            INDEX('Referensi Harga'!$E:$E,
                  MATCH($F426&amp;$C426,'Referensi Harga'!$A:$A&amp;'Referensi Harga'!$B:$B,0))
     ),0)
  + IFERROR(VLOOKUP($H426,'Profile Size'!$A:$B,2,FALSE),0)
  + IFERROR(VLOOKUP($I426,'Ketebalan Material'!$A:$B,2,FALSE),0),
0)</f>
        <v>750000</v>
      </c>
      <c r="O426">
        <f>IF($M426="PER-M",
  IFERROR(
    IF($G426="Hollow",
       INDEX('Referensi Harga'!$C:$C, MATCH($F426 &amp; "|" &amp; $C426, 'Referensi Harga'!$F:$F, 0)),
    IF($G426="Hollow Stainless",
       INDEX('Referensi Harga'!$D:$D, MATCH($F426 &amp; "|" &amp; $C426, 'Referensi Harga'!$F:$F, 0)),
       INDEX('Referensi Harga'!$E:$E, MATCH($F426 &amp; "|" &amp; $C426, 'Referensi Harga'!$F:$F, 0))
    ))
    + IFERROR(VLOOKUP($H426, 'Profile Size'!$A:$B, 2, FALSE), 0)
    + IFERROR(VLOOKUP($I426, 'Ketebalan Material'!$A:$B, 2, FALSE), 0), 0),
0)</f>
        <v>0</v>
      </c>
      <c r="P426" cm="1">
        <f t="array" ref="P426">IF($M426="PER-LUBANG",
  IFERROR(
     _xlfn.IFS(
        $G426="Hollow",
            INDEX('Referensi Harga'!$C:$C,
                  MATCH($F426&amp;$C426,'Referensi Harga'!$A:$A&amp;'Referensi Harga'!$B:$B,0)),
        $G426="Hollow Stainless",
            INDEX('Referensi Harga'!$D:$D,
                  MATCH($F426&amp;$C426,'Referensi Harga'!$A:$A&amp;'Referensi Harga'!$B:$B,0)),
        $G426="Pipa Stainless",
            INDEX('Referensi Harga'!$E:$E,
                  MATCH($F426&amp;$C426,'Referensi Harga'!$A:$A&amp;'Referensi Harga'!$B:$B,0))
     ),0)
  + IFERROR(VLOOKUP($H426,'Profile Size'!$A:$B,2,FALSE),0)
  + IFERROR(VLOOKUP($I426,'Ketebalan Material'!$A:$B,2,FALSE),0),
0)</f>
        <v>0</v>
      </c>
      <c r="Q426">
        <f>IF($M426="PER-M2",
    IFERROR(
        SUMIFS('Upah Tenaga Ahli'!$C:$C,
               'Upah Tenaga Ahli'!$A:$A,"PER-M2",
               'Upah Tenaga Ahli'!$B:$B,$G426
        ) * $J426 * $K426,
    0),
IF($M426="PER-LUBANG",
    IFERROR(
        SUMIFS('Upah Tenaga Ahli'!$D:$D,
               'Upah Tenaga Ahli'!$A:$A,"PER-LUBANG",
               'Upah Tenaga Ahli'!$B:$B,$G426
        ) * $L426 * $K426,
    0),
IF($M426="PER-M",
    IFERROR(
        SUMIFS('Upah Tenaga Ahli'!$E:$E,
               'Upah Tenaga Ahli'!$A:$A,"PER-M",
               'Upah Tenaga Ahli'!$B:$B,$G426
        ) * $J426 * $K426,
    0),
0)))</f>
        <v>754000</v>
      </c>
      <c r="R426" t="s">
        <v>19</v>
      </c>
      <c r="S426" t="s">
        <v>23</v>
      </c>
      <c r="T426">
        <f>IF($M426="PER-M2",
   ($N426 * $J426 * $K426)
   + IFERROR(VLOOKUP($R426,Finishing!A:B,2,FALSE),0)
   + IFERROR(VLOOKUP($S426,Kerumitan!A:B,2,FALSE),0),
IF($M426="PER-LUBANG",
   ($P426 * $L426 * $K426)
   + IFERROR(VLOOKUP($R426,Finishing!A:B,2,FALSE),0)
   + IFERROR(VLOOKUP($S426,Kerumitan!A:B,2,FALSE),0),
IF($M426="PER-M",
   ($O426 * $J426 * $K426)
   + IFERROR(VLOOKUP($R426,Finishing!A:B,2,FALSE),0)
   + IFERROR(VLOOKUP($S426,Kerumitan!A:B,2,FALSE),0),
0)))</f>
        <v>5705000</v>
      </c>
    </row>
    <row r="427" spans="1:20" x14ac:dyDescent="0.45">
      <c r="A427" t="s">
        <v>524</v>
      </c>
      <c r="B427" s="5">
        <v>44050</v>
      </c>
      <c r="C427">
        <f t="shared" si="6"/>
        <v>2020</v>
      </c>
      <c r="D427" t="s">
        <v>81</v>
      </c>
      <c r="E427" t="s">
        <v>69</v>
      </c>
      <c r="F427" t="s">
        <v>8</v>
      </c>
      <c r="G427" t="s">
        <v>14</v>
      </c>
      <c r="H427" t="s">
        <v>612</v>
      </c>
      <c r="I427">
        <v>0.8</v>
      </c>
      <c r="J427">
        <v>0</v>
      </c>
      <c r="K427">
        <v>1</v>
      </c>
      <c r="L427">
        <v>6</v>
      </c>
      <c r="M427" t="str" cm="1">
        <f t="array" ref="M427">_xlfn.IFS(
   OR($F427="Pagar", $F427="Pintu Gerbang", $F427="Pintu Handerson", $F427="Kanopi"), "PER-M2",
   $F427="Teralis", "PER-LUBANG",
   OR($F427="Railing", $F427="Railing/Balkon"), "PER-M",
   TRUE, ""
)</f>
        <v>PER-LUBANG</v>
      </c>
      <c r="N427" cm="1">
        <f t="array" ref="N427">IF($M427="PER-M2",
  IFERROR(
     _xlfn.IFS(
        $G427="Hollow",
            INDEX('Referensi Harga'!$C:$C,
                  MATCH($F427&amp;$C427,'Referensi Harga'!$A:$A&amp;'Referensi Harga'!$B:$B,0)),
        $G427="Hollow Stainless",
            INDEX('Referensi Harga'!$D:$D,
                  MATCH($F427&amp;$C427,'Referensi Harga'!$A:$A&amp;'Referensi Harga'!$B:$B,0)),
        $G427="Pipa Stainless",
            INDEX('Referensi Harga'!$E:$E,
                  MATCH($F427&amp;$C427,'Referensi Harga'!$A:$A&amp;'Referensi Harga'!$B:$B,0))
     ),0)
  + IFERROR(VLOOKUP($H427,'Profile Size'!$A:$B,2,FALSE),0)
  + IFERROR(VLOOKUP($I427,'Ketebalan Material'!$A:$B,2,FALSE),0),
0)</f>
        <v>0</v>
      </c>
      <c r="O427">
        <f>IF($M427="PER-M",
  IFERROR(
    IF($G427="Hollow",
       INDEX('Referensi Harga'!$C:$C, MATCH($F427 &amp; "|" &amp; $C427, 'Referensi Harga'!$F:$F, 0)),
    IF($G427="Hollow Stainless",
       INDEX('Referensi Harga'!$D:$D, MATCH($F427 &amp; "|" &amp; $C427, 'Referensi Harga'!$F:$F, 0)),
       INDEX('Referensi Harga'!$E:$E, MATCH($F427 &amp; "|" &amp; $C427, 'Referensi Harga'!$F:$F, 0))
    ))
    + IFERROR(VLOOKUP($H427, 'Profile Size'!$A:$B, 2, FALSE), 0)
    + IFERROR(VLOOKUP($I427, 'Ketebalan Material'!$A:$B, 2, FALSE), 0), 0),
0)</f>
        <v>0</v>
      </c>
      <c r="P427" cm="1">
        <f t="array" ref="P427">IF($M427="PER-LUBANG",
  IFERROR(
     _xlfn.IFS(
        $G427="Hollow",
            INDEX('Referensi Harga'!$C:$C,
                  MATCH($F427&amp;$C427,'Referensi Harga'!$A:$A&amp;'Referensi Harga'!$B:$B,0)),
        $G427="Hollow Stainless",
            INDEX('Referensi Harga'!$D:$D,
                  MATCH($F427&amp;$C427,'Referensi Harga'!$A:$A&amp;'Referensi Harga'!$B:$B,0)),
        $G427="Pipa Stainless",
            INDEX('Referensi Harga'!$E:$E,
                  MATCH($F427&amp;$C427,'Referensi Harga'!$A:$A&amp;'Referensi Harga'!$B:$B,0))
     ),0)
  + IFERROR(VLOOKUP($H427,'Profile Size'!$A:$B,2,FALSE),0)
  + IFERROR(VLOOKUP($I427,'Ketebalan Material'!$A:$B,2,FALSE),0),
0)</f>
        <v>620000</v>
      </c>
      <c r="Q427">
        <f>IF($M427="PER-M2",
    IFERROR(
        SUMIFS('Upah Tenaga Ahli'!$C:$C,
               'Upah Tenaga Ahli'!$A:$A,"PER-M2",
               'Upah Tenaga Ahli'!$B:$B,$G427
        ) * $J427 * $K427,
    0),
IF($M427="PER-LUBANG",
    IFERROR(
        SUMIFS('Upah Tenaga Ahli'!$D:$D,
               'Upah Tenaga Ahli'!$A:$A,"PER-LUBANG",
               'Upah Tenaga Ahli'!$B:$B,$G427
        ) * $L427 * $K427,
    0),
IF($M427="PER-M",
    IFERROR(
        SUMIFS('Upah Tenaga Ahli'!$E:$E,
               'Upah Tenaga Ahli'!$A:$A,"PER-M",
               'Upah Tenaga Ahli'!$B:$B,$G427
        ) * $J427 * $K427,
    0),
0)))</f>
        <v>900000</v>
      </c>
      <c r="R427" t="s">
        <v>617</v>
      </c>
      <c r="S427" t="s">
        <v>23</v>
      </c>
      <c r="T427">
        <f>IF($M427="PER-M2",
   ($N427 * $J427 * $K427)
   + IFERROR(VLOOKUP($R427,Finishing!A:B,2,FALSE),0)
   + IFERROR(VLOOKUP($S427,Kerumitan!A:B,2,FALSE),0),
IF($M427="PER-LUBANG",
   ($P427 * $L427 * $K427)
   + IFERROR(VLOOKUP($R427,Finishing!A:B,2,FALSE),0)
   + IFERROR(VLOOKUP($S427,Kerumitan!A:B,2,FALSE),0),
IF($M427="PER-M",
   ($O427 * $J427 * $K427)
   + IFERROR(VLOOKUP($R427,Finishing!A:B,2,FALSE),0)
   + IFERROR(VLOOKUP($S427,Kerumitan!A:B,2,FALSE),0),
0)))</f>
        <v>3720000</v>
      </c>
    </row>
    <row r="428" spans="1:20" x14ac:dyDescent="0.45">
      <c r="A428" t="s">
        <v>525</v>
      </c>
      <c r="B428" s="5">
        <v>44636</v>
      </c>
      <c r="C428">
        <f t="shared" si="6"/>
        <v>2022</v>
      </c>
      <c r="D428" t="s">
        <v>53</v>
      </c>
      <c r="E428" t="s">
        <v>69</v>
      </c>
      <c r="F428" t="s">
        <v>625</v>
      </c>
      <c r="G428" t="s">
        <v>13</v>
      </c>
      <c r="H428" t="s">
        <v>33</v>
      </c>
      <c r="I428">
        <v>0.8</v>
      </c>
      <c r="J428">
        <v>2.52</v>
      </c>
      <c r="K428">
        <v>1</v>
      </c>
      <c r="L428">
        <v>0</v>
      </c>
      <c r="M428" t="str" cm="1">
        <f t="array" ref="M428">_xlfn.IFS(
   OR($F428="Pagar", $F428="Pintu Gerbang", $F428="Pintu Handerson", $F428="Kanopi"), "PER-M2",
   $F428="Teralis", "PER-LUBANG",
   OR($F428="Railing", $F428="Railing/Balkon"), "PER-M",
   TRUE, ""
)</f>
        <v>PER-M</v>
      </c>
      <c r="N428" cm="1">
        <f t="array" ref="N428">IF($M428="PER-M2",
  IFERROR(
     _xlfn.IFS(
        $G428="Hollow",
            INDEX('Referensi Harga'!$C:$C,
                  MATCH($F428&amp;$C428,'Referensi Harga'!$A:$A&amp;'Referensi Harga'!$B:$B,0)),
        $G428="Hollow Stainless",
            INDEX('Referensi Harga'!$D:$D,
                  MATCH($F428&amp;$C428,'Referensi Harga'!$A:$A&amp;'Referensi Harga'!$B:$B,0)),
        $G428="Pipa Stainless",
            INDEX('Referensi Harga'!$E:$E,
                  MATCH($F428&amp;$C428,'Referensi Harga'!$A:$A&amp;'Referensi Harga'!$B:$B,0))
     ),0)
  + IFERROR(VLOOKUP($H428,'Profile Size'!$A:$B,2,FALSE),0)
  + IFERROR(VLOOKUP($I428,'Ketebalan Material'!$A:$B,2,FALSE),0),
0)</f>
        <v>0</v>
      </c>
      <c r="O428">
        <f>IF($M428="PER-M",
  IFERROR(
    IF($G428="Hollow",
       INDEX('Referensi Harga'!$C:$C, MATCH($F428 &amp; "|" &amp; $C428, 'Referensi Harga'!$F:$F, 0)),
    IF($G428="Hollow Stainless",
       INDEX('Referensi Harga'!$D:$D, MATCH($F428 &amp; "|" &amp; $C428, 'Referensi Harga'!$F:$F, 0)),
       INDEX('Referensi Harga'!$E:$E, MATCH($F428 &amp; "|" &amp; $C428, 'Referensi Harga'!$F:$F, 0))
    ))
    + IFERROR(VLOOKUP($H428, 'Profile Size'!$A:$B, 2, FALSE), 0)
    + IFERROR(VLOOKUP($I428, 'Ketebalan Material'!$A:$B, 2, FALSE), 0), 0),
0)</f>
        <v>450000</v>
      </c>
      <c r="P428" cm="1">
        <f t="array" ref="P428">IF($M428="PER-LUBANG",
  IFERROR(
     _xlfn.IFS(
        $G428="Hollow",
            INDEX('Referensi Harga'!$C:$C,
                  MATCH($F428&amp;$C428,'Referensi Harga'!$A:$A&amp;'Referensi Harga'!$B:$B,0)),
        $G428="Hollow Stainless",
            INDEX('Referensi Harga'!$D:$D,
                  MATCH($F428&amp;$C428,'Referensi Harga'!$A:$A&amp;'Referensi Harga'!$B:$B,0)),
        $G428="Pipa Stainless",
            INDEX('Referensi Harga'!$E:$E,
                  MATCH($F428&amp;$C428,'Referensi Harga'!$A:$A&amp;'Referensi Harga'!$B:$B,0))
     ),0)
  + IFERROR(VLOOKUP($H428,'Profile Size'!$A:$B,2,FALSE),0)
  + IFERROR(VLOOKUP($I428,'Ketebalan Material'!$A:$B,2,FALSE),0),
0)</f>
        <v>0</v>
      </c>
      <c r="Q428">
        <f>IF($M428="PER-M2",
    IFERROR(
        SUMIFS('Upah Tenaga Ahli'!$C:$C,
               'Upah Tenaga Ahli'!$A:$A,"PER-M2",
               'Upah Tenaga Ahli'!$B:$B,$G428
        ) * $J428 * $K428,
    0),
IF($M428="PER-LUBANG",
    IFERROR(
        SUMIFS('Upah Tenaga Ahli'!$D:$D,
               'Upah Tenaga Ahli'!$A:$A,"PER-LUBANG",
               'Upah Tenaga Ahli'!$B:$B,$G428
        ) * $L428 * $K428,
    0),
IF($M428="PER-M",
    IFERROR(
        SUMIFS('Upah Tenaga Ahli'!$E:$E,
               'Upah Tenaga Ahli'!$A:$A,"PER-M",
               'Upah Tenaga Ahli'!$B:$B,$G428
        ) * $J428 * $K428,
    0),
0)))</f>
        <v>252000</v>
      </c>
      <c r="R428" t="s">
        <v>19</v>
      </c>
      <c r="S428" t="s">
        <v>23</v>
      </c>
      <c r="T428">
        <f>IF($M428="PER-M2",
   ($N428 * $J428 * $K428)
   + IFERROR(VLOOKUP($R428,Finishing!A:B,2,FALSE),0)
   + IFERROR(VLOOKUP($S428,Kerumitan!A:B,2,FALSE),0),
IF($M428="PER-LUBANG",
   ($P428 * $L428 * $K428)
   + IFERROR(VLOOKUP($R428,Finishing!A:B,2,FALSE),0)
   + IFERROR(VLOOKUP($S428,Kerumitan!A:B,2,FALSE),0),
IF($M428="PER-M",
   ($O428 * $J428 * $K428)
   + IFERROR(VLOOKUP($R428,Finishing!A:B,2,FALSE),0)
   + IFERROR(VLOOKUP($S428,Kerumitan!A:B,2,FALSE),0),
0)))</f>
        <v>1184000</v>
      </c>
    </row>
    <row r="429" spans="1:20" x14ac:dyDescent="0.45">
      <c r="A429" t="s">
        <v>526</v>
      </c>
      <c r="B429" s="5">
        <v>45524</v>
      </c>
      <c r="C429">
        <f t="shared" si="6"/>
        <v>2024</v>
      </c>
      <c r="D429" t="s">
        <v>49</v>
      </c>
      <c r="E429" t="s">
        <v>38</v>
      </c>
      <c r="F429" t="s">
        <v>7</v>
      </c>
      <c r="G429" t="s">
        <v>13</v>
      </c>
      <c r="H429" t="s">
        <v>46</v>
      </c>
      <c r="I429">
        <v>1</v>
      </c>
      <c r="J429">
        <v>13.18</v>
      </c>
      <c r="K429">
        <v>1</v>
      </c>
      <c r="L429">
        <v>0</v>
      </c>
      <c r="M429" t="str" cm="1">
        <f t="array" ref="M429">_xlfn.IFS(
   OR($F429="Pagar", $F429="Pintu Gerbang", $F429="Pintu Handerson", $F429="Kanopi"), "PER-M2",
   $F429="Teralis", "PER-LUBANG",
   OR($F429="Railing", $F429="Railing/Balkon"), "PER-M",
   TRUE, ""
)</f>
        <v>PER-M2</v>
      </c>
      <c r="N429" cm="1">
        <f t="array" ref="N429">IF($M429="PER-M2",
  IFERROR(
     _xlfn.IFS(
        $G429="Hollow",
            INDEX('Referensi Harga'!$C:$C,
                  MATCH($F429&amp;$C429,'Referensi Harga'!$A:$A&amp;'Referensi Harga'!$B:$B,0)),
        $G429="Hollow Stainless",
            INDEX('Referensi Harga'!$D:$D,
                  MATCH($F429&amp;$C429,'Referensi Harga'!$A:$A&amp;'Referensi Harga'!$B:$B,0)),
        $G429="Pipa Stainless",
            INDEX('Referensi Harga'!$E:$E,
                  MATCH($F429&amp;$C429,'Referensi Harga'!$A:$A&amp;'Referensi Harga'!$B:$B,0))
     ),0)
  + IFERROR(VLOOKUP($H429,'Profile Size'!$A:$B,2,FALSE),0)
  + IFERROR(VLOOKUP($I429,'Ketebalan Material'!$A:$B,2,FALSE),0),
0)</f>
        <v>850000</v>
      </c>
      <c r="O429">
        <f>IF($M429="PER-M",
  IFERROR(
    IF($G429="Hollow",
       INDEX('Referensi Harga'!$C:$C, MATCH($F429 &amp; "|" &amp; $C429, 'Referensi Harga'!$F:$F, 0)),
    IF($G429="Hollow Stainless",
       INDEX('Referensi Harga'!$D:$D, MATCH($F429 &amp; "|" &amp; $C429, 'Referensi Harga'!$F:$F, 0)),
       INDEX('Referensi Harga'!$E:$E, MATCH($F429 &amp; "|" &amp; $C429, 'Referensi Harga'!$F:$F, 0))
    ))
    + IFERROR(VLOOKUP($H429, 'Profile Size'!$A:$B, 2, FALSE), 0)
    + IFERROR(VLOOKUP($I429, 'Ketebalan Material'!$A:$B, 2, FALSE), 0), 0),
0)</f>
        <v>0</v>
      </c>
      <c r="P429" cm="1">
        <f t="array" ref="P429">IF($M429="PER-LUBANG",
  IFERROR(
     _xlfn.IFS(
        $G429="Hollow",
            INDEX('Referensi Harga'!$C:$C,
                  MATCH($F429&amp;$C429,'Referensi Harga'!$A:$A&amp;'Referensi Harga'!$B:$B,0)),
        $G429="Hollow Stainless",
            INDEX('Referensi Harga'!$D:$D,
                  MATCH($F429&amp;$C429,'Referensi Harga'!$A:$A&amp;'Referensi Harga'!$B:$B,0)),
        $G429="Pipa Stainless",
            INDEX('Referensi Harga'!$E:$E,
                  MATCH($F429&amp;$C429,'Referensi Harga'!$A:$A&amp;'Referensi Harga'!$B:$B,0))
     ),0)
  + IFERROR(VLOOKUP($H429,'Profile Size'!$A:$B,2,FALSE),0)
  + IFERROR(VLOOKUP($I429,'Ketebalan Material'!$A:$B,2,FALSE),0),
0)</f>
        <v>0</v>
      </c>
      <c r="Q429">
        <f>IF($M429="PER-M2",
    IFERROR(
        SUMIFS('Upah Tenaga Ahli'!$C:$C,
               'Upah Tenaga Ahli'!$A:$A,"PER-M2",
               'Upah Tenaga Ahli'!$B:$B,$G429
        ) * $J429 * $K429,
    0),
IF($M429="PER-LUBANG",
    IFERROR(
        SUMIFS('Upah Tenaga Ahli'!$D:$D,
               'Upah Tenaga Ahli'!$A:$A,"PER-LUBANG",
               'Upah Tenaga Ahli'!$B:$B,$G429
        ) * $L429 * $K429,
    0),
IF($M429="PER-M",
    IFERROR(
        SUMIFS('Upah Tenaga Ahli'!$E:$E,
               'Upah Tenaga Ahli'!$A:$A,"PER-M",
               'Upah Tenaga Ahli'!$B:$B,$G429
        ) * $J429 * $K429,
    0),
0)))</f>
        <v>1318000</v>
      </c>
      <c r="R429" t="s">
        <v>19</v>
      </c>
      <c r="S429" t="s">
        <v>23</v>
      </c>
      <c r="T429">
        <f>IF($M429="PER-M2",
   ($N429 * $J429 * $K429)
   + IFERROR(VLOOKUP($R429,Finishing!A:B,2,FALSE),0)
   + IFERROR(VLOOKUP($S429,Kerumitan!A:B,2,FALSE),0),
IF($M429="PER-LUBANG",
   ($P429 * $L429 * $K429)
   + IFERROR(VLOOKUP($R429,Finishing!A:B,2,FALSE),0)
   + IFERROR(VLOOKUP($S429,Kerumitan!A:B,2,FALSE),0),
IF($M429="PER-M",
   ($O429 * $J429 * $K429)
   + IFERROR(VLOOKUP($R429,Finishing!A:B,2,FALSE),0)
   + IFERROR(VLOOKUP($S429,Kerumitan!A:B,2,FALSE),0),
0)))</f>
        <v>11253000</v>
      </c>
    </row>
    <row r="430" spans="1:20" x14ac:dyDescent="0.45">
      <c r="A430" t="s">
        <v>527</v>
      </c>
      <c r="B430" s="5">
        <v>45948</v>
      </c>
      <c r="C430">
        <f t="shared" si="6"/>
        <v>2025</v>
      </c>
      <c r="D430" t="s">
        <v>65</v>
      </c>
      <c r="E430" t="s">
        <v>38</v>
      </c>
      <c r="F430" t="s">
        <v>8</v>
      </c>
      <c r="G430" t="s">
        <v>14</v>
      </c>
      <c r="H430" t="s">
        <v>612</v>
      </c>
      <c r="I430">
        <v>1.2</v>
      </c>
      <c r="J430">
        <v>0</v>
      </c>
      <c r="K430">
        <v>1</v>
      </c>
      <c r="L430">
        <v>10</v>
      </c>
      <c r="M430" t="str" cm="1">
        <f t="array" ref="M430">_xlfn.IFS(
   OR($F430="Pagar", $F430="Pintu Gerbang", $F430="Pintu Handerson", $F430="Kanopi"), "PER-M2",
   $F430="Teralis", "PER-LUBANG",
   OR($F430="Railing", $F430="Railing/Balkon"), "PER-M",
   TRUE, ""
)</f>
        <v>PER-LUBANG</v>
      </c>
      <c r="N430" cm="1">
        <f t="array" ref="N430">IF($M430="PER-M2",
  IFERROR(
     _xlfn.IFS(
        $G430="Hollow",
            INDEX('Referensi Harga'!$C:$C,
                  MATCH($F430&amp;$C430,'Referensi Harga'!$A:$A&amp;'Referensi Harga'!$B:$B,0)),
        $G430="Hollow Stainless",
            INDEX('Referensi Harga'!$D:$D,
                  MATCH($F430&amp;$C430,'Referensi Harga'!$A:$A&amp;'Referensi Harga'!$B:$B,0)),
        $G430="Pipa Stainless",
            INDEX('Referensi Harga'!$E:$E,
                  MATCH($F430&amp;$C430,'Referensi Harga'!$A:$A&amp;'Referensi Harga'!$B:$B,0))
     ),0)
  + IFERROR(VLOOKUP($H430,'Profile Size'!$A:$B,2,FALSE),0)
  + IFERROR(VLOOKUP($I430,'Ketebalan Material'!$A:$B,2,FALSE),0),
0)</f>
        <v>0</v>
      </c>
      <c r="O430">
        <f>IF($M430="PER-M",
  IFERROR(
    IF($G430="Hollow",
       INDEX('Referensi Harga'!$C:$C, MATCH($F430 &amp; "|" &amp; $C430, 'Referensi Harga'!$F:$F, 0)),
    IF($G430="Hollow Stainless",
       INDEX('Referensi Harga'!$D:$D, MATCH($F430 &amp; "|" &amp; $C430, 'Referensi Harga'!$F:$F, 0)),
       INDEX('Referensi Harga'!$E:$E, MATCH($F430 &amp; "|" &amp; $C430, 'Referensi Harga'!$F:$F, 0))
    ))
    + IFERROR(VLOOKUP($H430, 'Profile Size'!$A:$B, 2, FALSE), 0)
    + IFERROR(VLOOKUP($I430, 'Ketebalan Material'!$A:$B, 2, FALSE), 0), 0),
0)</f>
        <v>0</v>
      </c>
      <c r="P430" cm="1">
        <f t="array" ref="P430">IF($M430="PER-LUBANG",
  IFERROR(
     _xlfn.IFS(
        $G430="Hollow",
            INDEX('Referensi Harga'!$C:$C,
                  MATCH($F430&amp;$C430,'Referensi Harga'!$A:$A&amp;'Referensi Harga'!$B:$B,0)),
        $G430="Hollow Stainless",
            INDEX('Referensi Harga'!$D:$D,
                  MATCH($F430&amp;$C430,'Referensi Harga'!$A:$A&amp;'Referensi Harga'!$B:$B,0)),
        $G430="Pipa Stainless",
            INDEX('Referensi Harga'!$E:$E,
                  MATCH($F430&amp;$C430,'Referensi Harga'!$A:$A&amp;'Referensi Harga'!$B:$B,0))
     ),0)
  + IFERROR(VLOOKUP($H430,'Profile Size'!$A:$B,2,FALSE),0)
  + IFERROR(VLOOKUP($I430,'Ketebalan Material'!$A:$B,2,FALSE),0),
0)</f>
        <v>800000</v>
      </c>
      <c r="Q430">
        <f>IF($M430="PER-M2",
    IFERROR(
        SUMIFS('Upah Tenaga Ahli'!$C:$C,
               'Upah Tenaga Ahli'!$A:$A,"PER-M2",
               'Upah Tenaga Ahli'!$B:$B,$G430
        ) * $J430 * $K430,
    0),
IF($M430="PER-LUBANG",
    IFERROR(
        SUMIFS('Upah Tenaga Ahli'!$D:$D,
               'Upah Tenaga Ahli'!$A:$A,"PER-LUBANG",
               'Upah Tenaga Ahli'!$B:$B,$G430
        ) * $L430 * $K430,
    0),
IF($M430="PER-M",
    IFERROR(
        SUMIFS('Upah Tenaga Ahli'!$E:$E,
               'Upah Tenaga Ahli'!$A:$A,"PER-M",
               'Upah Tenaga Ahli'!$B:$B,$G430
        ) * $J430 * $K430,
    0),
0)))</f>
        <v>1500000</v>
      </c>
      <c r="R430" t="s">
        <v>617</v>
      </c>
      <c r="S430" t="s">
        <v>24</v>
      </c>
      <c r="T430">
        <f>IF($M430="PER-M2",
   ($N430 * $J430 * $K430)
   + IFERROR(VLOOKUP($R430,Finishing!A:B,2,FALSE),0)
   + IFERROR(VLOOKUP($S430,Kerumitan!A:B,2,FALSE),0),
IF($M430="PER-LUBANG",
   ($P430 * $L430 * $K430)
   + IFERROR(VLOOKUP($R430,Finishing!A:B,2,FALSE),0)
   + IFERROR(VLOOKUP($S430,Kerumitan!A:B,2,FALSE),0),
IF($M430="PER-M",
   ($O430 * $J430 * $K430)
   + IFERROR(VLOOKUP($R430,Finishing!A:B,2,FALSE),0)
   + IFERROR(VLOOKUP($S430,Kerumitan!A:B,2,FALSE),0),
0)))</f>
        <v>8100000</v>
      </c>
    </row>
    <row r="431" spans="1:20" x14ac:dyDescent="0.45">
      <c r="A431" t="s">
        <v>528</v>
      </c>
      <c r="B431" s="5">
        <v>44068</v>
      </c>
      <c r="C431">
        <f t="shared" si="6"/>
        <v>2020</v>
      </c>
      <c r="D431" t="s">
        <v>117</v>
      </c>
      <c r="E431" t="s">
        <v>32</v>
      </c>
      <c r="F431" t="s">
        <v>10</v>
      </c>
      <c r="G431" t="s">
        <v>14</v>
      </c>
      <c r="H431" t="s">
        <v>615</v>
      </c>
      <c r="I431">
        <v>0.8</v>
      </c>
      <c r="J431">
        <v>3.96</v>
      </c>
      <c r="K431">
        <v>1</v>
      </c>
      <c r="L431">
        <v>0</v>
      </c>
      <c r="M431" t="str" cm="1">
        <f t="array" ref="M431">_xlfn.IFS(
   OR($F431="Pagar", $F431="Pintu Gerbang", $F431="Pintu Handerson", $F431="Kanopi"), "PER-M2",
   $F431="Teralis", "PER-LUBANG",
   OR($F431="Railing", $F431="Railing/Balkon"), "PER-M",
   TRUE, ""
)</f>
        <v>PER-M2</v>
      </c>
      <c r="N431" cm="1">
        <f t="array" ref="N431">IF($M431="PER-M2",
  IFERROR(
     _xlfn.IFS(
        $G431="Hollow",
            INDEX('Referensi Harga'!$C:$C,
                  MATCH($F431&amp;$C431,'Referensi Harga'!$A:$A&amp;'Referensi Harga'!$B:$B,0)),
        $G431="Hollow Stainless",
            INDEX('Referensi Harga'!$D:$D,
                  MATCH($F431&amp;$C431,'Referensi Harga'!$A:$A&amp;'Referensi Harga'!$B:$B,0)),
        $G431="Pipa Stainless",
            INDEX('Referensi Harga'!$E:$E,
                  MATCH($F431&amp;$C431,'Referensi Harga'!$A:$A&amp;'Referensi Harga'!$B:$B,0))
     ),0)
  + IFERROR(VLOOKUP($H431,'Profile Size'!$A:$B,2,FALSE),0)
  + IFERROR(VLOOKUP($I431,'Ketebalan Material'!$A:$B,2,FALSE),0),
0)</f>
        <v>1350000</v>
      </c>
      <c r="O431">
        <f>IF($M431="PER-M",
  IFERROR(
    IF($G431="Hollow",
       INDEX('Referensi Harga'!$C:$C, MATCH($F431 &amp; "|" &amp; $C431, 'Referensi Harga'!$F:$F, 0)),
    IF($G431="Hollow Stainless",
       INDEX('Referensi Harga'!$D:$D, MATCH($F431 &amp; "|" &amp; $C431, 'Referensi Harga'!$F:$F, 0)),
       INDEX('Referensi Harga'!$E:$E, MATCH($F431 &amp; "|" &amp; $C431, 'Referensi Harga'!$F:$F, 0))
    ))
    + IFERROR(VLOOKUP($H431, 'Profile Size'!$A:$B, 2, FALSE), 0)
    + IFERROR(VLOOKUP($I431, 'Ketebalan Material'!$A:$B, 2, FALSE), 0), 0),
0)</f>
        <v>0</v>
      </c>
      <c r="P431" cm="1">
        <f t="array" ref="P431">IF($M431="PER-LUBANG",
  IFERROR(
     _xlfn.IFS(
        $G431="Hollow",
            INDEX('Referensi Harga'!$C:$C,
                  MATCH($F431&amp;$C431,'Referensi Harga'!$A:$A&amp;'Referensi Harga'!$B:$B,0)),
        $G431="Hollow Stainless",
            INDEX('Referensi Harga'!$D:$D,
                  MATCH($F431&amp;$C431,'Referensi Harga'!$A:$A&amp;'Referensi Harga'!$B:$B,0)),
        $G431="Pipa Stainless",
            INDEX('Referensi Harga'!$E:$E,
                  MATCH($F431&amp;$C431,'Referensi Harga'!$A:$A&amp;'Referensi Harga'!$B:$B,0))
     ),0)
  + IFERROR(VLOOKUP($H431,'Profile Size'!$A:$B,2,FALSE),0)
  + IFERROR(VLOOKUP($I431,'Ketebalan Material'!$A:$B,2,FALSE),0),
0)</f>
        <v>0</v>
      </c>
      <c r="Q431">
        <f>IF($M431="PER-M2",
    IFERROR(
        SUMIFS('Upah Tenaga Ahli'!$C:$C,
               'Upah Tenaga Ahli'!$A:$A,"PER-M2",
               'Upah Tenaga Ahli'!$B:$B,$G431
        ) * $J431 * $K431,
    0),
IF($M431="PER-LUBANG",
    IFERROR(
        SUMIFS('Upah Tenaga Ahli'!$D:$D,
               'Upah Tenaga Ahli'!$A:$A,"PER-LUBANG",
               'Upah Tenaga Ahli'!$B:$B,$G431
        ) * $L431 * $K431,
    0),
IF($M431="PER-M",
    IFERROR(
        SUMIFS('Upah Tenaga Ahli'!$E:$E,
               'Upah Tenaga Ahli'!$A:$A,"PER-M",
               'Upah Tenaga Ahli'!$B:$B,$G431
        ) * $J431 * $K431,
    0),
0)))</f>
        <v>792000</v>
      </c>
      <c r="R431" t="s">
        <v>617</v>
      </c>
      <c r="S431" t="s">
        <v>23</v>
      </c>
      <c r="T431">
        <f>IF($M431="PER-M2",
   ($N431 * $J431 * $K431)
   + IFERROR(VLOOKUP($R431,Finishing!A:B,2,FALSE),0)
   + IFERROR(VLOOKUP($S431,Kerumitan!A:B,2,FALSE),0),
IF($M431="PER-LUBANG",
   ($P431 * $L431 * $K431)
   + IFERROR(VLOOKUP($R431,Finishing!A:B,2,FALSE),0)
   + IFERROR(VLOOKUP($S431,Kerumitan!A:B,2,FALSE),0),
IF($M431="PER-M",
   ($O431 * $J431 * $K431)
   + IFERROR(VLOOKUP($R431,Finishing!A:B,2,FALSE),0)
   + IFERROR(VLOOKUP($S431,Kerumitan!A:B,2,FALSE),0),
0)))</f>
        <v>5346000</v>
      </c>
    </row>
    <row r="432" spans="1:20" x14ac:dyDescent="0.45">
      <c r="A432" t="s">
        <v>529</v>
      </c>
      <c r="B432" s="5">
        <v>45717</v>
      </c>
      <c r="C432">
        <f t="shared" si="6"/>
        <v>2025</v>
      </c>
      <c r="D432" t="s">
        <v>90</v>
      </c>
      <c r="E432" t="s">
        <v>28</v>
      </c>
      <c r="F432" t="s">
        <v>8</v>
      </c>
      <c r="G432" t="s">
        <v>13</v>
      </c>
      <c r="H432" t="s">
        <v>612</v>
      </c>
      <c r="I432">
        <v>1.2</v>
      </c>
      <c r="J432">
        <v>0</v>
      </c>
      <c r="K432">
        <v>1</v>
      </c>
      <c r="L432">
        <v>8</v>
      </c>
      <c r="M432" t="str" cm="1">
        <f t="array" ref="M432">_xlfn.IFS(
   OR($F432="Pagar", $F432="Pintu Gerbang", $F432="Pintu Handerson", $F432="Kanopi"), "PER-M2",
   $F432="Teralis", "PER-LUBANG",
   OR($F432="Railing", $F432="Railing/Balkon"), "PER-M",
   TRUE, ""
)</f>
        <v>PER-LUBANG</v>
      </c>
      <c r="N432" cm="1">
        <f t="array" ref="N432">IF($M432="PER-M2",
  IFERROR(
     _xlfn.IFS(
        $G432="Hollow",
            INDEX('Referensi Harga'!$C:$C,
                  MATCH($F432&amp;$C432,'Referensi Harga'!$A:$A&amp;'Referensi Harga'!$B:$B,0)),
        $G432="Hollow Stainless",
            INDEX('Referensi Harga'!$D:$D,
                  MATCH($F432&amp;$C432,'Referensi Harga'!$A:$A&amp;'Referensi Harga'!$B:$B,0)),
        $G432="Pipa Stainless",
            INDEX('Referensi Harga'!$E:$E,
                  MATCH($F432&amp;$C432,'Referensi Harga'!$A:$A&amp;'Referensi Harga'!$B:$B,0))
     ),0)
  + IFERROR(VLOOKUP($H432,'Profile Size'!$A:$B,2,FALSE),0)
  + IFERROR(VLOOKUP($I432,'Ketebalan Material'!$A:$B,2,FALSE),0),
0)</f>
        <v>0</v>
      </c>
      <c r="O432">
        <f>IF($M432="PER-M",
  IFERROR(
    IF($G432="Hollow",
       INDEX('Referensi Harga'!$C:$C, MATCH($F432 &amp; "|" &amp; $C432, 'Referensi Harga'!$F:$F, 0)),
    IF($G432="Hollow Stainless",
       INDEX('Referensi Harga'!$D:$D, MATCH($F432 &amp; "|" &amp; $C432, 'Referensi Harga'!$F:$F, 0)),
       INDEX('Referensi Harga'!$E:$E, MATCH($F432 &amp; "|" &amp; $C432, 'Referensi Harga'!$F:$F, 0))
    ))
    + IFERROR(VLOOKUP($H432, 'Profile Size'!$A:$B, 2, FALSE), 0)
    + IFERROR(VLOOKUP($I432, 'Ketebalan Material'!$A:$B, 2, FALSE), 0), 0),
0)</f>
        <v>0</v>
      </c>
      <c r="P432" cm="1">
        <f t="array" ref="P432">IF($M432="PER-LUBANG",
  IFERROR(
     _xlfn.IFS(
        $G432="Hollow",
            INDEX('Referensi Harga'!$C:$C,
                  MATCH($F432&amp;$C432,'Referensi Harga'!$A:$A&amp;'Referensi Harga'!$B:$B,0)),
        $G432="Hollow Stainless",
            INDEX('Referensi Harga'!$D:$D,
                  MATCH($F432&amp;$C432,'Referensi Harga'!$A:$A&amp;'Referensi Harga'!$B:$B,0)),
        $G432="Pipa Stainless",
            INDEX('Referensi Harga'!$E:$E,
                  MATCH($F432&amp;$C432,'Referensi Harga'!$A:$A&amp;'Referensi Harga'!$B:$B,0))
     ),0)
  + IFERROR(VLOOKUP($H432,'Profile Size'!$A:$B,2,FALSE),0)
  + IFERROR(VLOOKUP($I432,'Ketebalan Material'!$A:$B,2,FALSE),0),
0)</f>
        <v>450000</v>
      </c>
      <c r="Q432">
        <f>IF($M432="PER-M2",
    IFERROR(
        SUMIFS('Upah Tenaga Ahli'!$C:$C,
               'Upah Tenaga Ahli'!$A:$A,"PER-M2",
               'Upah Tenaga Ahli'!$B:$B,$G432
        ) * $J432 * $K432,
    0),
IF($M432="PER-LUBANG",
    IFERROR(
        SUMIFS('Upah Tenaga Ahli'!$D:$D,
               'Upah Tenaga Ahli'!$A:$A,"PER-LUBANG",
               'Upah Tenaga Ahli'!$B:$B,$G432
        ) * $L432 * $K432,
    0),
IF($M432="PER-M",
    IFERROR(
        SUMIFS('Upah Tenaga Ahli'!$E:$E,
               'Upah Tenaga Ahli'!$A:$A,"PER-M",
               'Upah Tenaga Ahli'!$B:$B,$G432
        ) * $J432 * $K432,
    0),
0)))</f>
        <v>600000</v>
      </c>
      <c r="R432" t="s">
        <v>19</v>
      </c>
      <c r="S432" t="s">
        <v>23</v>
      </c>
      <c r="T432">
        <f>IF($M432="PER-M2",
   ($N432 * $J432 * $K432)
   + IFERROR(VLOOKUP($R432,Finishing!A:B,2,FALSE),0)
   + IFERROR(VLOOKUP($S432,Kerumitan!A:B,2,FALSE),0),
IF($M432="PER-LUBANG",
   ($P432 * $L432 * $K432)
   + IFERROR(VLOOKUP($R432,Finishing!A:B,2,FALSE),0)
   + IFERROR(VLOOKUP($S432,Kerumitan!A:B,2,FALSE),0),
IF($M432="PER-M",
   ($O432 * $J432 * $K432)
   + IFERROR(VLOOKUP($R432,Finishing!A:B,2,FALSE),0)
   + IFERROR(VLOOKUP($S432,Kerumitan!A:B,2,FALSE),0),
0)))</f>
        <v>3650000</v>
      </c>
    </row>
    <row r="433" spans="1:20" x14ac:dyDescent="0.45">
      <c r="A433" t="s">
        <v>530</v>
      </c>
      <c r="B433" s="5">
        <v>44909</v>
      </c>
      <c r="C433">
        <f t="shared" si="6"/>
        <v>2022</v>
      </c>
      <c r="D433" t="s">
        <v>27</v>
      </c>
      <c r="E433" t="s">
        <v>108</v>
      </c>
      <c r="F433" t="s">
        <v>10</v>
      </c>
      <c r="G433" t="s">
        <v>13</v>
      </c>
      <c r="H433" t="s">
        <v>33</v>
      </c>
      <c r="I433">
        <v>1</v>
      </c>
      <c r="J433">
        <v>2.98</v>
      </c>
      <c r="K433">
        <v>1</v>
      </c>
      <c r="L433">
        <v>0</v>
      </c>
      <c r="M433" t="str" cm="1">
        <f t="array" ref="M433">_xlfn.IFS(
   OR($F433="Pagar", $F433="Pintu Gerbang", $F433="Pintu Handerson", $F433="Kanopi"), "PER-M2",
   $F433="Teralis", "PER-LUBANG",
   OR($F433="Railing", $F433="Railing/Balkon"), "PER-M",
   TRUE, ""
)</f>
        <v>PER-M2</v>
      </c>
      <c r="N433" cm="1">
        <f t="array" ref="N433">IF($M433="PER-M2",
  IFERROR(
     _xlfn.IFS(
        $G433="Hollow",
            INDEX('Referensi Harga'!$C:$C,
                  MATCH($F433&amp;$C433,'Referensi Harga'!$A:$A&amp;'Referensi Harga'!$B:$B,0)),
        $G433="Hollow Stainless",
            INDEX('Referensi Harga'!$D:$D,
                  MATCH($F433&amp;$C433,'Referensi Harga'!$A:$A&amp;'Referensi Harga'!$B:$B,0)),
        $G433="Pipa Stainless",
            INDEX('Referensi Harga'!$E:$E,
                  MATCH($F433&amp;$C433,'Referensi Harga'!$A:$A&amp;'Referensi Harga'!$B:$B,0))
     ),0)
  + IFERROR(VLOOKUP($H433,'Profile Size'!$A:$B,2,FALSE),0)
  + IFERROR(VLOOKUP($I433,'Ketebalan Material'!$A:$B,2,FALSE),0),
0)</f>
        <v>850000</v>
      </c>
      <c r="O433">
        <f>IF($M433="PER-M",
  IFERROR(
    IF($G433="Hollow",
       INDEX('Referensi Harga'!$C:$C, MATCH($F433 &amp; "|" &amp; $C433, 'Referensi Harga'!$F:$F, 0)),
    IF($G433="Hollow Stainless",
       INDEX('Referensi Harga'!$D:$D, MATCH($F433 &amp; "|" &amp; $C433, 'Referensi Harga'!$F:$F, 0)),
       INDEX('Referensi Harga'!$E:$E, MATCH($F433 &amp; "|" &amp; $C433, 'Referensi Harga'!$F:$F, 0))
    ))
    + IFERROR(VLOOKUP($H433, 'Profile Size'!$A:$B, 2, FALSE), 0)
    + IFERROR(VLOOKUP($I433, 'Ketebalan Material'!$A:$B, 2, FALSE), 0), 0),
0)</f>
        <v>0</v>
      </c>
      <c r="P433" cm="1">
        <f t="array" ref="P433">IF($M433="PER-LUBANG",
  IFERROR(
     _xlfn.IFS(
        $G433="Hollow",
            INDEX('Referensi Harga'!$C:$C,
                  MATCH($F433&amp;$C433,'Referensi Harga'!$A:$A&amp;'Referensi Harga'!$B:$B,0)),
        $G433="Hollow Stainless",
            INDEX('Referensi Harga'!$D:$D,
                  MATCH($F433&amp;$C433,'Referensi Harga'!$A:$A&amp;'Referensi Harga'!$B:$B,0)),
        $G433="Pipa Stainless",
            INDEX('Referensi Harga'!$E:$E,
                  MATCH($F433&amp;$C433,'Referensi Harga'!$A:$A&amp;'Referensi Harga'!$B:$B,0))
     ),0)
  + IFERROR(VLOOKUP($H433,'Profile Size'!$A:$B,2,FALSE),0)
  + IFERROR(VLOOKUP($I433,'Ketebalan Material'!$A:$B,2,FALSE),0),
0)</f>
        <v>0</v>
      </c>
      <c r="Q433">
        <f>IF($M433="PER-M2",
    IFERROR(
        SUMIFS('Upah Tenaga Ahli'!$C:$C,
               'Upah Tenaga Ahli'!$A:$A,"PER-M2",
               'Upah Tenaga Ahli'!$B:$B,$G433
        ) * $J433 * $K433,
    0),
IF($M433="PER-LUBANG",
    IFERROR(
        SUMIFS('Upah Tenaga Ahli'!$D:$D,
               'Upah Tenaga Ahli'!$A:$A,"PER-LUBANG",
               'Upah Tenaga Ahli'!$B:$B,$G433
        ) * $L433 * $K433,
    0),
IF($M433="PER-M",
    IFERROR(
        SUMIFS('Upah Tenaga Ahli'!$E:$E,
               'Upah Tenaga Ahli'!$A:$A,"PER-M",
               'Upah Tenaga Ahli'!$B:$B,$G433
        ) * $J433 * $K433,
    0),
0)))</f>
        <v>298000</v>
      </c>
      <c r="R433" t="s">
        <v>19</v>
      </c>
      <c r="S433" t="s">
        <v>23</v>
      </c>
      <c r="T433">
        <f>IF($M433="PER-M2",
   ($N433 * $J433 * $K433)
   + IFERROR(VLOOKUP($R433,Finishing!A:B,2,FALSE),0)
   + IFERROR(VLOOKUP($S433,Kerumitan!A:B,2,FALSE),0),
IF($M433="PER-LUBANG",
   ($P433 * $L433 * $K433)
   + IFERROR(VLOOKUP($R433,Finishing!A:B,2,FALSE),0)
   + IFERROR(VLOOKUP($S433,Kerumitan!A:B,2,FALSE),0),
IF($M433="PER-M",
   ($O433 * $J433 * $K433)
   + IFERROR(VLOOKUP($R433,Finishing!A:B,2,FALSE),0)
   + IFERROR(VLOOKUP($S433,Kerumitan!A:B,2,FALSE),0),
0)))</f>
        <v>2583000</v>
      </c>
    </row>
    <row r="434" spans="1:20" x14ac:dyDescent="0.45">
      <c r="A434" t="s">
        <v>531</v>
      </c>
      <c r="B434" s="5">
        <v>44159</v>
      </c>
      <c r="C434">
        <f t="shared" si="6"/>
        <v>2020</v>
      </c>
      <c r="D434" t="s">
        <v>171</v>
      </c>
      <c r="E434" t="s">
        <v>91</v>
      </c>
      <c r="F434" t="s">
        <v>6</v>
      </c>
      <c r="G434" t="s">
        <v>13</v>
      </c>
      <c r="H434" t="s">
        <v>33</v>
      </c>
      <c r="I434">
        <v>0.8</v>
      </c>
      <c r="J434">
        <v>23.64</v>
      </c>
      <c r="K434">
        <v>2</v>
      </c>
      <c r="L434">
        <v>0</v>
      </c>
      <c r="M434" t="str" cm="1">
        <f t="array" ref="M434">_xlfn.IFS(
   OR($F434="Pagar", $F434="Pintu Gerbang", $F434="Pintu Handerson", $F434="Kanopi"), "PER-M2",
   $F434="Teralis", "PER-LUBANG",
   OR($F434="Railing", $F434="Railing/Balkon"), "PER-M",
   TRUE, ""
)</f>
        <v>PER-M2</v>
      </c>
      <c r="N434" cm="1">
        <f t="array" ref="N434">IF($M434="PER-M2",
  IFERROR(
     _xlfn.IFS(
        $G434="Hollow",
            INDEX('Referensi Harga'!$C:$C,
                  MATCH($F434&amp;$C434,'Referensi Harga'!$A:$A&amp;'Referensi Harga'!$B:$B,0)),
        $G434="Hollow Stainless",
            INDEX('Referensi Harga'!$D:$D,
                  MATCH($F434&amp;$C434,'Referensi Harga'!$A:$A&amp;'Referensi Harga'!$B:$B,0)),
        $G434="Pipa Stainless",
            INDEX('Referensi Harga'!$E:$E,
                  MATCH($F434&amp;$C434,'Referensi Harga'!$A:$A&amp;'Referensi Harga'!$B:$B,0))
     ),0)
  + IFERROR(VLOOKUP($H434,'Profile Size'!$A:$B,2,FALSE),0)
  + IFERROR(VLOOKUP($I434,'Ketebalan Material'!$A:$B,2,FALSE),0),
0)</f>
        <v>350000</v>
      </c>
      <c r="O434">
        <f>IF($M434="PER-M",
  IFERROR(
    IF($G434="Hollow",
       INDEX('Referensi Harga'!$C:$C, MATCH($F434 &amp; "|" &amp; $C434, 'Referensi Harga'!$F:$F, 0)),
    IF($G434="Hollow Stainless",
       INDEX('Referensi Harga'!$D:$D, MATCH($F434 &amp; "|" &amp; $C434, 'Referensi Harga'!$F:$F, 0)),
       INDEX('Referensi Harga'!$E:$E, MATCH($F434 &amp; "|" &amp; $C434, 'Referensi Harga'!$F:$F, 0))
    ))
    + IFERROR(VLOOKUP($H434, 'Profile Size'!$A:$B, 2, FALSE), 0)
    + IFERROR(VLOOKUP($I434, 'Ketebalan Material'!$A:$B, 2, FALSE), 0), 0),
0)</f>
        <v>0</v>
      </c>
      <c r="P434" cm="1">
        <f t="array" ref="P434">IF($M434="PER-LUBANG",
  IFERROR(
     _xlfn.IFS(
        $G434="Hollow",
            INDEX('Referensi Harga'!$C:$C,
                  MATCH($F434&amp;$C434,'Referensi Harga'!$A:$A&amp;'Referensi Harga'!$B:$B,0)),
        $G434="Hollow Stainless",
            INDEX('Referensi Harga'!$D:$D,
                  MATCH($F434&amp;$C434,'Referensi Harga'!$A:$A&amp;'Referensi Harga'!$B:$B,0)),
        $G434="Pipa Stainless",
            INDEX('Referensi Harga'!$E:$E,
                  MATCH($F434&amp;$C434,'Referensi Harga'!$A:$A&amp;'Referensi Harga'!$B:$B,0))
     ),0)
  + IFERROR(VLOOKUP($H434,'Profile Size'!$A:$B,2,FALSE),0)
  + IFERROR(VLOOKUP($I434,'Ketebalan Material'!$A:$B,2,FALSE),0),
0)</f>
        <v>0</v>
      </c>
      <c r="Q434">
        <f>IF($M434="PER-M2",
    IFERROR(
        SUMIFS('Upah Tenaga Ahli'!$C:$C,
               'Upah Tenaga Ahli'!$A:$A,"PER-M2",
               'Upah Tenaga Ahli'!$B:$B,$G434
        ) * $J434 * $K434,
    0),
IF($M434="PER-LUBANG",
    IFERROR(
        SUMIFS('Upah Tenaga Ahli'!$D:$D,
               'Upah Tenaga Ahli'!$A:$A,"PER-LUBANG",
               'Upah Tenaga Ahli'!$B:$B,$G434
        ) * $L434 * $K434,
    0),
IF($M434="PER-M",
    IFERROR(
        SUMIFS('Upah Tenaga Ahli'!$E:$E,
               'Upah Tenaga Ahli'!$A:$A,"PER-M",
               'Upah Tenaga Ahli'!$B:$B,$G434
        ) * $J434 * $K434,
    0),
0)))</f>
        <v>4728000</v>
      </c>
      <c r="R434" t="s">
        <v>20</v>
      </c>
      <c r="S434" t="s">
        <v>24</v>
      </c>
      <c r="T434">
        <f>IF($M434="PER-M2",
   ($N434 * $J434 * $K434)
   + IFERROR(VLOOKUP($R434,Finishing!A:B,2,FALSE),0)
   + IFERROR(VLOOKUP($S434,Kerumitan!A:B,2,FALSE),0),
IF($M434="PER-LUBANG",
   ($P434 * $L434 * $K434)
   + IFERROR(VLOOKUP($R434,Finishing!A:B,2,FALSE),0)
   + IFERROR(VLOOKUP($S434,Kerumitan!A:B,2,FALSE),0),
IF($M434="PER-M",
   ($O434 * $J434 * $K434)
   + IFERROR(VLOOKUP($R434,Finishing!A:B,2,FALSE),0)
   + IFERROR(VLOOKUP($S434,Kerumitan!A:B,2,FALSE),0),
0)))</f>
        <v>16798000</v>
      </c>
    </row>
    <row r="435" spans="1:20" x14ac:dyDescent="0.45">
      <c r="A435" t="s">
        <v>532</v>
      </c>
      <c r="B435" s="5">
        <v>44714</v>
      </c>
      <c r="C435">
        <f t="shared" si="6"/>
        <v>2022</v>
      </c>
      <c r="D435" t="s">
        <v>83</v>
      </c>
      <c r="E435" t="s">
        <v>38</v>
      </c>
      <c r="F435" t="s">
        <v>10</v>
      </c>
      <c r="G435" t="s">
        <v>13</v>
      </c>
      <c r="H435" t="s">
        <v>35</v>
      </c>
      <c r="I435">
        <v>1.2</v>
      </c>
      <c r="J435">
        <v>4.9400000000000004</v>
      </c>
      <c r="K435">
        <v>1</v>
      </c>
      <c r="L435">
        <v>0</v>
      </c>
      <c r="M435" t="str" cm="1">
        <f t="array" ref="M435">_xlfn.IFS(
   OR($F435="Pagar", $F435="Pintu Gerbang", $F435="Pintu Handerson", $F435="Kanopi"), "PER-M2",
   $F435="Teralis", "PER-LUBANG",
   OR($F435="Railing", $F435="Railing/Balkon"), "PER-M",
   TRUE, ""
)</f>
        <v>PER-M2</v>
      </c>
      <c r="N435" cm="1">
        <f t="array" ref="N435">IF($M435="PER-M2",
  IFERROR(
     _xlfn.IFS(
        $G435="Hollow",
            INDEX('Referensi Harga'!$C:$C,
                  MATCH($F435&amp;$C435,'Referensi Harga'!$A:$A&amp;'Referensi Harga'!$B:$B,0)),
        $G435="Hollow Stainless",
            INDEX('Referensi Harga'!$D:$D,
                  MATCH($F435&amp;$C435,'Referensi Harga'!$A:$A&amp;'Referensi Harga'!$B:$B,0)),
        $G435="Pipa Stainless",
            INDEX('Referensi Harga'!$E:$E,
                  MATCH($F435&amp;$C435,'Referensi Harga'!$A:$A&amp;'Referensi Harga'!$B:$B,0))
     ),0)
  + IFERROR(VLOOKUP($H435,'Profile Size'!$A:$B,2,FALSE),0)
  + IFERROR(VLOOKUP($I435,'Ketebalan Material'!$A:$B,2,FALSE),0),
0)</f>
        <v>1000000</v>
      </c>
      <c r="O435">
        <f>IF($M435="PER-M",
  IFERROR(
    IF($G435="Hollow",
       INDEX('Referensi Harga'!$C:$C, MATCH($F435 &amp; "|" &amp; $C435, 'Referensi Harga'!$F:$F, 0)),
    IF($G435="Hollow Stainless",
       INDEX('Referensi Harga'!$D:$D, MATCH($F435 &amp; "|" &amp; $C435, 'Referensi Harga'!$F:$F, 0)),
       INDEX('Referensi Harga'!$E:$E, MATCH($F435 &amp; "|" &amp; $C435, 'Referensi Harga'!$F:$F, 0))
    ))
    + IFERROR(VLOOKUP($H435, 'Profile Size'!$A:$B, 2, FALSE), 0)
    + IFERROR(VLOOKUP($I435, 'Ketebalan Material'!$A:$B, 2, FALSE), 0), 0),
0)</f>
        <v>0</v>
      </c>
      <c r="P435" cm="1">
        <f t="array" ref="P435">IF($M435="PER-LUBANG",
  IFERROR(
     _xlfn.IFS(
        $G435="Hollow",
            INDEX('Referensi Harga'!$C:$C,
                  MATCH($F435&amp;$C435,'Referensi Harga'!$A:$A&amp;'Referensi Harga'!$B:$B,0)),
        $G435="Hollow Stainless",
            INDEX('Referensi Harga'!$D:$D,
                  MATCH($F435&amp;$C435,'Referensi Harga'!$A:$A&amp;'Referensi Harga'!$B:$B,0)),
        $G435="Pipa Stainless",
            INDEX('Referensi Harga'!$E:$E,
                  MATCH($F435&amp;$C435,'Referensi Harga'!$A:$A&amp;'Referensi Harga'!$B:$B,0))
     ),0)
  + IFERROR(VLOOKUP($H435,'Profile Size'!$A:$B,2,FALSE),0)
  + IFERROR(VLOOKUP($I435,'Ketebalan Material'!$A:$B,2,FALSE),0),
0)</f>
        <v>0</v>
      </c>
      <c r="Q435">
        <f>IF($M435="PER-M2",
    IFERROR(
        SUMIFS('Upah Tenaga Ahli'!$C:$C,
               'Upah Tenaga Ahli'!$A:$A,"PER-M2",
               'Upah Tenaga Ahli'!$B:$B,$G435
        ) * $J435 * $K435,
    0),
IF($M435="PER-LUBANG",
    IFERROR(
        SUMIFS('Upah Tenaga Ahli'!$D:$D,
               'Upah Tenaga Ahli'!$A:$A,"PER-LUBANG",
               'Upah Tenaga Ahli'!$B:$B,$G435
        ) * $L435 * $K435,
    0),
IF($M435="PER-M",
    IFERROR(
        SUMIFS('Upah Tenaga Ahli'!$E:$E,
               'Upah Tenaga Ahli'!$A:$A,"PER-M",
               'Upah Tenaga Ahli'!$B:$B,$G435
        ) * $J435 * $K435,
    0),
0)))</f>
        <v>494000.00000000006</v>
      </c>
      <c r="R435" t="s">
        <v>18</v>
      </c>
      <c r="S435" t="s">
        <v>23</v>
      </c>
      <c r="T435">
        <f>IF($M435="PER-M2",
   ($N435 * $J435 * $K435)
   + IFERROR(VLOOKUP($R435,Finishing!A:B,2,FALSE),0)
   + IFERROR(VLOOKUP($S435,Kerumitan!A:B,2,FALSE),0),
IF($M435="PER-LUBANG",
   ($P435 * $L435 * $K435)
   + IFERROR(VLOOKUP($R435,Finishing!A:B,2,FALSE),0)
   + IFERROR(VLOOKUP($S435,Kerumitan!A:B,2,FALSE),0),
IF($M435="PER-M",
   ($O435 * $J435 * $K435)
   + IFERROR(VLOOKUP($R435,Finishing!A:B,2,FALSE),0)
   + IFERROR(VLOOKUP($S435,Kerumitan!A:B,2,FALSE),0),
0)))</f>
        <v>4940000</v>
      </c>
    </row>
    <row r="436" spans="1:20" x14ac:dyDescent="0.45">
      <c r="A436" t="s">
        <v>533</v>
      </c>
      <c r="B436" s="5">
        <v>44320</v>
      </c>
      <c r="C436">
        <f t="shared" si="6"/>
        <v>2021</v>
      </c>
      <c r="D436" t="s">
        <v>171</v>
      </c>
      <c r="E436" t="s">
        <v>87</v>
      </c>
      <c r="F436" t="s">
        <v>6</v>
      </c>
      <c r="G436" t="s">
        <v>14</v>
      </c>
      <c r="H436" t="s">
        <v>615</v>
      </c>
      <c r="I436">
        <v>1</v>
      </c>
      <c r="J436">
        <v>14.01</v>
      </c>
      <c r="K436">
        <v>2</v>
      </c>
      <c r="L436">
        <v>0</v>
      </c>
      <c r="M436" t="str" cm="1">
        <f t="array" ref="M436">_xlfn.IFS(
   OR($F436="Pagar", $F436="Pintu Gerbang", $F436="Pintu Handerson", $F436="Kanopi"), "PER-M2",
   $F436="Teralis", "PER-LUBANG",
   OR($F436="Railing", $F436="Railing/Balkon"), "PER-M",
   TRUE, ""
)</f>
        <v>PER-M2</v>
      </c>
      <c r="N436" cm="1">
        <f t="array" ref="N436">IF($M436="PER-M2",
  IFERROR(
     _xlfn.IFS(
        $G436="Hollow",
            INDEX('Referensi Harga'!$C:$C,
                  MATCH($F436&amp;$C436,'Referensi Harga'!$A:$A&amp;'Referensi Harga'!$B:$B,0)),
        $G436="Hollow Stainless",
            INDEX('Referensi Harga'!$D:$D,
                  MATCH($F436&amp;$C436,'Referensi Harga'!$A:$A&amp;'Referensi Harga'!$B:$B,0)),
        $G436="Pipa Stainless",
            INDEX('Referensi Harga'!$E:$E,
                  MATCH($F436&amp;$C436,'Referensi Harga'!$A:$A&amp;'Referensi Harga'!$B:$B,0))
     ),0)
  + IFERROR(VLOOKUP($H436,'Profile Size'!$A:$B,2,FALSE),0)
  + IFERROR(VLOOKUP($I436,'Ketebalan Material'!$A:$B,2,FALSE),0),
0)</f>
        <v>810000</v>
      </c>
      <c r="O436">
        <f>IF($M436="PER-M",
  IFERROR(
    IF($G436="Hollow",
       INDEX('Referensi Harga'!$C:$C, MATCH($F436 &amp; "|" &amp; $C436, 'Referensi Harga'!$F:$F, 0)),
    IF($G436="Hollow Stainless",
       INDEX('Referensi Harga'!$D:$D, MATCH($F436 &amp; "|" &amp; $C436, 'Referensi Harga'!$F:$F, 0)),
       INDEX('Referensi Harga'!$E:$E, MATCH($F436 &amp; "|" &amp; $C436, 'Referensi Harga'!$F:$F, 0))
    ))
    + IFERROR(VLOOKUP($H436, 'Profile Size'!$A:$B, 2, FALSE), 0)
    + IFERROR(VLOOKUP($I436, 'Ketebalan Material'!$A:$B, 2, FALSE), 0), 0),
0)</f>
        <v>0</v>
      </c>
      <c r="P436" cm="1">
        <f t="array" ref="P436">IF($M436="PER-LUBANG",
  IFERROR(
     _xlfn.IFS(
        $G436="Hollow",
            INDEX('Referensi Harga'!$C:$C,
                  MATCH($F436&amp;$C436,'Referensi Harga'!$A:$A&amp;'Referensi Harga'!$B:$B,0)),
        $G436="Hollow Stainless",
            INDEX('Referensi Harga'!$D:$D,
                  MATCH($F436&amp;$C436,'Referensi Harga'!$A:$A&amp;'Referensi Harga'!$B:$B,0)),
        $G436="Pipa Stainless",
            INDEX('Referensi Harga'!$E:$E,
                  MATCH($F436&amp;$C436,'Referensi Harga'!$A:$A&amp;'Referensi Harga'!$B:$B,0))
     ),0)
  + IFERROR(VLOOKUP($H436,'Profile Size'!$A:$B,2,FALSE),0)
  + IFERROR(VLOOKUP($I436,'Ketebalan Material'!$A:$B,2,FALSE),0),
0)</f>
        <v>0</v>
      </c>
      <c r="Q436">
        <f>IF($M436="PER-M2",
    IFERROR(
        SUMIFS('Upah Tenaga Ahli'!$C:$C,
               'Upah Tenaga Ahli'!$A:$A,"PER-M2",
               'Upah Tenaga Ahli'!$B:$B,$G436
        ) * $J436 * $K436,
    0),
IF($M436="PER-LUBANG",
    IFERROR(
        SUMIFS('Upah Tenaga Ahli'!$D:$D,
               'Upah Tenaga Ahli'!$A:$A,"PER-LUBANG",
               'Upah Tenaga Ahli'!$B:$B,$G436
        ) * $L436 * $K436,
    0),
IF($M436="PER-M",
    IFERROR(
        SUMIFS('Upah Tenaga Ahli'!$E:$E,
               'Upah Tenaga Ahli'!$A:$A,"PER-M",
               'Upah Tenaga Ahli'!$B:$B,$G436
        ) * $J436 * $K436,
    0),
0)))</f>
        <v>5604000</v>
      </c>
      <c r="R436" t="s">
        <v>617</v>
      </c>
      <c r="S436" t="s">
        <v>23</v>
      </c>
      <c r="T436">
        <f>IF($M436="PER-M2",
   ($N436 * $J436 * $K436)
   + IFERROR(VLOOKUP($R436,Finishing!A:B,2,FALSE),0)
   + IFERROR(VLOOKUP($S436,Kerumitan!A:B,2,FALSE),0),
IF($M436="PER-LUBANG",
   ($P436 * $L436 * $K436)
   + IFERROR(VLOOKUP($R436,Finishing!A:B,2,FALSE),0)
   + IFERROR(VLOOKUP($S436,Kerumitan!A:B,2,FALSE),0),
IF($M436="PER-M",
   ($O436 * $J436 * $K436)
   + IFERROR(VLOOKUP($R436,Finishing!A:B,2,FALSE),0)
   + IFERROR(VLOOKUP($S436,Kerumitan!A:B,2,FALSE),0),
0)))</f>
        <v>22696200</v>
      </c>
    </row>
    <row r="437" spans="1:20" x14ac:dyDescent="0.45">
      <c r="A437" t="s">
        <v>534</v>
      </c>
      <c r="B437" s="5">
        <v>43994</v>
      </c>
      <c r="C437">
        <f t="shared" si="6"/>
        <v>2020</v>
      </c>
      <c r="D437" t="s">
        <v>53</v>
      </c>
      <c r="E437" t="s">
        <v>121</v>
      </c>
      <c r="F437" t="s">
        <v>6</v>
      </c>
      <c r="G437" t="s">
        <v>13</v>
      </c>
      <c r="H437" t="s">
        <v>46</v>
      </c>
      <c r="I437">
        <v>1.2</v>
      </c>
      <c r="J437">
        <v>12.6</v>
      </c>
      <c r="K437">
        <v>1</v>
      </c>
      <c r="L437">
        <v>0</v>
      </c>
      <c r="M437" t="str" cm="1">
        <f t="array" ref="M437">_xlfn.IFS(
   OR($F437="Pagar", $F437="Pintu Gerbang", $F437="Pintu Handerson", $F437="Kanopi"), "PER-M2",
   $F437="Teralis", "PER-LUBANG",
   OR($F437="Railing", $F437="Railing/Balkon"), "PER-M",
   TRUE, ""
)</f>
        <v>PER-M2</v>
      </c>
      <c r="N437" cm="1">
        <f t="array" ref="N437">IF($M437="PER-M2",
  IFERROR(
     _xlfn.IFS(
        $G437="Hollow",
            INDEX('Referensi Harga'!$C:$C,
                  MATCH($F437&amp;$C437,'Referensi Harga'!$A:$A&amp;'Referensi Harga'!$B:$B,0)),
        $G437="Hollow Stainless",
            INDEX('Referensi Harga'!$D:$D,
                  MATCH($F437&amp;$C437,'Referensi Harga'!$A:$A&amp;'Referensi Harga'!$B:$B,0)),
        $G437="Pipa Stainless",
            INDEX('Referensi Harga'!$E:$E,
                  MATCH($F437&amp;$C437,'Referensi Harga'!$A:$A&amp;'Referensi Harga'!$B:$B,0))
     ),0)
  + IFERROR(VLOOKUP($H437,'Profile Size'!$A:$B,2,FALSE),0)
  + IFERROR(VLOOKUP($I437,'Ketebalan Material'!$A:$B,2,FALSE),0),
0)</f>
        <v>500000</v>
      </c>
      <c r="O437">
        <f>IF($M437="PER-M",
  IFERROR(
    IF($G437="Hollow",
       INDEX('Referensi Harga'!$C:$C, MATCH($F437 &amp; "|" &amp; $C437, 'Referensi Harga'!$F:$F, 0)),
    IF($G437="Hollow Stainless",
       INDEX('Referensi Harga'!$D:$D, MATCH($F437 &amp; "|" &amp; $C437, 'Referensi Harga'!$F:$F, 0)),
       INDEX('Referensi Harga'!$E:$E, MATCH($F437 &amp; "|" &amp; $C437, 'Referensi Harga'!$F:$F, 0))
    ))
    + IFERROR(VLOOKUP($H437, 'Profile Size'!$A:$B, 2, FALSE), 0)
    + IFERROR(VLOOKUP($I437, 'Ketebalan Material'!$A:$B, 2, FALSE), 0), 0),
0)</f>
        <v>0</v>
      </c>
      <c r="P437" cm="1">
        <f t="array" ref="P437">IF($M437="PER-LUBANG",
  IFERROR(
     _xlfn.IFS(
        $G437="Hollow",
            INDEX('Referensi Harga'!$C:$C,
                  MATCH($F437&amp;$C437,'Referensi Harga'!$A:$A&amp;'Referensi Harga'!$B:$B,0)),
        $G437="Hollow Stainless",
            INDEX('Referensi Harga'!$D:$D,
                  MATCH($F437&amp;$C437,'Referensi Harga'!$A:$A&amp;'Referensi Harga'!$B:$B,0)),
        $G437="Pipa Stainless",
            INDEX('Referensi Harga'!$E:$E,
                  MATCH($F437&amp;$C437,'Referensi Harga'!$A:$A&amp;'Referensi Harga'!$B:$B,0))
     ),0)
  + IFERROR(VLOOKUP($H437,'Profile Size'!$A:$B,2,FALSE),0)
  + IFERROR(VLOOKUP($I437,'Ketebalan Material'!$A:$B,2,FALSE),0),
0)</f>
        <v>0</v>
      </c>
      <c r="Q437">
        <f>IF($M437="PER-M2",
    IFERROR(
        SUMIFS('Upah Tenaga Ahli'!$C:$C,
               'Upah Tenaga Ahli'!$A:$A,"PER-M2",
               'Upah Tenaga Ahli'!$B:$B,$G437
        ) * $J437 * $K437,
    0),
IF($M437="PER-LUBANG",
    IFERROR(
        SUMIFS('Upah Tenaga Ahli'!$D:$D,
               'Upah Tenaga Ahli'!$A:$A,"PER-LUBANG",
               'Upah Tenaga Ahli'!$B:$B,$G437
        ) * $L437 * $K437,
    0),
IF($M437="PER-M",
    IFERROR(
        SUMIFS('Upah Tenaga Ahli'!$E:$E,
               'Upah Tenaga Ahli'!$A:$A,"PER-M",
               'Upah Tenaga Ahli'!$B:$B,$G437
        ) * $J437 * $K437,
    0),
0)))</f>
        <v>1260000</v>
      </c>
      <c r="R437" t="s">
        <v>19</v>
      </c>
      <c r="S437" t="s">
        <v>23</v>
      </c>
      <c r="T437">
        <f>IF($M437="PER-M2",
   ($N437 * $J437 * $K437)
   + IFERROR(VLOOKUP($R437,Finishing!A:B,2,FALSE),0)
   + IFERROR(VLOOKUP($S437,Kerumitan!A:B,2,FALSE),0),
IF($M437="PER-LUBANG",
   ($P437 * $L437 * $K437)
   + IFERROR(VLOOKUP($R437,Finishing!A:B,2,FALSE),0)
   + IFERROR(VLOOKUP($S437,Kerumitan!A:B,2,FALSE),0),
IF($M437="PER-M",
   ($O437 * $J437 * $K437)
   + IFERROR(VLOOKUP($R437,Finishing!A:B,2,FALSE),0)
   + IFERROR(VLOOKUP($S437,Kerumitan!A:B,2,FALSE),0),
0)))</f>
        <v>6350000</v>
      </c>
    </row>
    <row r="438" spans="1:20" x14ac:dyDescent="0.45">
      <c r="A438" t="s">
        <v>535</v>
      </c>
      <c r="B438" s="5">
        <v>44326</v>
      </c>
      <c r="C438">
        <f t="shared" si="6"/>
        <v>2021</v>
      </c>
      <c r="D438" t="s">
        <v>96</v>
      </c>
      <c r="E438" t="s">
        <v>61</v>
      </c>
      <c r="F438" t="s">
        <v>7</v>
      </c>
      <c r="G438" t="s">
        <v>14</v>
      </c>
      <c r="H438" t="s">
        <v>614</v>
      </c>
      <c r="I438">
        <v>1.2</v>
      </c>
      <c r="J438">
        <v>4.78</v>
      </c>
      <c r="K438">
        <v>1</v>
      </c>
      <c r="L438">
        <v>0</v>
      </c>
      <c r="M438" t="str" cm="1">
        <f t="array" ref="M438">_xlfn.IFS(
   OR($F438="Pagar", $F438="Pintu Gerbang", $F438="Pintu Handerson", $F438="Kanopi"), "PER-M2",
   $F438="Teralis", "PER-LUBANG",
   OR($F438="Railing", $F438="Railing/Balkon"), "PER-M",
   TRUE, ""
)</f>
        <v>PER-M2</v>
      </c>
      <c r="N438" cm="1">
        <f t="array" ref="N438">IF($M438="PER-M2",
  IFERROR(
     _xlfn.IFS(
        $G438="Hollow",
            INDEX('Referensi Harga'!$C:$C,
                  MATCH($F438&amp;$C438,'Referensi Harga'!$A:$A&amp;'Referensi Harga'!$B:$B,0)),
        $G438="Hollow Stainless",
            INDEX('Referensi Harga'!$D:$D,
                  MATCH($F438&amp;$C438,'Referensi Harga'!$A:$A&amp;'Referensi Harga'!$B:$B,0)),
        $G438="Pipa Stainless",
            INDEX('Referensi Harga'!$E:$E,
                  MATCH($F438&amp;$C438,'Referensi Harga'!$A:$A&amp;'Referensi Harga'!$B:$B,0))
     ),0)
  + IFERROR(VLOOKUP($H438,'Profile Size'!$A:$B,2,FALSE),0)
  + IFERROR(VLOOKUP($I438,'Ketebalan Material'!$A:$B,2,FALSE),0),
0)</f>
        <v>1150000</v>
      </c>
      <c r="O438">
        <f>IF($M438="PER-M",
  IFERROR(
    IF($G438="Hollow",
       INDEX('Referensi Harga'!$C:$C, MATCH($F438 &amp; "|" &amp; $C438, 'Referensi Harga'!$F:$F, 0)),
    IF($G438="Hollow Stainless",
       INDEX('Referensi Harga'!$D:$D, MATCH($F438 &amp; "|" &amp; $C438, 'Referensi Harga'!$F:$F, 0)),
       INDEX('Referensi Harga'!$E:$E, MATCH($F438 &amp; "|" &amp; $C438, 'Referensi Harga'!$F:$F, 0))
    ))
    + IFERROR(VLOOKUP($H438, 'Profile Size'!$A:$B, 2, FALSE), 0)
    + IFERROR(VLOOKUP($I438, 'Ketebalan Material'!$A:$B, 2, FALSE), 0), 0),
0)</f>
        <v>0</v>
      </c>
      <c r="P438" cm="1">
        <f t="array" ref="P438">IF($M438="PER-LUBANG",
  IFERROR(
     _xlfn.IFS(
        $G438="Hollow",
            INDEX('Referensi Harga'!$C:$C,
                  MATCH($F438&amp;$C438,'Referensi Harga'!$A:$A&amp;'Referensi Harga'!$B:$B,0)),
        $G438="Hollow Stainless",
            INDEX('Referensi Harga'!$D:$D,
                  MATCH($F438&amp;$C438,'Referensi Harga'!$A:$A&amp;'Referensi Harga'!$B:$B,0)),
        $G438="Pipa Stainless",
            INDEX('Referensi Harga'!$E:$E,
                  MATCH($F438&amp;$C438,'Referensi Harga'!$A:$A&amp;'Referensi Harga'!$B:$B,0))
     ),0)
  + IFERROR(VLOOKUP($H438,'Profile Size'!$A:$B,2,FALSE),0)
  + IFERROR(VLOOKUP($I438,'Ketebalan Material'!$A:$B,2,FALSE),0),
0)</f>
        <v>0</v>
      </c>
      <c r="Q438">
        <f>IF($M438="PER-M2",
    IFERROR(
        SUMIFS('Upah Tenaga Ahli'!$C:$C,
               'Upah Tenaga Ahli'!$A:$A,"PER-M2",
               'Upah Tenaga Ahli'!$B:$B,$G438
        ) * $J438 * $K438,
    0),
IF($M438="PER-LUBANG",
    IFERROR(
        SUMIFS('Upah Tenaga Ahli'!$D:$D,
               'Upah Tenaga Ahli'!$A:$A,"PER-LUBANG",
               'Upah Tenaga Ahli'!$B:$B,$G438
        ) * $L438 * $K438,
    0),
IF($M438="PER-M",
    IFERROR(
        SUMIFS('Upah Tenaga Ahli'!$E:$E,
               'Upah Tenaga Ahli'!$A:$A,"PER-M",
               'Upah Tenaga Ahli'!$B:$B,$G438
        ) * $J438 * $K438,
    0),
0)))</f>
        <v>956000</v>
      </c>
      <c r="R438" t="s">
        <v>617</v>
      </c>
      <c r="S438" t="s">
        <v>23</v>
      </c>
      <c r="T438">
        <f>IF($M438="PER-M2",
   ($N438 * $J438 * $K438)
   + IFERROR(VLOOKUP($R438,Finishing!A:B,2,FALSE),0)
   + IFERROR(VLOOKUP($S438,Kerumitan!A:B,2,FALSE),0),
IF($M438="PER-LUBANG",
   ($P438 * $L438 * $K438)
   + IFERROR(VLOOKUP($R438,Finishing!A:B,2,FALSE),0)
   + IFERROR(VLOOKUP($S438,Kerumitan!A:B,2,FALSE),0),
IF($M438="PER-M",
   ($O438 * $J438 * $K438)
   + IFERROR(VLOOKUP($R438,Finishing!A:B,2,FALSE),0)
   + IFERROR(VLOOKUP($S438,Kerumitan!A:B,2,FALSE),0),
0)))</f>
        <v>5497000</v>
      </c>
    </row>
    <row r="439" spans="1:20" x14ac:dyDescent="0.45">
      <c r="A439" t="s">
        <v>536</v>
      </c>
      <c r="B439" s="5">
        <v>43709</v>
      </c>
      <c r="C439">
        <f t="shared" si="6"/>
        <v>2019</v>
      </c>
      <c r="D439" t="s">
        <v>40</v>
      </c>
      <c r="E439" t="s">
        <v>28</v>
      </c>
      <c r="F439" t="s">
        <v>4</v>
      </c>
      <c r="G439" t="s">
        <v>13</v>
      </c>
      <c r="H439" t="s">
        <v>46</v>
      </c>
      <c r="I439">
        <v>1.2</v>
      </c>
      <c r="J439">
        <v>14.28</v>
      </c>
      <c r="K439">
        <v>1</v>
      </c>
      <c r="L439">
        <v>0</v>
      </c>
      <c r="M439" t="str" cm="1">
        <f t="array" ref="M439">_xlfn.IFS(
   OR($F439="Pagar", $F439="Pintu Gerbang", $F439="Pintu Handerson", $F439="Kanopi"), "PER-M2",
   $F439="Teralis", "PER-LUBANG",
   OR($F439="Railing", $F439="Railing/Balkon"), "PER-M",
   TRUE, ""
)</f>
        <v>PER-M2</v>
      </c>
      <c r="N439" cm="1">
        <f t="array" ref="N439">IF($M439="PER-M2",
  IFERROR(
     _xlfn.IFS(
        $G439="Hollow",
            INDEX('Referensi Harga'!$C:$C,
                  MATCH($F439&amp;$C439,'Referensi Harga'!$A:$A&amp;'Referensi Harga'!$B:$B,0)),
        $G439="Hollow Stainless",
            INDEX('Referensi Harga'!$D:$D,
                  MATCH($F439&amp;$C439,'Referensi Harga'!$A:$A&amp;'Referensi Harga'!$B:$B,0)),
        $G439="Pipa Stainless",
            INDEX('Referensi Harga'!$E:$E,
                  MATCH($F439&amp;$C439,'Referensi Harga'!$A:$A&amp;'Referensi Harga'!$B:$B,0))
     ),0)
  + IFERROR(VLOOKUP($H439,'Profile Size'!$A:$B,2,FALSE),0)
  + IFERROR(VLOOKUP($I439,'Ketebalan Material'!$A:$B,2,FALSE),0),
0)</f>
        <v>650000</v>
      </c>
      <c r="O439">
        <f>IF($M439="PER-M",
  IFERROR(
    IF($G439="Hollow",
       INDEX('Referensi Harga'!$C:$C, MATCH($F439 &amp; "|" &amp; $C439, 'Referensi Harga'!$F:$F, 0)),
    IF($G439="Hollow Stainless",
       INDEX('Referensi Harga'!$D:$D, MATCH($F439 &amp; "|" &amp; $C439, 'Referensi Harga'!$F:$F, 0)),
       INDEX('Referensi Harga'!$E:$E, MATCH($F439 &amp; "|" &amp; $C439, 'Referensi Harga'!$F:$F, 0))
    ))
    + IFERROR(VLOOKUP($H439, 'Profile Size'!$A:$B, 2, FALSE), 0)
    + IFERROR(VLOOKUP($I439, 'Ketebalan Material'!$A:$B, 2, FALSE), 0), 0),
0)</f>
        <v>0</v>
      </c>
      <c r="P439" cm="1">
        <f t="array" ref="P439">IF($M439="PER-LUBANG",
  IFERROR(
     _xlfn.IFS(
        $G439="Hollow",
            INDEX('Referensi Harga'!$C:$C,
                  MATCH($F439&amp;$C439,'Referensi Harga'!$A:$A&amp;'Referensi Harga'!$B:$B,0)),
        $G439="Hollow Stainless",
            INDEX('Referensi Harga'!$D:$D,
                  MATCH($F439&amp;$C439,'Referensi Harga'!$A:$A&amp;'Referensi Harga'!$B:$B,0)),
        $G439="Pipa Stainless",
            INDEX('Referensi Harga'!$E:$E,
                  MATCH($F439&amp;$C439,'Referensi Harga'!$A:$A&amp;'Referensi Harga'!$B:$B,0))
     ),0)
  + IFERROR(VLOOKUP($H439,'Profile Size'!$A:$B,2,FALSE),0)
  + IFERROR(VLOOKUP($I439,'Ketebalan Material'!$A:$B,2,FALSE),0),
0)</f>
        <v>0</v>
      </c>
      <c r="Q439">
        <f>IF($M439="PER-M2",
    IFERROR(
        SUMIFS('Upah Tenaga Ahli'!$C:$C,
               'Upah Tenaga Ahli'!$A:$A,"PER-M2",
               'Upah Tenaga Ahli'!$B:$B,$G439
        ) * $J439 * $K439,
    0),
IF($M439="PER-LUBANG",
    IFERROR(
        SUMIFS('Upah Tenaga Ahli'!$D:$D,
               'Upah Tenaga Ahli'!$A:$A,"PER-LUBANG",
               'Upah Tenaga Ahli'!$B:$B,$G439
        ) * $L439 * $K439,
    0),
IF($M439="PER-M",
    IFERROR(
        SUMIFS('Upah Tenaga Ahli'!$E:$E,
               'Upah Tenaga Ahli'!$A:$A,"PER-M",
               'Upah Tenaga Ahli'!$B:$B,$G439
        ) * $J439 * $K439,
    0),
0)))</f>
        <v>1428000</v>
      </c>
      <c r="R439" t="s">
        <v>20</v>
      </c>
      <c r="S439" t="s">
        <v>24</v>
      </c>
      <c r="T439">
        <f>IF($M439="PER-M2",
   ($N439 * $J439 * $K439)
   + IFERROR(VLOOKUP($R439,Finishing!A:B,2,FALSE),0)
   + IFERROR(VLOOKUP($S439,Kerumitan!A:B,2,FALSE),0),
IF($M439="PER-LUBANG",
   ($P439 * $L439 * $K439)
   + IFERROR(VLOOKUP($R439,Finishing!A:B,2,FALSE),0)
   + IFERROR(VLOOKUP($S439,Kerumitan!A:B,2,FALSE),0),
IF($M439="PER-M",
   ($O439 * $J439 * $K439)
   + IFERROR(VLOOKUP($R439,Finishing!A:B,2,FALSE),0)
   + IFERROR(VLOOKUP($S439,Kerumitan!A:B,2,FALSE),0),
0)))</f>
        <v>9532000</v>
      </c>
    </row>
    <row r="440" spans="1:20" x14ac:dyDescent="0.45">
      <c r="A440" t="s">
        <v>537</v>
      </c>
      <c r="B440" s="5">
        <v>45231</v>
      </c>
      <c r="C440">
        <f t="shared" si="6"/>
        <v>2023</v>
      </c>
      <c r="D440" t="s">
        <v>288</v>
      </c>
      <c r="E440" t="s">
        <v>32</v>
      </c>
      <c r="F440" t="s">
        <v>7</v>
      </c>
      <c r="G440" t="s">
        <v>14</v>
      </c>
      <c r="H440" t="s">
        <v>615</v>
      </c>
      <c r="I440">
        <v>0.8</v>
      </c>
      <c r="J440">
        <v>11.87</v>
      </c>
      <c r="K440">
        <v>1</v>
      </c>
      <c r="L440">
        <v>0</v>
      </c>
      <c r="M440" t="str" cm="1">
        <f t="array" ref="M440">_xlfn.IFS(
   OR($F440="Pagar", $F440="Pintu Gerbang", $F440="Pintu Handerson", $F440="Kanopi"), "PER-M2",
   $F440="Teralis", "PER-LUBANG",
   OR($F440="Railing", $F440="Railing/Balkon"), "PER-M",
   TRUE, ""
)</f>
        <v>PER-M2</v>
      </c>
      <c r="N440" cm="1">
        <f t="array" ref="N440">IF($M440="PER-M2",
  IFERROR(
     _xlfn.IFS(
        $G440="Hollow",
            INDEX('Referensi Harga'!$C:$C,
                  MATCH($F440&amp;$C440,'Referensi Harga'!$A:$A&amp;'Referensi Harga'!$B:$B,0)),
        $G440="Hollow Stainless",
            INDEX('Referensi Harga'!$D:$D,
                  MATCH($F440&amp;$C440,'Referensi Harga'!$A:$A&amp;'Referensi Harga'!$B:$B,0)),
        $G440="Pipa Stainless",
            INDEX('Referensi Harga'!$E:$E,
                  MATCH($F440&amp;$C440,'Referensi Harga'!$A:$A&amp;'Referensi Harga'!$B:$B,0))
     ),0)
  + IFERROR(VLOOKUP($H440,'Profile Size'!$A:$B,2,FALSE),0)
  + IFERROR(VLOOKUP($I440,'Ketebalan Material'!$A:$B,2,FALSE),0),
0)</f>
        <v>1250000</v>
      </c>
      <c r="O440">
        <f>IF($M440="PER-M",
  IFERROR(
    IF($G440="Hollow",
       INDEX('Referensi Harga'!$C:$C, MATCH($F440 &amp; "|" &amp; $C440, 'Referensi Harga'!$F:$F, 0)),
    IF($G440="Hollow Stainless",
       INDEX('Referensi Harga'!$D:$D, MATCH($F440 &amp; "|" &amp; $C440, 'Referensi Harga'!$F:$F, 0)),
       INDEX('Referensi Harga'!$E:$E, MATCH($F440 &amp; "|" &amp; $C440, 'Referensi Harga'!$F:$F, 0))
    ))
    + IFERROR(VLOOKUP($H440, 'Profile Size'!$A:$B, 2, FALSE), 0)
    + IFERROR(VLOOKUP($I440, 'Ketebalan Material'!$A:$B, 2, FALSE), 0), 0),
0)</f>
        <v>0</v>
      </c>
      <c r="P440" cm="1">
        <f t="array" ref="P440">IF($M440="PER-LUBANG",
  IFERROR(
     _xlfn.IFS(
        $G440="Hollow",
            INDEX('Referensi Harga'!$C:$C,
                  MATCH($F440&amp;$C440,'Referensi Harga'!$A:$A&amp;'Referensi Harga'!$B:$B,0)),
        $G440="Hollow Stainless",
            INDEX('Referensi Harga'!$D:$D,
                  MATCH($F440&amp;$C440,'Referensi Harga'!$A:$A&amp;'Referensi Harga'!$B:$B,0)),
        $G440="Pipa Stainless",
            INDEX('Referensi Harga'!$E:$E,
                  MATCH($F440&amp;$C440,'Referensi Harga'!$A:$A&amp;'Referensi Harga'!$B:$B,0))
     ),0)
  + IFERROR(VLOOKUP($H440,'Profile Size'!$A:$B,2,FALSE),0)
  + IFERROR(VLOOKUP($I440,'Ketebalan Material'!$A:$B,2,FALSE),0),
0)</f>
        <v>0</v>
      </c>
      <c r="Q440">
        <f>IF($M440="PER-M2",
    IFERROR(
        SUMIFS('Upah Tenaga Ahli'!$C:$C,
               'Upah Tenaga Ahli'!$A:$A,"PER-M2",
               'Upah Tenaga Ahli'!$B:$B,$G440
        ) * $J440 * $K440,
    0),
IF($M440="PER-LUBANG",
    IFERROR(
        SUMIFS('Upah Tenaga Ahli'!$D:$D,
               'Upah Tenaga Ahli'!$A:$A,"PER-LUBANG",
               'Upah Tenaga Ahli'!$B:$B,$G440
        ) * $L440 * $K440,
    0),
IF($M440="PER-M",
    IFERROR(
        SUMIFS('Upah Tenaga Ahli'!$E:$E,
               'Upah Tenaga Ahli'!$A:$A,"PER-M",
               'Upah Tenaga Ahli'!$B:$B,$G440
        ) * $J440 * $K440,
    0),
0)))</f>
        <v>2374000</v>
      </c>
      <c r="R440" t="s">
        <v>617</v>
      </c>
      <c r="S440" t="s">
        <v>24</v>
      </c>
      <c r="T440">
        <f>IF($M440="PER-M2",
   ($N440 * $J440 * $K440)
   + IFERROR(VLOOKUP($R440,Finishing!A:B,2,FALSE),0)
   + IFERROR(VLOOKUP($S440,Kerumitan!A:B,2,FALSE),0),
IF($M440="PER-LUBANG",
   ($P440 * $L440 * $K440)
   + IFERROR(VLOOKUP($R440,Finishing!A:B,2,FALSE),0)
   + IFERROR(VLOOKUP($S440,Kerumitan!A:B,2,FALSE),0),
IF($M440="PER-M",
   ($O440 * $J440 * $K440)
   + IFERROR(VLOOKUP($R440,Finishing!A:B,2,FALSE),0)
   + IFERROR(VLOOKUP($S440,Kerumitan!A:B,2,FALSE),0),
0)))</f>
        <v>14937499.999999998</v>
      </c>
    </row>
    <row r="441" spans="1:20" x14ac:dyDescent="0.45">
      <c r="A441" t="s">
        <v>538</v>
      </c>
      <c r="B441" s="5">
        <v>44568</v>
      </c>
      <c r="C441">
        <f t="shared" si="6"/>
        <v>2022</v>
      </c>
      <c r="D441" t="s">
        <v>68</v>
      </c>
      <c r="E441" t="s">
        <v>44</v>
      </c>
      <c r="F441" t="s">
        <v>10</v>
      </c>
      <c r="G441" t="s">
        <v>14</v>
      </c>
      <c r="H441" t="s">
        <v>615</v>
      </c>
      <c r="I441">
        <v>0.8</v>
      </c>
      <c r="J441">
        <v>2.2999999999999998</v>
      </c>
      <c r="K441">
        <v>1</v>
      </c>
      <c r="L441">
        <v>0</v>
      </c>
      <c r="M441" t="str" cm="1">
        <f t="array" ref="M441">_xlfn.IFS(
   OR($F441="Pagar", $F441="Pintu Gerbang", $F441="Pintu Handerson", $F441="Kanopi"), "PER-M2",
   $F441="Teralis", "PER-LUBANG",
   OR($F441="Railing", $F441="Railing/Balkon"), "PER-M",
   TRUE, ""
)</f>
        <v>PER-M2</v>
      </c>
      <c r="N441" cm="1">
        <f t="array" ref="N441">IF($M441="PER-M2",
  IFERROR(
     _xlfn.IFS(
        $G441="Hollow",
            INDEX('Referensi Harga'!$C:$C,
                  MATCH($F441&amp;$C441,'Referensi Harga'!$A:$A&amp;'Referensi Harga'!$B:$B,0)),
        $G441="Hollow Stainless",
            INDEX('Referensi Harga'!$D:$D,
                  MATCH($F441&amp;$C441,'Referensi Harga'!$A:$A&amp;'Referensi Harga'!$B:$B,0)),
        $G441="Pipa Stainless",
            INDEX('Referensi Harga'!$E:$E,
                  MATCH($F441&amp;$C441,'Referensi Harga'!$A:$A&amp;'Referensi Harga'!$B:$B,0))
     ),0)
  + IFERROR(VLOOKUP($H441,'Profile Size'!$A:$B,2,FALSE),0)
  + IFERROR(VLOOKUP($I441,'Ketebalan Material'!$A:$B,2,FALSE),0),
0)</f>
        <v>1450000</v>
      </c>
      <c r="O441">
        <f>IF($M441="PER-M",
  IFERROR(
    IF($G441="Hollow",
       INDEX('Referensi Harga'!$C:$C, MATCH($F441 &amp; "|" &amp; $C441, 'Referensi Harga'!$F:$F, 0)),
    IF($G441="Hollow Stainless",
       INDEX('Referensi Harga'!$D:$D, MATCH($F441 &amp; "|" &amp; $C441, 'Referensi Harga'!$F:$F, 0)),
       INDEX('Referensi Harga'!$E:$E, MATCH($F441 &amp; "|" &amp; $C441, 'Referensi Harga'!$F:$F, 0))
    ))
    + IFERROR(VLOOKUP($H441, 'Profile Size'!$A:$B, 2, FALSE), 0)
    + IFERROR(VLOOKUP($I441, 'Ketebalan Material'!$A:$B, 2, FALSE), 0), 0),
0)</f>
        <v>0</v>
      </c>
      <c r="P441" cm="1">
        <f t="array" ref="P441">IF($M441="PER-LUBANG",
  IFERROR(
     _xlfn.IFS(
        $G441="Hollow",
            INDEX('Referensi Harga'!$C:$C,
                  MATCH($F441&amp;$C441,'Referensi Harga'!$A:$A&amp;'Referensi Harga'!$B:$B,0)),
        $G441="Hollow Stainless",
            INDEX('Referensi Harga'!$D:$D,
                  MATCH($F441&amp;$C441,'Referensi Harga'!$A:$A&amp;'Referensi Harga'!$B:$B,0)),
        $G441="Pipa Stainless",
            INDEX('Referensi Harga'!$E:$E,
                  MATCH($F441&amp;$C441,'Referensi Harga'!$A:$A&amp;'Referensi Harga'!$B:$B,0))
     ),0)
  + IFERROR(VLOOKUP($H441,'Profile Size'!$A:$B,2,FALSE),0)
  + IFERROR(VLOOKUP($I441,'Ketebalan Material'!$A:$B,2,FALSE),0),
0)</f>
        <v>0</v>
      </c>
      <c r="Q441">
        <f>IF($M441="PER-M2",
    IFERROR(
        SUMIFS('Upah Tenaga Ahli'!$C:$C,
               'Upah Tenaga Ahli'!$A:$A,"PER-M2",
               'Upah Tenaga Ahli'!$B:$B,$G441
        ) * $J441 * $K441,
    0),
IF($M441="PER-LUBANG",
    IFERROR(
        SUMIFS('Upah Tenaga Ahli'!$D:$D,
               'Upah Tenaga Ahli'!$A:$A,"PER-LUBANG",
               'Upah Tenaga Ahli'!$B:$B,$G441
        ) * $L441 * $K441,
    0),
IF($M441="PER-M",
    IFERROR(
        SUMIFS('Upah Tenaga Ahli'!$E:$E,
               'Upah Tenaga Ahli'!$A:$A,"PER-M",
               'Upah Tenaga Ahli'!$B:$B,$G441
        ) * $J441 * $K441,
    0),
0)))</f>
        <v>459999.99999999994</v>
      </c>
      <c r="R441" t="s">
        <v>617</v>
      </c>
      <c r="S441" t="s">
        <v>23</v>
      </c>
      <c r="T441">
        <f>IF($M441="PER-M2",
   ($N441 * $J441 * $K441)
   + IFERROR(VLOOKUP($R441,Finishing!A:B,2,FALSE),0)
   + IFERROR(VLOOKUP($S441,Kerumitan!A:B,2,FALSE),0),
IF($M441="PER-LUBANG",
   ($P441 * $L441 * $K441)
   + IFERROR(VLOOKUP($R441,Finishing!A:B,2,FALSE),0)
   + IFERROR(VLOOKUP($S441,Kerumitan!A:B,2,FALSE),0),
IF($M441="PER-M",
   ($O441 * $J441 * $K441)
   + IFERROR(VLOOKUP($R441,Finishing!A:B,2,FALSE),0)
   + IFERROR(VLOOKUP($S441,Kerumitan!A:B,2,FALSE),0),
0)))</f>
        <v>3334999.9999999995</v>
      </c>
    </row>
    <row r="442" spans="1:20" x14ac:dyDescent="0.45">
      <c r="A442" t="s">
        <v>539</v>
      </c>
      <c r="B442" s="5">
        <v>44474</v>
      </c>
      <c r="C442">
        <f t="shared" si="6"/>
        <v>2021</v>
      </c>
      <c r="D442" t="s">
        <v>86</v>
      </c>
      <c r="E442" t="s">
        <v>57</v>
      </c>
      <c r="F442" t="s">
        <v>4</v>
      </c>
      <c r="G442" t="s">
        <v>14</v>
      </c>
      <c r="H442" t="s">
        <v>614</v>
      </c>
      <c r="I442">
        <v>1</v>
      </c>
      <c r="J442">
        <v>16.28</v>
      </c>
      <c r="K442">
        <v>1</v>
      </c>
      <c r="L442">
        <v>0</v>
      </c>
      <c r="M442" t="str" cm="1">
        <f t="array" ref="M442">_xlfn.IFS(
   OR($F442="Pagar", $F442="Pintu Gerbang", $F442="Pintu Handerson", $F442="Kanopi"), "PER-M2",
   $F442="Teralis", "PER-LUBANG",
   OR($F442="Railing", $F442="Railing/Balkon"), "PER-M",
   TRUE, ""
)</f>
        <v>PER-M2</v>
      </c>
      <c r="N442" cm="1">
        <f t="array" ref="N442">IF($M442="PER-M2",
  IFERROR(
     _xlfn.IFS(
        $G442="Hollow",
            INDEX('Referensi Harga'!$C:$C,
                  MATCH($F442&amp;$C442,'Referensi Harga'!$A:$A&amp;'Referensi Harga'!$B:$B,0)),
        $G442="Hollow Stainless",
            INDEX('Referensi Harga'!$D:$D,
                  MATCH($F442&amp;$C442,'Referensi Harga'!$A:$A&amp;'Referensi Harga'!$B:$B,0)),
        $G442="Pipa Stainless",
            INDEX('Referensi Harga'!$E:$E,
                  MATCH($F442&amp;$C442,'Referensi Harga'!$A:$A&amp;'Referensi Harga'!$B:$B,0))
     ),0)
  + IFERROR(VLOOKUP($H442,'Profile Size'!$A:$B,2,FALSE),0)
  + IFERROR(VLOOKUP($I442,'Ketebalan Material'!$A:$B,2,FALSE),0),
0)</f>
        <v>950000</v>
      </c>
      <c r="O442">
        <f>IF($M442="PER-M",
  IFERROR(
    IF($G442="Hollow",
       INDEX('Referensi Harga'!$C:$C, MATCH($F442 &amp; "|" &amp; $C442, 'Referensi Harga'!$F:$F, 0)),
    IF($G442="Hollow Stainless",
       INDEX('Referensi Harga'!$D:$D, MATCH($F442 &amp; "|" &amp; $C442, 'Referensi Harga'!$F:$F, 0)),
       INDEX('Referensi Harga'!$E:$E, MATCH($F442 &amp; "|" &amp; $C442, 'Referensi Harga'!$F:$F, 0))
    ))
    + IFERROR(VLOOKUP($H442, 'Profile Size'!$A:$B, 2, FALSE), 0)
    + IFERROR(VLOOKUP($I442, 'Ketebalan Material'!$A:$B, 2, FALSE), 0), 0),
0)</f>
        <v>0</v>
      </c>
      <c r="P442" cm="1">
        <f t="array" ref="P442">IF($M442="PER-LUBANG",
  IFERROR(
     _xlfn.IFS(
        $G442="Hollow",
            INDEX('Referensi Harga'!$C:$C,
                  MATCH($F442&amp;$C442,'Referensi Harga'!$A:$A&amp;'Referensi Harga'!$B:$B,0)),
        $G442="Hollow Stainless",
            INDEX('Referensi Harga'!$D:$D,
                  MATCH($F442&amp;$C442,'Referensi Harga'!$A:$A&amp;'Referensi Harga'!$B:$B,0)),
        $G442="Pipa Stainless",
            INDEX('Referensi Harga'!$E:$E,
                  MATCH($F442&amp;$C442,'Referensi Harga'!$A:$A&amp;'Referensi Harga'!$B:$B,0))
     ),0)
  + IFERROR(VLOOKUP($H442,'Profile Size'!$A:$B,2,FALSE),0)
  + IFERROR(VLOOKUP($I442,'Ketebalan Material'!$A:$B,2,FALSE),0),
0)</f>
        <v>0</v>
      </c>
      <c r="Q442">
        <f>IF($M442="PER-M2",
    IFERROR(
        SUMIFS('Upah Tenaga Ahli'!$C:$C,
               'Upah Tenaga Ahli'!$A:$A,"PER-M2",
               'Upah Tenaga Ahli'!$B:$B,$G442
        ) * $J442 * $K442,
    0),
IF($M442="PER-LUBANG",
    IFERROR(
        SUMIFS('Upah Tenaga Ahli'!$D:$D,
               'Upah Tenaga Ahli'!$A:$A,"PER-LUBANG",
               'Upah Tenaga Ahli'!$B:$B,$G442
        ) * $L442 * $K442,
    0),
IF($M442="PER-M",
    IFERROR(
        SUMIFS('Upah Tenaga Ahli'!$E:$E,
               'Upah Tenaga Ahli'!$A:$A,"PER-M",
               'Upah Tenaga Ahli'!$B:$B,$G442
        ) * $J442 * $K442,
    0),
0)))</f>
        <v>3256000</v>
      </c>
      <c r="R442" t="s">
        <v>617</v>
      </c>
      <c r="S442" t="s">
        <v>23</v>
      </c>
      <c r="T442">
        <f>IF($M442="PER-M2",
   ($N442 * $J442 * $K442)
   + IFERROR(VLOOKUP($R442,Finishing!A:B,2,FALSE),0)
   + IFERROR(VLOOKUP($S442,Kerumitan!A:B,2,FALSE),0),
IF($M442="PER-LUBANG",
   ($P442 * $L442 * $K442)
   + IFERROR(VLOOKUP($R442,Finishing!A:B,2,FALSE),0)
   + IFERROR(VLOOKUP($S442,Kerumitan!A:B,2,FALSE),0),
IF($M442="PER-M",
   ($O442 * $J442 * $K442)
   + IFERROR(VLOOKUP($R442,Finishing!A:B,2,FALSE),0)
   + IFERROR(VLOOKUP($S442,Kerumitan!A:B,2,FALSE),0),
0)))</f>
        <v>15466000.000000002</v>
      </c>
    </row>
    <row r="443" spans="1:20" x14ac:dyDescent="0.45">
      <c r="A443" t="s">
        <v>540</v>
      </c>
      <c r="B443" s="5">
        <v>45879</v>
      </c>
      <c r="C443">
        <f t="shared" si="6"/>
        <v>2025</v>
      </c>
      <c r="D443" t="s">
        <v>169</v>
      </c>
      <c r="E443" t="s">
        <v>121</v>
      </c>
      <c r="F443" t="s">
        <v>10</v>
      </c>
      <c r="G443" t="s">
        <v>13</v>
      </c>
      <c r="H443" t="s">
        <v>46</v>
      </c>
      <c r="I443">
        <v>1</v>
      </c>
      <c r="J443">
        <v>4.37</v>
      </c>
      <c r="K443">
        <v>2</v>
      </c>
      <c r="L443">
        <v>0</v>
      </c>
      <c r="M443" t="str" cm="1">
        <f t="array" ref="M443">_xlfn.IFS(
   OR($F443="Pagar", $F443="Pintu Gerbang", $F443="Pintu Handerson", $F443="Kanopi"), "PER-M2",
   $F443="Teralis", "PER-LUBANG",
   OR($F443="Railing", $F443="Railing/Balkon"), "PER-M",
   TRUE, ""
)</f>
        <v>PER-M2</v>
      </c>
      <c r="N443" cm="1">
        <f t="array" ref="N443">IF($M443="PER-M2",
  IFERROR(
     _xlfn.IFS(
        $G443="Hollow",
            INDEX('Referensi Harga'!$C:$C,
                  MATCH($F443&amp;$C443,'Referensi Harga'!$A:$A&amp;'Referensi Harga'!$B:$B,0)),
        $G443="Hollow Stainless",
            INDEX('Referensi Harga'!$D:$D,
                  MATCH($F443&amp;$C443,'Referensi Harga'!$A:$A&amp;'Referensi Harga'!$B:$B,0)),
        $G443="Pipa Stainless",
            INDEX('Referensi Harga'!$E:$E,
                  MATCH($F443&amp;$C443,'Referensi Harga'!$A:$A&amp;'Referensi Harga'!$B:$B,0))
     ),0)
  + IFERROR(VLOOKUP($H443,'Profile Size'!$A:$B,2,FALSE),0)
  + IFERROR(VLOOKUP($I443,'Ketebalan Material'!$A:$B,2,FALSE),0),
0)</f>
        <v>1000000</v>
      </c>
      <c r="O443">
        <f>IF($M443="PER-M",
  IFERROR(
    IF($G443="Hollow",
       INDEX('Referensi Harga'!$C:$C, MATCH($F443 &amp; "|" &amp; $C443, 'Referensi Harga'!$F:$F, 0)),
    IF($G443="Hollow Stainless",
       INDEX('Referensi Harga'!$D:$D, MATCH($F443 &amp; "|" &amp; $C443, 'Referensi Harga'!$F:$F, 0)),
       INDEX('Referensi Harga'!$E:$E, MATCH($F443 &amp; "|" &amp; $C443, 'Referensi Harga'!$F:$F, 0))
    ))
    + IFERROR(VLOOKUP($H443, 'Profile Size'!$A:$B, 2, FALSE), 0)
    + IFERROR(VLOOKUP($I443, 'Ketebalan Material'!$A:$B, 2, FALSE), 0), 0),
0)</f>
        <v>0</v>
      </c>
      <c r="P443" cm="1">
        <f t="array" ref="P443">IF($M443="PER-LUBANG",
  IFERROR(
     _xlfn.IFS(
        $G443="Hollow",
            INDEX('Referensi Harga'!$C:$C,
                  MATCH($F443&amp;$C443,'Referensi Harga'!$A:$A&amp;'Referensi Harga'!$B:$B,0)),
        $G443="Hollow Stainless",
            INDEX('Referensi Harga'!$D:$D,
                  MATCH($F443&amp;$C443,'Referensi Harga'!$A:$A&amp;'Referensi Harga'!$B:$B,0)),
        $G443="Pipa Stainless",
            INDEX('Referensi Harga'!$E:$E,
                  MATCH($F443&amp;$C443,'Referensi Harga'!$A:$A&amp;'Referensi Harga'!$B:$B,0))
     ),0)
  + IFERROR(VLOOKUP($H443,'Profile Size'!$A:$B,2,FALSE),0)
  + IFERROR(VLOOKUP($I443,'Ketebalan Material'!$A:$B,2,FALSE),0),
0)</f>
        <v>0</v>
      </c>
      <c r="Q443">
        <f>IF($M443="PER-M2",
    IFERROR(
        SUMIFS('Upah Tenaga Ahli'!$C:$C,
               'Upah Tenaga Ahli'!$A:$A,"PER-M2",
               'Upah Tenaga Ahli'!$B:$B,$G443
        ) * $J443 * $K443,
    0),
IF($M443="PER-LUBANG",
    IFERROR(
        SUMIFS('Upah Tenaga Ahli'!$D:$D,
               'Upah Tenaga Ahli'!$A:$A,"PER-LUBANG",
               'Upah Tenaga Ahli'!$B:$B,$G443
        ) * $L443 * $K443,
    0),
IF($M443="PER-M",
    IFERROR(
        SUMIFS('Upah Tenaga Ahli'!$E:$E,
               'Upah Tenaga Ahli'!$A:$A,"PER-M",
               'Upah Tenaga Ahli'!$B:$B,$G443
        ) * $J443 * $K443,
    0),
0)))</f>
        <v>874000</v>
      </c>
      <c r="R443" t="s">
        <v>18</v>
      </c>
      <c r="S443" t="s">
        <v>23</v>
      </c>
      <c r="T443">
        <f>IF($M443="PER-M2",
   ($N443 * $J443 * $K443)
   + IFERROR(VLOOKUP($R443,Finishing!A:B,2,FALSE),0)
   + IFERROR(VLOOKUP($S443,Kerumitan!A:B,2,FALSE),0),
IF($M443="PER-LUBANG",
   ($P443 * $L443 * $K443)
   + IFERROR(VLOOKUP($R443,Finishing!A:B,2,FALSE),0)
   + IFERROR(VLOOKUP($S443,Kerumitan!A:B,2,FALSE),0),
IF($M443="PER-M",
   ($O443 * $J443 * $K443)
   + IFERROR(VLOOKUP($R443,Finishing!A:B,2,FALSE),0)
   + IFERROR(VLOOKUP($S443,Kerumitan!A:B,2,FALSE),0),
0)))</f>
        <v>8740000</v>
      </c>
    </row>
    <row r="444" spans="1:20" x14ac:dyDescent="0.45">
      <c r="A444" t="s">
        <v>541</v>
      </c>
      <c r="B444" s="5">
        <v>44546</v>
      </c>
      <c r="C444">
        <f t="shared" si="6"/>
        <v>2021</v>
      </c>
      <c r="D444" t="s">
        <v>285</v>
      </c>
      <c r="E444" t="s">
        <v>87</v>
      </c>
      <c r="F444" t="s">
        <v>6</v>
      </c>
      <c r="G444" t="s">
        <v>13</v>
      </c>
      <c r="H444" t="s">
        <v>46</v>
      </c>
      <c r="I444">
        <v>1</v>
      </c>
      <c r="J444">
        <v>20.059999999999999</v>
      </c>
      <c r="K444">
        <v>1</v>
      </c>
      <c r="L444">
        <v>0</v>
      </c>
      <c r="M444" t="str" cm="1">
        <f t="array" ref="M444">_xlfn.IFS(
   OR($F444="Pagar", $F444="Pintu Gerbang", $F444="Pintu Handerson", $F444="Kanopi"), "PER-M2",
   $F444="Teralis", "PER-LUBANG",
   OR($F444="Railing", $F444="Railing/Balkon"), "PER-M",
   TRUE, ""
)</f>
        <v>PER-M2</v>
      </c>
      <c r="N444" cm="1">
        <f t="array" ref="N444">IF($M444="PER-M2",
  IFERROR(
     _xlfn.IFS(
        $G444="Hollow",
            INDEX('Referensi Harga'!$C:$C,
                  MATCH($F444&amp;$C444,'Referensi Harga'!$A:$A&amp;'Referensi Harga'!$B:$B,0)),
        $G444="Hollow Stainless",
            INDEX('Referensi Harga'!$D:$D,
                  MATCH($F444&amp;$C444,'Referensi Harga'!$A:$A&amp;'Referensi Harga'!$B:$B,0)),
        $G444="Pipa Stainless",
            INDEX('Referensi Harga'!$E:$E,
                  MATCH($F444&amp;$C444,'Referensi Harga'!$A:$A&amp;'Referensi Harga'!$B:$B,0))
     ),0)
  + IFERROR(VLOOKUP($H444,'Profile Size'!$A:$B,2,FALSE),0)
  + IFERROR(VLOOKUP($I444,'Ketebalan Material'!$A:$B,2,FALSE),0),
0)</f>
        <v>450000</v>
      </c>
      <c r="O444">
        <f>IF($M444="PER-M",
  IFERROR(
    IF($G444="Hollow",
       INDEX('Referensi Harga'!$C:$C, MATCH($F444 &amp; "|" &amp; $C444, 'Referensi Harga'!$F:$F, 0)),
    IF($G444="Hollow Stainless",
       INDEX('Referensi Harga'!$D:$D, MATCH($F444 &amp; "|" &amp; $C444, 'Referensi Harga'!$F:$F, 0)),
       INDEX('Referensi Harga'!$E:$E, MATCH($F444 &amp; "|" &amp; $C444, 'Referensi Harga'!$F:$F, 0))
    ))
    + IFERROR(VLOOKUP($H444, 'Profile Size'!$A:$B, 2, FALSE), 0)
    + IFERROR(VLOOKUP($I444, 'Ketebalan Material'!$A:$B, 2, FALSE), 0), 0),
0)</f>
        <v>0</v>
      </c>
      <c r="P444" cm="1">
        <f t="array" ref="P444">IF($M444="PER-LUBANG",
  IFERROR(
     _xlfn.IFS(
        $G444="Hollow",
            INDEX('Referensi Harga'!$C:$C,
                  MATCH($F444&amp;$C444,'Referensi Harga'!$A:$A&amp;'Referensi Harga'!$B:$B,0)),
        $G444="Hollow Stainless",
            INDEX('Referensi Harga'!$D:$D,
                  MATCH($F444&amp;$C444,'Referensi Harga'!$A:$A&amp;'Referensi Harga'!$B:$B,0)),
        $G444="Pipa Stainless",
            INDEX('Referensi Harga'!$E:$E,
                  MATCH($F444&amp;$C444,'Referensi Harga'!$A:$A&amp;'Referensi Harga'!$B:$B,0))
     ),0)
  + IFERROR(VLOOKUP($H444,'Profile Size'!$A:$B,2,FALSE),0)
  + IFERROR(VLOOKUP($I444,'Ketebalan Material'!$A:$B,2,FALSE),0),
0)</f>
        <v>0</v>
      </c>
      <c r="Q444">
        <f>IF($M444="PER-M2",
    IFERROR(
        SUMIFS('Upah Tenaga Ahli'!$C:$C,
               'Upah Tenaga Ahli'!$A:$A,"PER-M2",
               'Upah Tenaga Ahli'!$B:$B,$G444
        ) * $J444 * $K444,
    0),
IF($M444="PER-LUBANG",
    IFERROR(
        SUMIFS('Upah Tenaga Ahli'!$D:$D,
               'Upah Tenaga Ahli'!$A:$A,"PER-LUBANG",
               'Upah Tenaga Ahli'!$B:$B,$G444
        ) * $L444 * $K444,
    0),
IF($M444="PER-M",
    IFERROR(
        SUMIFS('Upah Tenaga Ahli'!$E:$E,
               'Upah Tenaga Ahli'!$A:$A,"PER-M",
               'Upah Tenaga Ahli'!$B:$B,$G444
        ) * $J444 * $K444,
    0),
0)))</f>
        <v>2005999.9999999998</v>
      </c>
      <c r="R444" t="s">
        <v>19</v>
      </c>
      <c r="S444" t="s">
        <v>23</v>
      </c>
      <c r="T444">
        <f>IF($M444="PER-M2",
   ($N444 * $J444 * $K444)
   + IFERROR(VLOOKUP($R444,Finishing!A:B,2,FALSE),0)
   + IFERROR(VLOOKUP($S444,Kerumitan!A:B,2,FALSE),0),
IF($M444="PER-LUBANG",
   ($P444 * $L444 * $K444)
   + IFERROR(VLOOKUP($R444,Finishing!A:B,2,FALSE),0)
   + IFERROR(VLOOKUP($S444,Kerumitan!A:B,2,FALSE),0),
IF($M444="PER-M",
   ($O444 * $J444 * $K444)
   + IFERROR(VLOOKUP($R444,Finishing!A:B,2,FALSE),0)
   + IFERROR(VLOOKUP($S444,Kerumitan!A:B,2,FALSE),0),
0)))</f>
        <v>9077000</v>
      </c>
    </row>
    <row r="445" spans="1:20" x14ac:dyDescent="0.45">
      <c r="A445" t="s">
        <v>542</v>
      </c>
      <c r="B445" s="5">
        <v>44765</v>
      </c>
      <c r="C445">
        <f t="shared" si="6"/>
        <v>2022</v>
      </c>
      <c r="D445" t="s">
        <v>296</v>
      </c>
      <c r="E445" t="s">
        <v>38</v>
      </c>
      <c r="F445" t="s">
        <v>7</v>
      </c>
      <c r="G445" t="s">
        <v>13</v>
      </c>
      <c r="H445" t="s">
        <v>33</v>
      </c>
      <c r="I445">
        <v>0.8</v>
      </c>
      <c r="J445">
        <v>12.17</v>
      </c>
      <c r="K445">
        <v>1</v>
      </c>
      <c r="L445">
        <v>0</v>
      </c>
      <c r="M445" t="str" cm="1">
        <f t="array" ref="M445">_xlfn.IFS(
   OR($F445="Pagar", $F445="Pintu Gerbang", $F445="Pintu Handerson", $F445="Kanopi"), "PER-M2",
   $F445="Teralis", "PER-LUBANG",
   OR($F445="Railing", $F445="Railing/Balkon"), "PER-M",
   TRUE, ""
)</f>
        <v>PER-M2</v>
      </c>
      <c r="N445" cm="1">
        <f t="array" ref="N445">IF($M445="PER-M2",
  IFERROR(
     _xlfn.IFS(
        $G445="Hollow",
            INDEX('Referensi Harga'!$C:$C,
                  MATCH($F445&amp;$C445,'Referensi Harga'!$A:$A&amp;'Referensi Harga'!$B:$B,0)),
        $G445="Hollow Stainless",
            INDEX('Referensi Harga'!$D:$D,
                  MATCH($F445&amp;$C445,'Referensi Harga'!$A:$A&amp;'Referensi Harga'!$B:$B,0)),
        $G445="Pipa Stainless",
            INDEX('Referensi Harga'!$E:$E,
                  MATCH($F445&amp;$C445,'Referensi Harga'!$A:$A&amp;'Referensi Harga'!$B:$B,0))
     ),0)
  + IFERROR(VLOOKUP($H445,'Profile Size'!$A:$B,2,FALSE),0)
  + IFERROR(VLOOKUP($I445,'Ketebalan Material'!$A:$B,2,FALSE),0),
0)</f>
        <v>650000</v>
      </c>
      <c r="O445">
        <f>IF($M445="PER-M",
  IFERROR(
    IF($G445="Hollow",
       INDEX('Referensi Harga'!$C:$C, MATCH($F445 &amp; "|" &amp; $C445, 'Referensi Harga'!$F:$F, 0)),
    IF($G445="Hollow Stainless",
       INDEX('Referensi Harga'!$D:$D, MATCH($F445 &amp; "|" &amp; $C445, 'Referensi Harga'!$F:$F, 0)),
       INDEX('Referensi Harga'!$E:$E, MATCH($F445 &amp; "|" &amp; $C445, 'Referensi Harga'!$F:$F, 0))
    ))
    + IFERROR(VLOOKUP($H445, 'Profile Size'!$A:$B, 2, FALSE), 0)
    + IFERROR(VLOOKUP($I445, 'Ketebalan Material'!$A:$B, 2, FALSE), 0), 0),
0)</f>
        <v>0</v>
      </c>
      <c r="P445" cm="1">
        <f t="array" ref="P445">IF($M445="PER-LUBANG",
  IFERROR(
     _xlfn.IFS(
        $G445="Hollow",
            INDEX('Referensi Harga'!$C:$C,
                  MATCH($F445&amp;$C445,'Referensi Harga'!$A:$A&amp;'Referensi Harga'!$B:$B,0)),
        $G445="Hollow Stainless",
            INDEX('Referensi Harga'!$D:$D,
                  MATCH($F445&amp;$C445,'Referensi Harga'!$A:$A&amp;'Referensi Harga'!$B:$B,0)),
        $G445="Pipa Stainless",
            INDEX('Referensi Harga'!$E:$E,
                  MATCH($F445&amp;$C445,'Referensi Harga'!$A:$A&amp;'Referensi Harga'!$B:$B,0))
     ),0)
  + IFERROR(VLOOKUP($H445,'Profile Size'!$A:$B,2,FALSE),0)
  + IFERROR(VLOOKUP($I445,'Ketebalan Material'!$A:$B,2,FALSE),0),
0)</f>
        <v>0</v>
      </c>
      <c r="Q445">
        <f>IF($M445="PER-M2",
    IFERROR(
        SUMIFS('Upah Tenaga Ahli'!$C:$C,
               'Upah Tenaga Ahli'!$A:$A,"PER-M2",
               'Upah Tenaga Ahli'!$B:$B,$G445
        ) * $J445 * $K445,
    0),
IF($M445="PER-LUBANG",
    IFERROR(
        SUMIFS('Upah Tenaga Ahli'!$D:$D,
               'Upah Tenaga Ahli'!$A:$A,"PER-LUBANG",
               'Upah Tenaga Ahli'!$B:$B,$G445
        ) * $L445 * $K445,
    0),
IF($M445="PER-M",
    IFERROR(
        SUMIFS('Upah Tenaga Ahli'!$E:$E,
               'Upah Tenaga Ahli'!$A:$A,"PER-M",
               'Upah Tenaga Ahli'!$B:$B,$G445
        ) * $J445 * $K445,
    0),
0)))</f>
        <v>1217000</v>
      </c>
      <c r="R445" t="s">
        <v>19</v>
      </c>
      <c r="S445" t="s">
        <v>23</v>
      </c>
      <c r="T445">
        <f>IF($M445="PER-M2",
   ($N445 * $J445 * $K445)
   + IFERROR(VLOOKUP($R445,Finishing!A:B,2,FALSE),0)
   + IFERROR(VLOOKUP($S445,Kerumitan!A:B,2,FALSE),0),
IF($M445="PER-LUBANG",
   ($P445 * $L445 * $K445)
   + IFERROR(VLOOKUP($R445,Finishing!A:B,2,FALSE),0)
   + IFERROR(VLOOKUP($S445,Kerumitan!A:B,2,FALSE),0),
IF($M445="PER-M",
   ($O445 * $J445 * $K445)
   + IFERROR(VLOOKUP($R445,Finishing!A:B,2,FALSE),0)
   + IFERROR(VLOOKUP($S445,Kerumitan!A:B,2,FALSE),0),
0)))</f>
        <v>7960500</v>
      </c>
    </row>
    <row r="446" spans="1:20" x14ac:dyDescent="0.45">
      <c r="A446" t="s">
        <v>543</v>
      </c>
      <c r="B446" s="5">
        <v>45652</v>
      </c>
      <c r="C446">
        <f t="shared" si="6"/>
        <v>2024</v>
      </c>
      <c r="D446" t="s">
        <v>199</v>
      </c>
      <c r="E446" t="s">
        <v>32</v>
      </c>
      <c r="F446" t="s">
        <v>4</v>
      </c>
      <c r="G446" t="s">
        <v>14</v>
      </c>
      <c r="H446" t="s">
        <v>615</v>
      </c>
      <c r="I446">
        <v>1.2</v>
      </c>
      <c r="J446">
        <v>14.44</v>
      </c>
      <c r="K446">
        <v>1</v>
      </c>
      <c r="L446">
        <v>0</v>
      </c>
      <c r="M446" t="str" cm="1">
        <f t="array" ref="M446">_xlfn.IFS(
   OR($F446="Pagar", $F446="Pintu Gerbang", $F446="Pintu Handerson", $F446="Kanopi"), "PER-M2",
   $F446="Teralis", "PER-LUBANG",
   OR($F446="Railing", $F446="Railing/Balkon"), "PER-M",
   TRUE, ""
)</f>
        <v>PER-M2</v>
      </c>
      <c r="N446" cm="1">
        <f t="array" ref="N446">IF($M446="PER-M2",
  IFERROR(
     _xlfn.IFS(
        $G446="Hollow",
            INDEX('Referensi Harga'!$C:$C,
                  MATCH($F446&amp;$C446,'Referensi Harga'!$A:$A&amp;'Referensi Harga'!$B:$B,0)),
        $G446="Hollow Stainless",
            INDEX('Referensi Harga'!$D:$D,
                  MATCH($F446&amp;$C446,'Referensi Harga'!$A:$A&amp;'Referensi Harga'!$B:$B,0)),
        $G446="Pipa Stainless",
            INDEX('Referensi Harga'!$E:$E,
                  MATCH($F446&amp;$C446,'Referensi Harga'!$A:$A&amp;'Referensi Harga'!$B:$B,0))
     ),0)
  + IFERROR(VLOOKUP($H446,'Profile Size'!$A:$B,2,FALSE),0)
  + IFERROR(VLOOKUP($I446,'Ketebalan Material'!$A:$B,2,FALSE),0),
0)</f>
        <v>1160000</v>
      </c>
      <c r="O446">
        <f>IF($M446="PER-M",
  IFERROR(
    IF($G446="Hollow",
       INDEX('Referensi Harga'!$C:$C, MATCH($F446 &amp; "|" &amp; $C446, 'Referensi Harga'!$F:$F, 0)),
    IF($G446="Hollow Stainless",
       INDEX('Referensi Harga'!$D:$D, MATCH($F446 &amp; "|" &amp; $C446, 'Referensi Harga'!$F:$F, 0)),
       INDEX('Referensi Harga'!$E:$E, MATCH($F446 &amp; "|" &amp; $C446, 'Referensi Harga'!$F:$F, 0))
    ))
    + IFERROR(VLOOKUP($H446, 'Profile Size'!$A:$B, 2, FALSE), 0)
    + IFERROR(VLOOKUP($I446, 'Ketebalan Material'!$A:$B, 2, FALSE), 0), 0),
0)</f>
        <v>0</v>
      </c>
      <c r="P446" cm="1">
        <f t="array" ref="P446">IF($M446="PER-LUBANG",
  IFERROR(
     _xlfn.IFS(
        $G446="Hollow",
            INDEX('Referensi Harga'!$C:$C,
                  MATCH($F446&amp;$C446,'Referensi Harga'!$A:$A&amp;'Referensi Harga'!$B:$B,0)),
        $G446="Hollow Stainless",
            INDEX('Referensi Harga'!$D:$D,
                  MATCH($F446&amp;$C446,'Referensi Harga'!$A:$A&amp;'Referensi Harga'!$B:$B,0)),
        $G446="Pipa Stainless",
            INDEX('Referensi Harga'!$E:$E,
                  MATCH($F446&amp;$C446,'Referensi Harga'!$A:$A&amp;'Referensi Harga'!$B:$B,0))
     ),0)
  + IFERROR(VLOOKUP($H446,'Profile Size'!$A:$B,2,FALSE),0)
  + IFERROR(VLOOKUP($I446,'Ketebalan Material'!$A:$B,2,FALSE),0),
0)</f>
        <v>0</v>
      </c>
      <c r="Q446">
        <f>IF($M446="PER-M2",
    IFERROR(
        SUMIFS('Upah Tenaga Ahli'!$C:$C,
               'Upah Tenaga Ahli'!$A:$A,"PER-M2",
               'Upah Tenaga Ahli'!$B:$B,$G446
        ) * $J446 * $K446,
    0),
IF($M446="PER-LUBANG",
    IFERROR(
        SUMIFS('Upah Tenaga Ahli'!$D:$D,
               'Upah Tenaga Ahli'!$A:$A,"PER-LUBANG",
               'Upah Tenaga Ahli'!$B:$B,$G446
        ) * $L446 * $K446,
    0),
IF($M446="PER-M",
    IFERROR(
        SUMIFS('Upah Tenaga Ahli'!$E:$E,
               'Upah Tenaga Ahli'!$A:$A,"PER-M",
               'Upah Tenaga Ahli'!$B:$B,$G446
        ) * $J446 * $K446,
    0),
0)))</f>
        <v>2888000</v>
      </c>
      <c r="R446" t="s">
        <v>617</v>
      </c>
      <c r="S446" t="s">
        <v>23</v>
      </c>
      <c r="T446">
        <f>IF($M446="PER-M2",
   ($N446 * $J446 * $K446)
   + IFERROR(VLOOKUP($R446,Finishing!A:B,2,FALSE),0)
   + IFERROR(VLOOKUP($S446,Kerumitan!A:B,2,FALSE),0),
IF($M446="PER-LUBANG",
   ($P446 * $L446 * $K446)
   + IFERROR(VLOOKUP($R446,Finishing!A:B,2,FALSE),0)
   + IFERROR(VLOOKUP($S446,Kerumitan!A:B,2,FALSE),0),
IF($M446="PER-M",
   ($O446 * $J446 * $K446)
   + IFERROR(VLOOKUP($R446,Finishing!A:B,2,FALSE),0)
   + IFERROR(VLOOKUP($S446,Kerumitan!A:B,2,FALSE),0),
0)))</f>
        <v>16750400</v>
      </c>
    </row>
    <row r="447" spans="1:20" x14ac:dyDescent="0.45">
      <c r="A447" t="s">
        <v>544</v>
      </c>
      <c r="B447" s="5">
        <v>45265</v>
      </c>
      <c r="C447">
        <f t="shared" si="6"/>
        <v>2023</v>
      </c>
      <c r="D447" t="s">
        <v>83</v>
      </c>
      <c r="E447" t="s">
        <v>105</v>
      </c>
      <c r="F447" t="s">
        <v>6</v>
      </c>
      <c r="G447" t="s">
        <v>13</v>
      </c>
      <c r="H447" t="s">
        <v>35</v>
      </c>
      <c r="I447">
        <v>1</v>
      </c>
      <c r="J447">
        <v>12.26</v>
      </c>
      <c r="K447">
        <v>1</v>
      </c>
      <c r="L447">
        <v>0</v>
      </c>
      <c r="M447" t="str" cm="1">
        <f t="array" ref="M447">_xlfn.IFS(
   OR($F447="Pagar", $F447="Pintu Gerbang", $F447="Pintu Handerson", $F447="Kanopi"), "PER-M2",
   $F447="Teralis", "PER-LUBANG",
   OR($F447="Railing", $F447="Railing/Balkon"), "PER-M",
   TRUE, ""
)</f>
        <v>PER-M2</v>
      </c>
      <c r="N447" cm="1">
        <f t="array" ref="N447">IF($M447="PER-M2",
  IFERROR(
     _xlfn.IFS(
        $G447="Hollow",
            INDEX('Referensi Harga'!$C:$C,
                  MATCH($F447&amp;$C447,'Referensi Harga'!$A:$A&amp;'Referensi Harga'!$B:$B,0)),
        $G447="Hollow Stainless",
            INDEX('Referensi Harga'!$D:$D,
                  MATCH($F447&amp;$C447,'Referensi Harga'!$A:$A&amp;'Referensi Harga'!$B:$B,0)),
        $G447="Pipa Stainless",
            INDEX('Referensi Harga'!$E:$E,
                  MATCH($F447&amp;$C447,'Referensi Harga'!$A:$A&amp;'Referensi Harga'!$B:$B,0))
     ),0)
  + IFERROR(VLOOKUP($H447,'Profile Size'!$A:$B,2,FALSE),0)
  + IFERROR(VLOOKUP($I447,'Ketebalan Material'!$A:$B,2,FALSE),0),
0)</f>
        <v>570000</v>
      </c>
      <c r="O447">
        <f>IF($M447="PER-M",
  IFERROR(
    IF($G447="Hollow",
       INDEX('Referensi Harga'!$C:$C, MATCH($F447 &amp; "|" &amp; $C447, 'Referensi Harga'!$F:$F, 0)),
    IF($G447="Hollow Stainless",
       INDEX('Referensi Harga'!$D:$D, MATCH($F447 &amp; "|" &amp; $C447, 'Referensi Harga'!$F:$F, 0)),
       INDEX('Referensi Harga'!$E:$E, MATCH($F447 &amp; "|" &amp; $C447, 'Referensi Harga'!$F:$F, 0))
    ))
    + IFERROR(VLOOKUP($H447, 'Profile Size'!$A:$B, 2, FALSE), 0)
    + IFERROR(VLOOKUP($I447, 'Ketebalan Material'!$A:$B, 2, FALSE), 0), 0),
0)</f>
        <v>0</v>
      </c>
      <c r="P447" cm="1">
        <f t="array" ref="P447">IF($M447="PER-LUBANG",
  IFERROR(
     _xlfn.IFS(
        $G447="Hollow",
            INDEX('Referensi Harga'!$C:$C,
                  MATCH($F447&amp;$C447,'Referensi Harga'!$A:$A&amp;'Referensi Harga'!$B:$B,0)),
        $G447="Hollow Stainless",
            INDEX('Referensi Harga'!$D:$D,
                  MATCH($F447&amp;$C447,'Referensi Harga'!$A:$A&amp;'Referensi Harga'!$B:$B,0)),
        $G447="Pipa Stainless",
            INDEX('Referensi Harga'!$E:$E,
                  MATCH($F447&amp;$C447,'Referensi Harga'!$A:$A&amp;'Referensi Harga'!$B:$B,0))
     ),0)
  + IFERROR(VLOOKUP($H447,'Profile Size'!$A:$B,2,FALSE),0)
  + IFERROR(VLOOKUP($I447,'Ketebalan Material'!$A:$B,2,FALSE),0),
0)</f>
        <v>0</v>
      </c>
      <c r="Q447">
        <f>IF($M447="PER-M2",
    IFERROR(
        SUMIFS('Upah Tenaga Ahli'!$C:$C,
               'Upah Tenaga Ahli'!$A:$A,"PER-M2",
               'Upah Tenaga Ahli'!$B:$B,$G447
        ) * $J447 * $K447,
    0),
IF($M447="PER-LUBANG",
    IFERROR(
        SUMIFS('Upah Tenaga Ahli'!$D:$D,
               'Upah Tenaga Ahli'!$A:$A,"PER-LUBANG",
               'Upah Tenaga Ahli'!$B:$B,$G447
        ) * $L447 * $K447,
    0),
IF($M447="PER-M",
    IFERROR(
        SUMIFS('Upah Tenaga Ahli'!$E:$E,
               'Upah Tenaga Ahli'!$A:$A,"PER-M",
               'Upah Tenaga Ahli'!$B:$B,$G447
        ) * $J447 * $K447,
    0),
0)))</f>
        <v>1226000</v>
      </c>
      <c r="R447" t="s">
        <v>19</v>
      </c>
      <c r="S447" t="s">
        <v>25</v>
      </c>
      <c r="T447">
        <f>IF($M447="PER-M2",
   ($N447 * $J447 * $K447)
   + IFERROR(VLOOKUP($R447,Finishing!A:B,2,FALSE),0)
   + IFERROR(VLOOKUP($S447,Kerumitan!A:B,2,FALSE),0),
IF($M447="PER-LUBANG",
   ($P447 * $L447 * $K447)
   + IFERROR(VLOOKUP($R447,Finishing!A:B,2,FALSE),0)
   + IFERROR(VLOOKUP($S447,Kerumitan!A:B,2,FALSE),0),
IF($M447="PER-M",
   ($O447 * $J447 * $K447)
   + IFERROR(VLOOKUP($R447,Finishing!A:B,2,FALSE),0)
   + IFERROR(VLOOKUP($S447,Kerumitan!A:B,2,FALSE),0),
0)))</f>
        <v>7188200</v>
      </c>
    </row>
    <row r="448" spans="1:20" x14ac:dyDescent="0.45">
      <c r="A448" t="s">
        <v>545</v>
      </c>
      <c r="B448" s="5">
        <v>44904</v>
      </c>
      <c r="C448">
        <f t="shared" si="6"/>
        <v>2022</v>
      </c>
      <c r="D448" t="s">
        <v>133</v>
      </c>
      <c r="E448" t="s">
        <v>32</v>
      </c>
      <c r="F448" t="s">
        <v>4</v>
      </c>
      <c r="G448" t="s">
        <v>13</v>
      </c>
      <c r="H448" t="s">
        <v>35</v>
      </c>
      <c r="I448">
        <v>0.8</v>
      </c>
      <c r="J448">
        <v>11.46</v>
      </c>
      <c r="K448">
        <v>1</v>
      </c>
      <c r="L448">
        <v>0</v>
      </c>
      <c r="M448" t="str" cm="1">
        <f t="array" ref="M448">_xlfn.IFS(
   OR($F448="Pagar", $F448="Pintu Gerbang", $F448="Pintu Handerson", $F448="Kanopi"), "PER-M2",
   $F448="Teralis", "PER-LUBANG",
   OR($F448="Railing", $F448="Railing/Balkon"), "PER-M",
   TRUE, ""
)</f>
        <v>PER-M2</v>
      </c>
      <c r="N448" cm="1">
        <f t="array" ref="N448">IF($M448="PER-M2",
  IFERROR(
     _xlfn.IFS(
        $G448="Hollow",
            INDEX('Referensi Harga'!$C:$C,
                  MATCH($F448&amp;$C448,'Referensi Harga'!$A:$A&amp;'Referensi Harga'!$B:$B,0)),
        $G448="Hollow Stainless",
            INDEX('Referensi Harga'!$D:$D,
                  MATCH($F448&amp;$C448,'Referensi Harga'!$A:$A&amp;'Referensi Harga'!$B:$B,0)),
        $G448="Pipa Stainless",
            INDEX('Referensi Harga'!$E:$E,
                  MATCH($F448&amp;$C448,'Referensi Harga'!$A:$A&amp;'Referensi Harga'!$B:$B,0))
     ),0)
  + IFERROR(VLOOKUP($H448,'Profile Size'!$A:$B,2,FALSE),0)
  + IFERROR(VLOOKUP($I448,'Ketebalan Material'!$A:$B,2,FALSE),0),
0)</f>
        <v>630000</v>
      </c>
      <c r="O448">
        <f>IF($M448="PER-M",
  IFERROR(
    IF($G448="Hollow",
       INDEX('Referensi Harga'!$C:$C, MATCH($F448 &amp; "|" &amp; $C448, 'Referensi Harga'!$F:$F, 0)),
    IF($G448="Hollow Stainless",
       INDEX('Referensi Harga'!$D:$D, MATCH($F448 &amp; "|" &amp; $C448, 'Referensi Harga'!$F:$F, 0)),
       INDEX('Referensi Harga'!$E:$E, MATCH($F448 &amp; "|" &amp; $C448, 'Referensi Harga'!$F:$F, 0))
    ))
    + IFERROR(VLOOKUP($H448, 'Profile Size'!$A:$B, 2, FALSE), 0)
    + IFERROR(VLOOKUP($I448, 'Ketebalan Material'!$A:$B, 2, FALSE), 0), 0),
0)</f>
        <v>0</v>
      </c>
      <c r="P448" cm="1">
        <f t="array" ref="P448">IF($M448="PER-LUBANG",
  IFERROR(
     _xlfn.IFS(
        $G448="Hollow",
            INDEX('Referensi Harga'!$C:$C,
                  MATCH($F448&amp;$C448,'Referensi Harga'!$A:$A&amp;'Referensi Harga'!$B:$B,0)),
        $G448="Hollow Stainless",
            INDEX('Referensi Harga'!$D:$D,
                  MATCH($F448&amp;$C448,'Referensi Harga'!$A:$A&amp;'Referensi Harga'!$B:$B,0)),
        $G448="Pipa Stainless",
            INDEX('Referensi Harga'!$E:$E,
                  MATCH($F448&amp;$C448,'Referensi Harga'!$A:$A&amp;'Referensi Harga'!$B:$B,0))
     ),0)
  + IFERROR(VLOOKUP($H448,'Profile Size'!$A:$B,2,FALSE),0)
  + IFERROR(VLOOKUP($I448,'Ketebalan Material'!$A:$B,2,FALSE),0),
0)</f>
        <v>0</v>
      </c>
      <c r="Q448">
        <f>IF($M448="PER-M2",
    IFERROR(
        SUMIFS('Upah Tenaga Ahli'!$C:$C,
               'Upah Tenaga Ahli'!$A:$A,"PER-M2",
               'Upah Tenaga Ahli'!$B:$B,$G448
        ) * $J448 * $K448,
    0),
IF($M448="PER-LUBANG",
    IFERROR(
        SUMIFS('Upah Tenaga Ahli'!$D:$D,
               'Upah Tenaga Ahli'!$A:$A,"PER-LUBANG",
               'Upah Tenaga Ahli'!$B:$B,$G448
        ) * $L448 * $K448,
    0),
IF($M448="PER-M",
    IFERROR(
        SUMIFS('Upah Tenaga Ahli'!$E:$E,
               'Upah Tenaga Ahli'!$A:$A,"PER-M",
               'Upah Tenaga Ahli'!$B:$B,$G448
        ) * $J448 * $K448,
    0),
0)))</f>
        <v>1146000</v>
      </c>
      <c r="R448" t="s">
        <v>18</v>
      </c>
      <c r="S448" t="s">
        <v>23</v>
      </c>
      <c r="T448">
        <f>IF($M448="PER-M2",
   ($N448 * $J448 * $K448)
   + IFERROR(VLOOKUP($R448,Finishing!A:B,2,FALSE),0)
   + IFERROR(VLOOKUP($S448,Kerumitan!A:B,2,FALSE),0),
IF($M448="PER-LUBANG",
   ($P448 * $L448 * $K448)
   + IFERROR(VLOOKUP($R448,Finishing!A:B,2,FALSE),0)
   + IFERROR(VLOOKUP($S448,Kerumitan!A:B,2,FALSE),0),
IF($M448="PER-M",
   ($O448 * $J448 * $K448)
   + IFERROR(VLOOKUP($R448,Finishing!A:B,2,FALSE),0)
   + IFERROR(VLOOKUP($S448,Kerumitan!A:B,2,FALSE),0),
0)))</f>
        <v>7219800.0000000009</v>
      </c>
    </row>
    <row r="449" spans="1:20" x14ac:dyDescent="0.45">
      <c r="A449" t="s">
        <v>546</v>
      </c>
      <c r="B449" s="5">
        <v>43880</v>
      </c>
      <c r="C449">
        <f t="shared" si="6"/>
        <v>2020</v>
      </c>
      <c r="D449" t="s">
        <v>81</v>
      </c>
      <c r="E449" t="s">
        <v>108</v>
      </c>
      <c r="F449" t="s">
        <v>8</v>
      </c>
      <c r="G449" t="s">
        <v>15</v>
      </c>
      <c r="H449" t="s">
        <v>612</v>
      </c>
      <c r="I449">
        <v>1.2</v>
      </c>
      <c r="J449">
        <v>0</v>
      </c>
      <c r="K449">
        <v>1</v>
      </c>
      <c r="L449">
        <v>17</v>
      </c>
      <c r="M449" t="str" cm="1">
        <f t="array" ref="M449">_xlfn.IFS(
   OR($F449="Pagar", $F449="Pintu Gerbang", $F449="Pintu Handerson", $F449="Kanopi"), "PER-M2",
   $F449="Teralis", "PER-LUBANG",
   OR($F449="Railing", $F449="Railing/Balkon"), "PER-M",
   TRUE, ""
)</f>
        <v>PER-LUBANG</v>
      </c>
      <c r="N449" cm="1">
        <f t="array" ref="N449">IF($M449="PER-M2",
  IFERROR(
     _xlfn.IFS(
        $G449="Hollow",
            INDEX('Referensi Harga'!$C:$C,
                  MATCH($F449&amp;$C449,'Referensi Harga'!$A:$A&amp;'Referensi Harga'!$B:$B,0)),
        $G449="Hollow Stainless",
            INDEX('Referensi Harga'!$D:$D,
                  MATCH($F449&amp;$C449,'Referensi Harga'!$A:$A&amp;'Referensi Harga'!$B:$B,0)),
        $G449="Pipa Stainless",
            INDEX('Referensi Harga'!$E:$E,
                  MATCH($F449&amp;$C449,'Referensi Harga'!$A:$A&amp;'Referensi Harga'!$B:$B,0))
     ),0)
  + IFERROR(VLOOKUP($H449,'Profile Size'!$A:$B,2,FALSE),0)
  + IFERROR(VLOOKUP($I449,'Ketebalan Material'!$A:$B,2,FALSE),0),
0)</f>
        <v>0</v>
      </c>
      <c r="O449">
        <f>IF($M449="PER-M",
  IFERROR(
    IF($G449="Hollow",
       INDEX('Referensi Harga'!$C:$C, MATCH($F449 &amp; "|" &amp; $C449, 'Referensi Harga'!$F:$F, 0)),
    IF($G449="Hollow Stainless",
       INDEX('Referensi Harga'!$D:$D, MATCH($F449 &amp; "|" &amp; $C449, 'Referensi Harga'!$F:$F, 0)),
       INDEX('Referensi Harga'!$E:$E, MATCH($F449 &amp; "|" &amp; $C449, 'Referensi Harga'!$F:$F, 0))
    ))
    + IFERROR(VLOOKUP($H449, 'Profile Size'!$A:$B, 2, FALSE), 0)
    + IFERROR(VLOOKUP($I449, 'Ketebalan Material'!$A:$B, 2, FALSE), 0), 0),
0)</f>
        <v>0</v>
      </c>
      <c r="P449" cm="1">
        <f t="array" ref="P449">IF($M449="PER-LUBANG",
  IFERROR(
     _xlfn.IFS(
        $G449="Hollow",
            INDEX('Referensi Harga'!$C:$C,
                  MATCH($F449&amp;$C449,'Referensi Harga'!$A:$A&amp;'Referensi Harga'!$B:$B,0)),
        $G449="Hollow Stainless",
            INDEX('Referensi Harga'!$D:$D,
                  MATCH($F449&amp;$C449,'Referensi Harga'!$A:$A&amp;'Referensi Harga'!$B:$B,0)),
        $G449="Pipa Stainless",
            INDEX('Referensi Harga'!$E:$E,
                  MATCH($F449&amp;$C449,'Referensi Harga'!$A:$A&amp;'Referensi Harga'!$B:$B,0))
     ),0)
  + IFERROR(VLOOKUP($H449,'Profile Size'!$A:$B,2,FALSE),0)
  + IFERROR(VLOOKUP($I449,'Ketebalan Material'!$A:$B,2,FALSE),0),
0)</f>
        <v>800000</v>
      </c>
      <c r="Q449">
        <f>IF($M449="PER-M2",
    IFERROR(
        SUMIFS('Upah Tenaga Ahli'!$C:$C,
               'Upah Tenaga Ahli'!$A:$A,"PER-M2",
               'Upah Tenaga Ahli'!$B:$B,$G449
        ) * $J449 * $K449,
    0),
IF($M449="PER-LUBANG",
    IFERROR(
        SUMIFS('Upah Tenaga Ahli'!$D:$D,
               'Upah Tenaga Ahli'!$A:$A,"PER-LUBANG",
               'Upah Tenaga Ahli'!$B:$B,$G449
        ) * $L449 * $K449,
    0),
IF($M449="PER-M",
    IFERROR(
        SUMIFS('Upah Tenaga Ahli'!$E:$E,
               'Upah Tenaga Ahli'!$A:$A,"PER-M",
               'Upah Tenaga Ahli'!$B:$B,$G449
        ) * $J449 * $K449,
    0),
0)))</f>
        <v>2550000</v>
      </c>
      <c r="R449" t="s">
        <v>617</v>
      </c>
      <c r="S449" t="s">
        <v>24</v>
      </c>
      <c r="T449">
        <f>IF($M449="PER-M2",
   ($N449 * $J449 * $K449)
   + IFERROR(VLOOKUP($R449,Finishing!A:B,2,FALSE),0)
   + IFERROR(VLOOKUP($S449,Kerumitan!A:B,2,FALSE),0),
IF($M449="PER-LUBANG",
   ($P449 * $L449 * $K449)
   + IFERROR(VLOOKUP($R449,Finishing!A:B,2,FALSE),0)
   + IFERROR(VLOOKUP($S449,Kerumitan!A:B,2,FALSE),0),
IF($M449="PER-M",
   ($O449 * $J449 * $K449)
   + IFERROR(VLOOKUP($R449,Finishing!A:B,2,FALSE),0)
   + IFERROR(VLOOKUP($S449,Kerumitan!A:B,2,FALSE),0),
0)))</f>
        <v>13700000</v>
      </c>
    </row>
    <row r="450" spans="1:20" x14ac:dyDescent="0.45">
      <c r="A450" t="s">
        <v>547</v>
      </c>
      <c r="B450" s="5">
        <v>45742</v>
      </c>
      <c r="C450">
        <f t="shared" si="6"/>
        <v>2025</v>
      </c>
      <c r="D450" t="s">
        <v>49</v>
      </c>
      <c r="E450" t="s">
        <v>54</v>
      </c>
      <c r="F450" t="s">
        <v>10</v>
      </c>
      <c r="G450" t="s">
        <v>13</v>
      </c>
      <c r="H450" t="s">
        <v>46</v>
      </c>
      <c r="I450">
        <v>1.2</v>
      </c>
      <c r="J450">
        <v>4.92</v>
      </c>
      <c r="K450">
        <v>2</v>
      </c>
      <c r="L450">
        <v>0</v>
      </c>
      <c r="M450" t="str" cm="1">
        <f t="array" ref="M450">_xlfn.IFS(
   OR($F450="Pagar", $F450="Pintu Gerbang", $F450="Pintu Handerson", $F450="Kanopi"), "PER-M2",
   $F450="Teralis", "PER-LUBANG",
   OR($F450="Railing", $F450="Railing/Balkon"), "PER-M",
   TRUE, ""
)</f>
        <v>PER-M2</v>
      </c>
      <c r="N450" cm="1">
        <f t="array" ref="N450">IF($M450="PER-M2",
  IFERROR(
     _xlfn.IFS(
        $G450="Hollow",
            INDEX('Referensi Harga'!$C:$C,
                  MATCH($F450&amp;$C450,'Referensi Harga'!$A:$A&amp;'Referensi Harga'!$B:$B,0)),
        $G450="Hollow Stainless",
            INDEX('Referensi Harga'!$D:$D,
                  MATCH($F450&amp;$C450,'Referensi Harga'!$A:$A&amp;'Referensi Harga'!$B:$B,0)),
        $G450="Pipa Stainless",
            INDEX('Referensi Harga'!$E:$E,
                  MATCH($F450&amp;$C450,'Referensi Harga'!$A:$A&amp;'Referensi Harga'!$B:$B,0))
     ),0)
  + IFERROR(VLOOKUP($H450,'Profile Size'!$A:$B,2,FALSE),0)
  + IFERROR(VLOOKUP($I450,'Ketebalan Material'!$A:$B,2,FALSE),0),
0)</f>
        <v>1050000</v>
      </c>
      <c r="O450">
        <f>IF($M450="PER-M",
  IFERROR(
    IF($G450="Hollow",
       INDEX('Referensi Harga'!$C:$C, MATCH($F450 &amp; "|" &amp; $C450, 'Referensi Harga'!$F:$F, 0)),
    IF($G450="Hollow Stainless",
       INDEX('Referensi Harga'!$D:$D, MATCH($F450 &amp; "|" &amp; $C450, 'Referensi Harga'!$F:$F, 0)),
       INDEX('Referensi Harga'!$E:$E, MATCH($F450 &amp; "|" &amp; $C450, 'Referensi Harga'!$F:$F, 0))
    ))
    + IFERROR(VLOOKUP($H450, 'Profile Size'!$A:$B, 2, FALSE), 0)
    + IFERROR(VLOOKUP($I450, 'Ketebalan Material'!$A:$B, 2, FALSE), 0), 0),
0)</f>
        <v>0</v>
      </c>
      <c r="P450" cm="1">
        <f t="array" ref="P450">IF($M450="PER-LUBANG",
  IFERROR(
     _xlfn.IFS(
        $G450="Hollow",
            INDEX('Referensi Harga'!$C:$C,
                  MATCH($F450&amp;$C450,'Referensi Harga'!$A:$A&amp;'Referensi Harga'!$B:$B,0)),
        $G450="Hollow Stainless",
            INDEX('Referensi Harga'!$D:$D,
                  MATCH($F450&amp;$C450,'Referensi Harga'!$A:$A&amp;'Referensi Harga'!$B:$B,0)),
        $G450="Pipa Stainless",
            INDEX('Referensi Harga'!$E:$E,
                  MATCH($F450&amp;$C450,'Referensi Harga'!$A:$A&amp;'Referensi Harga'!$B:$B,0))
     ),0)
  + IFERROR(VLOOKUP($H450,'Profile Size'!$A:$B,2,FALSE),0)
  + IFERROR(VLOOKUP($I450,'Ketebalan Material'!$A:$B,2,FALSE),0),
0)</f>
        <v>0</v>
      </c>
      <c r="Q450">
        <f>IF($M450="PER-M2",
    IFERROR(
        SUMIFS('Upah Tenaga Ahli'!$C:$C,
               'Upah Tenaga Ahli'!$A:$A,"PER-M2",
               'Upah Tenaga Ahli'!$B:$B,$G450
        ) * $J450 * $K450,
    0),
IF($M450="PER-LUBANG",
    IFERROR(
        SUMIFS('Upah Tenaga Ahli'!$D:$D,
               'Upah Tenaga Ahli'!$A:$A,"PER-LUBANG",
               'Upah Tenaga Ahli'!$B:$B,$G450
        ) * $L450 * $K450,
    0),
IF($M450="PER-M",
    IFERROR(
        SUMIFS('Upah Tenaga Ahli'!$E:$E,
               'Upah Tenaga Ahli'!$A:$A,"PER-M",
               'Upah Tenaga Ahli'!$B:$B,$G450
        ) * $J450 * $K450,
    0),
0)))</f>
        <v>984000</v>
      </c>
      <c r="R450" t="s">
        <v>19</v>
      </c>
      <c r="S450" t="s">
        <v>25</v>
      </c>
      <c r="T450">
        <f>IF($M450="PER-M2",
   ($N450 * $J450 * $K450)
   + IFERROR(VLOOKUP($R450,Finishing!A:B,2,FALSE),0)
   + IFERROR(VLOOKUP($S450,Kerumitan!A:B,2,FALSE),0),
IF($M450="PER-LUBANG",
   ($P450 * $L450 * $K450)
   + IFERROR(VLOOKUP($R450,Finishing!A:B,2,FALSE),0)
   + IFERROR(VLOOKUP($S450,Kerumitan!A:B,2,FALSE),0),
IF($M450="PER-M",
   ($O450 * $J450 * $K450)
   + IFERROR(VLOOKUP($R450,Finishing!A:B,2,FALSE),0)
   + IFERROR(VLOOKUP($S450,Kerumitan!A:B,2,FALSE),0),
0)))</f>
        <v>10532000</v>
      </c>
    </row>
    <row r="451" spans="1:20" x14ac:dyDescent="0.45">
      <c r="A451" t="s">
        <v>548</v>
      </c>
      <c r="B451" s="5">
        <v>44965</v>
      </c>
      <c r="C451">
        <f t="shared" ref="C451:C502" si="7">IF($B451="","",YEAR($B451))</f>
        <v>2023</v>
      </c>
      <c r="D451" t="s">
        <v>616</v>
      </c>
      <c r="E451" t="s">
        <v>57</v>
      </c>
      <c r="F451" t="s">
        <v>6</v>
      </c>
      <c r="G451" t="s">
        <v>14</v>
      </c>
      <c r="H451" t="s">
        <v>615</v>
      </c>
      <c r="I451">
        <v>1</v>
      </c>
      <c r="J451">
        <v>11.04</v>
      </c>
      <c r="K451">
        <v>2</v>
      </c>
      <c r="L451">
        <v>0</v>
      </c>
      <c r="M451" t="str" cm="1">
        <f t="array" ref="M451">_xlfn.IFS(
   OR($F451="Pagar", $F451="Pintu Gerbang", $F451="Pintu Handerson", $F451="Kanopi"), "PER-M2",
   $F451="Teralis", "PER-LUBANG",
   OR($F451="Railing", $F451="Railing/Balkon"), "PER-M",
   TRUE, ""
)</f>
        <v>PER-M2</v>
      </c>
      <c r="N451" cm="1">
        <f t="array" ref="N451">IF($M451="PER-M2",
  IFERROR(
     _xlfn.IFS(
        $G451="Hollow",
            INDEX('Referensi Harga'!$C:$C,
                  MATCH($F451&amp;$C451,'Referensi Harga'!$A:$A&amp;'Referensi Harga'!$B:$B,0)),
        $G451="Hollow Stainless",
            INDEX('Referensi Harga'!$D:$D,
                  MATCH($F451&amp;$C451,'Referensi Harga'!$A:$A&amp;'Referensi Harga'!$B:$B,0)),
        $G451="Pipa Stainless",
            INDEX('Referensi Harga'!$E:$E,
                  MATCH($F451&amp;$C451,'Referensi Harga'!$A:$A&amp;'Referensi Harga'!$B:$B,0))
     ),0)
  + IFERROR(VLOOKUP($H451,'Profile Size'!$A:$B,2,FALSE),0)
  + IFERROR(VLOOKUP($I451,'Ketebalan Material'!$A:$B,2,FALSE),0),
0)</f>
        <v>850000</v>
      </c>
      <c r="O451">
        <f>IF($M451="PER-M",
  IFERROR(
    IF($G451="Hollow",
       INDEX('Referensi Harga'!$C:$C, MATCH($F451 &amp; "|" &amp; $C451, 'Referensi Harga'!$F:$F, 0)),
    IF($G451="Hollow Stainless",
       INDEX('Referensi Harga'!$D:$D, MATCH($F451 &amp; "|" &amp; $C451, 'Referensi Harga'!$F:$F, 0)),
       INDEX('Referensi Harga'!$E:$E, MATCH($F451 &amp; "|" &amp; $C451, 'Referensi Harga'!$F:$F, 0))
    ))
    + IFERROR(VLOOKUP($H451, 'Profile Size'!$A:$B, 2, FALSE), 0)
    + IFERROR(VLOOKUP($I451, 'Ketebalan Material'!$A:$B, 2, FALSE), 0), 0),
0)</f>
        <v>0</v>
      </c>
      <c r="P451" cm="1">
        <f t="array" ref="P451">IF($M451="PER-LUBANG",
  IFERROR(
     _xlfn.IFS(
        $G451="Hollow",
            INDEX('Referensi Harga'!$C:$C,
                  MATCH($F451&amp;$C451,'Referensi Harga'!$A:$A&amp;'Referensi Harga'!$B:$B,0)),
        $G451="Hollow Stainless",
            INDEX('Referensi Harga'!$D:$D,
                  MATCH($F451&amp;$C451,'Referensi Harga'!$A:$A&amp;'Referensi Harga'!$B:$B,0)),
        $G451="Pipa Stainless",
            INDEX('Referensi Harga'!$E:$E,
                  MATCH($F451&amp;$C451,'Referensi Harga'!$A:$A&amp;'Referensi Harga'!$B:$B,0))
     ),0)
  + IFERROR(VLOOKUP($H451,'Profile Size'!$A:$B,2,FALSE),0)
  + IFERROR(VLOOKUP($I451,'Ketebalan Material'!$A:$B,2,FALSE),0),
0)</f>
        <v>0</v>
      </c>
      <c r="Q451">
        <f>IF($M451="PER-M2",
    IFERROR(
        SUMIFS('Upah Tenaga Ahli'!$C:$C,
               'Upah Tenaga Ahli'!$A:$A,"PER-M2",
               'Upah Tenaga Ahli'!$B:$B,$G451
        ) * $J451 * $K451,
    0),
IF($M451="PER-LUBANG",
    IFERROR(
        SUMIFS('Upah Tenaga Ahli'!$D:$D,
               'Upah Tenaga Ahli'!$A:$A,"PER-LUBANG",
               'Upah Tenaga Ahli'!$B:$B,$G451
        ) * $L451 * $K451,
    0),
IF($M451="PER-M",
    IFERROR(
        SUMIFS('Upah Tenaga Ahli'!$E:$E,
               'Upah Tenaga Ahli'!$A:$A,"PER-M",
               'Upah Tenaga Ahli'!$B:$B,$G451
        ) * $J451 * $K451,
    0),
0)))</f>
        <v>4416000</v>
      </c>
      <c r="R451" t="s">
        <v>617</v>
      </c>
      <c r="S451" t="s">
        <v>24</v>
      </c>
      <c r="T451">
        <f>IF($M451="PER-M2",
   ($N451 * $J451 * $K451)
   + IFERROR(VLOOKUP($R451,Finishing!A:B,2,FALSE),0)
   + IFERROR(VLOOKUP($S451,Kerumitan!A:B,2,FALSE),0),
IF($M451="PER-LUBANG",
   ($P451 * $L451 * $K451)
   + IFERROR(VLOOKUP($R451,Finishing!A:B,2,FALSE),0)
   + IFERROR(VLOOKUP($S451,Kerumitan!A:B,2,FALSE),0),
IF($M451="PER-M",
   ($O451 * $J451 * $K451)
   + IFERROR(VLOOKUP($R451,Finishing!A:B,2,FALSE),0)
   + IFERROR(VLOOKUP($S451,Kerumitan!A:B,2,FALSE),0),
0)))</f>
        <v>18868000</v>
      </c>
    </row>
    <row r="452" spans="1:20" x14ac:dyDescent="0.45">
      <c r="A452" t="s">
        <v>549</v>
      </c>
      <c r="B452" s="5">
        <v>44601</v>
      </c>
      <c r="C452">
        <f t="shared" si="7"/>
        <v>2022</v>
      </c>
      <c r="D452" t="s">
        <v>40</v>
      </c>
      <c r="E452" t="s">
        <v>54</v>
      </c>
      <c r="F452" t="s">
        <v>4</v>
      </c>
      <c r="G452" t="s">
        <v>13</v>
      </c>
      <c r="H452" t="s">
        <v>46</v>
      </c>
      <c r="I452">
        <v>1</v>
      </c>
      <c r="J452">
        <v>18.57</v>
      </c>
      <c r="K452">
        <v>1</v>
      </c>
      <c r="L452">
        <v>0</v>
      </c>
      <c r="M452" t="str" cm="1">
        <f t="array" ref="M452">_xlfn.IFS(
   OR($F452="Pagar", $F452="Pintu Gerbang", $F452="Pintu Handerson", $F452="Kanopi"), "PER-M2",
   $F452="Teralis", "PER-LUBANG",
   OR($F452="Railing", $F452="Railing/Balkon"), "PER-M",
   TRUE, ""
)</f>
        <v>PER-M2</v>
      </c>
      <c r="N452" cm="1">
        <f t="array" ref="N452">IF($M452="PER-M2",
  IFERROR(
     _xlfn.IFS(
        $G452="Hollow",
            INDEX('Referensi Harga'!$C:$C,
                  MATCH($F452&amp;$C452,'Referensi Harga'!$A:$A&amp;'Referensi Harga'!$B:$B,0)),
        $G452="Hollow Stainless",
            INDEX('Referensi Harga'!$D:$D,
                  MATCH($F452&amp;$C452,'Referensi Harga'!$A:$A&amp;'Referensi Harga'!$B:$B,0)),
        $G452="Pipa Stainless",
            INDEX('Referensi Harga'!$E:$E,
                  MATCH($F452&amp;$C452,'Referensi Harga'!$A:$A&amp;'Referensi Harga'!$B:$B,0))
     ),0)
  + IFERROR(VLOOKUP($H452,'Profile Size'!$A:$B,2,FALSE),0)
  + IFERROR(VLOOKUP($I452,'Ketebalan Material'!$A:$B,2,FALSE),0),
0)</f>
        <v>630000</v>
      </c>
      <c r="O452">
        <f>IF($M452="PER-M",
  IFERROR(
    IF($G452="Hollow",
       INDEX('Referensi Harga'!$C:$C, MATCH($F452 &amp; "|" &amp; $C452, 'Referensi Harga'!$F:$F, 0)),
    IF($G452="Hollow Stainless",
       INDEX('Referensi Harga'!$D:$D, MATCH($F452 &amp; "|" &amp; $C452, 'Referensi Harga'!$F:$F, 0)),
       INDEX('Referensi Harga'!$E:$E, MATCH($F452 &amp; "|" &amp; $C452, 'Referensi Harga'!$F:$F, 0))
    ))
    + IFERROR(VLOOKUP($H452, 'Profile Size'!$A:$B, 2, FALSE), 0)
    + IFERROR(VLOOKUP($I452, 'Ketebalan Material'!$A:$B, 2, FALSE), 0), 0),
0)</f>
        <v>0</v>
      </c>
      <c r="P452" cm="1">
        <f t="array" ref="P452">IF($M452="PER-LUBANG",
  IFERROR(
     _xlfn.IFS(
        $G452="Hollow",
            INDEX('Referensi Harga'!$C:$C,
                  MATCH($F452&amp;$C452,'Referensi Harga'!$A:$A&amp;'Referensi Harga'!$B:$B,0)),
        $G452="Hollow Stainless",
            INDEX('Referensi Harga'!$D:$D,
                  MATCH($F452&amp;$C452,'Referensi Harga'!$A:$A&amp;'Referensi Harga'!$B:$B,0)),
        $G452="Pipa Stainless",
            INDEX('Referensi Harga'!$E:$E,
                  MATCH($F452&amp;$C452,'Referensi Harga'!$A:$A&amp;'Referensi Harga'!$B:$B,0))
     ),0)
  + IFERROR(VLOOKUP($H452,'Profile Size'!$A:$B,2,FALSE),0)
  + IFERROR(VLOOKUP($I452,'Ketebalan Material'!$A:$B,2,FALSE),0),
0)</f>
        <v>0</v>
      </c>
      <c r="Q452">
        <f>IF($M452="PER-M2",
    IFERROR(
        SUMIFS('Upah Tenaga Ahli'!$C:$C,
               'Upah Tenaga Ahli'!$A:$A,"PER-M2",
               'Upah Tenaga Ahli'!$B:$B,$G452
        ) * $J452 * $K452,
    0),
IF($M452="PER-LUBANG",
    IFERROR(
        SUMIFS('Upah Tenaga Ahli'!$D:$D,
               'Upah Tenaga Ahli'!$A:$A,"PER-LUBANG",
               'Upah Tenaga Ahli'!$B:$B,$G452
        ) * $L452 * $K452,
    0),
IF($M452="PER-M",
    IFERROR(
        SUMIFS('Upah Tenaga Ahli'!$E:$E,
               'Upah Tenaga Ahli'!$A:$A,"PER-M",
               'Upah Tenaga Ahli'!$B:$B,$G452
        ) * $J452 * $K452,
    0),
0)))</f>
        <v>1857000</v>
      </c>
      <c r="R452" t="s">
        <v>18</v>
      </c>
      <c r="S452" t="s">
        <v>25</v>
      </c>
      <c r="T452">
        <f>IF($M452="PER-M2",
   ($N452 * $J452 * $K452)
   + IFERROR(VLOOKUP($R452,Finishing!A:B,2,FALSE),0)
   + IFERROR(VLOOKUP($S452,Kerumitan!A:B,2,FALSE),0),
IF($M452="PER-LUBANG",
   ($P452 * $L452 * $K452)
   + IFERROR(VLOOKUP($R452,Finishing!A:B,2,FALSE),0)
   + IFERROR(VLOOKUP($S452,Kerumitan!A:B,2,FALSE),0),
IF($M452="PER-M",
   ($O452 * $J452 * $K452)
   + IFERROR(VLOOKUP($R452,Finishing!A:B,2,FALSE),0)
   + IFERROR(VLOOKUP($S452,Kerumitan!A:B,2,FALSE),0),
0)))</f>
        <v>11849100</v>
      </c>
    </row>
    <row r="453" spans="1:20" x14ac:dyDescent="0.45">
      <c r="A453" t="s">
        <v>550</v>
      </c>
      <c r="B453" s="5">
        <v>44569</v>
      </c>
      <c r="C453">
        <f t="shared" si="7"/>
        <v>2022</v>
      </c>
      <c r="D453" t="s">
        <v>65</v>
      </c>
      <c r="E453" t="s">
        <v>44</v>
      </c>
      <c r="F453" t="s">
        <v>8</v>
      </c>
      <c r="G453" t="s">
        <v>15</v>
      </c>
      <c r="H453" t="s">
        <v>611</v>
      </c>
      <c r="I453">
        <v>1</v>
      </c>
      <c r="J453">
        <v>0</v>
      </c>
      <c r="K453">
        <v>1</v>
      </c>
      <c r="L453">
        <v>11</v>
      </c>
      <c r="M453" t="str" cm="1">
        <f t="array" ref="M453">_xlfn.IFS(
   OR($F453="Pagar", $F453="Pintu Gerbang", $F453="Pintu Handerson", $F453="Kanopi"), "PER-M2",
   $F453="Teralis", "PER-LUBANG",
   OR($F453="Railing", $F453="Railing/Balkon"), "PER-M",
   TRUE, ""
)</f>
        <v>PER-LUBANG</v>
      </c>
      <c r="N453" cm="1">
        <f t="array" ref="N453">IF($M453="PER-M2",
  IFERROR(
     _xlfn.IFS(
        $G453="Hollow",
            INDEX('Referensi Harga'!$C:$C,
                  MATCH($F453&amp;$C453,'Referensi Harga'!$A:$A&amp;'Referensi Harga'!$B:$B,0)),
        $G453="Hollow Stainless",
            INDEX('Referensi Harga'!$D:$D,
                  MATCH($F453&amp;$C453,'Referensi Harga'!$A:$A&amp;'Referensi Harga'!$B:$B,0)),
        $G453="Pipa Stainless",
            INDEX('Referensi Harga'!$E:$E,
                  MATCH($F453&amp;$C453,'Referensi Harga'!$A:$A&amp;'Referensi Harga'!$B:$B,0))
     ),0)
  + IFERROR(VLOOKUP($H453,'Profile Size'!$A:$B,2,FALSE),0)
  + IFERROR(VLOOKUP($I453,'Ketebalan Material'!$A:$B,2,FALSE),0),
0)</f>
        <v>0</v>
      </c>
      <c r="O453">
        <f>IF($M453="PER-M",
  IFERROR(
    IF($G453="Hollow",
       INDEX('Referensi Harga'!$C:$C, MATCH($F453 &amp; "|" &amp; $C453, 'Referensi Harga'!$F:$F, 0)),
    IF($G453="Hollow Stainless",
       INDEX('Referensi Harga'!$D:$D, MATCH($F453 &amp; "|" &amp; $C453, 'Referensi Harga'!$F:$F, 0)),
       INDEX('Referensi Harga'!$E:$E, MATCH($F453 &amp; "|" &amp; $C453, 'Referensi Harga'!$F:$F, 0))
    ))
    + IFERROR(VLOOKUP($H453, 'Profile Size'!$A:$B, 2, FALSE), 0)
    + IFERROR(VLOOKUP($I453, 'Ketebalan Material'!$A:$B, 2, FALSE), 0), 0),
0)</f>
        <v>0</v>
      </c>
      <c r="P453" cm="1">
        <f t="array" ref="P453">IF($M453="PER-LUBANG",
  IFERROR(
     _xlfn.IFS(
        $G453="Hollow",
            INDEX('Referensi Harga'!$C:$C,
                  MATCH($F453&amp;$C453,'Referensi Harga'!$A:$A&amp;'Referensi Harga'!$B:$B,0)),
        $G453="Hollow Stainless",
            INDEX('Referensi Harga'!$D:$D,
                  MATCH($F453&amp;$C453,'Referensi Harga'!$A:$A&amp;'Referensi Harga'!$B:$B,0)),
        $G453="Pipa Stainless",
            INDEX('Referensi Harga'!$E:$E,
                  MATCH($F453&amp;$C453,'Referensi Harga'!$A:$A&amp;'Referensi Harga'!$B:$B,0))
     ),0)
  + IFERROR(VLOOKUP($H453,'Profile Size'!$A:$B,2,FALSE),0)
  + IFERROR(VLOOKUP($I453,'Ketebalan Material'!$A:$B,2,FALSE),0),
0)</f>
        <v>830000</v>
      </c>
      <c r="Q453">
        <f>IF($M453="PER-M2",
    IFERROR(
        SUMIFS('Upah Tenaga Ahli'!$C:$C,
               'Upah Tenaga Ahli'!$A:$A,"PER-M2",
               'Upah Tenaga Ahli'!$B:$B,$G453
        ) * $J453 * $K453,
    0),
IF($M453="PER-LUBANG",
    IFERROR(
        SUMIFS('Upah Tenaga Ahli'!$D:$D,
               'Upah Tenaga Ahli'!$A:$A,"PER-LUBANG",
               'Upah Tenaga Ahli'!$B:$B,$G453
        ) * $L453 * $K453,
    0),
IF($M453="PER-M",
    IFERROR(
        SUMIFS('Upah Tenaga Ahli'!$E:$E,
               'Upah Tenaga Ahli'!$A:$A,"PER-M",
               'Upah Tenaga Ahli'!$B:$B,$G453
        ) * $J453 * $K453,
    0),
0)))</f>
        <v>1650000</v>
      </c>
      <c r="R453" t="s">
        <v>20</v>
      </c>
      <c r="S453" t="s">
        <v>23</v>
      </c>
      <c r="T453">
        <f>IF($M453="PER-M2",
   ($N453 * $J453 * $K453)
   + IFERROR(VLOOKUP($R453,Finishing!A:B,2,FALSE),0)
   + IFERROR(VLOOKUP($S453,Kerumitan!A:B,2,FALSE),0),
IF($M453="PER-LUBANG",
   ($P453 * $L453 * $K453)
   + IFERROR(VLOOKUP($R453,Finishing!A:B,2,FALSE),0)
   + IFERROR(VLOOKUP($S453,Kerumitan!A:B,2,FALSE),0),
IF($M453="PER-M",
   ($O453 * $J453 * $K453)
   + IFERROR(VLOOKUP($R453,Finishing!A:B,2,FALSE),0)
   + IFERROR(VLOOKUP($S453,Kerumitan!A:B,2,FALSE),0),
0)))</f>
        <v>9280000</v>
      </c>
    </row>
    <row r="454" spans="1:20" x14ac:dyDescent="0.45">
      <c r="A454" t="s">
        <v>551</v>
      </c>
      <c r="B454" s="5">
        <v>44556</v>
      </c>
      <c r="C454">
        <f t="shared" si="7"/>
        <v>2021</v>
      </c>
      <c r="D454" t="s">
        <v>101</v>
      </c>
      <c r="E454" t="s">
        <v>28</v>
      </c>
      <c r="F454" t="s">
        <v>4</v>
      </c>
      <c r="G454" t="s">
        <v>13</v>
      </c>
      <c r="H454" t="s">
        <v>33</v>
      </c>
      <c r="I454">
        <v>1</v>
      </c>
      <c r="J454">
        <v>27.79</v>
      </c>
      <c r="K454">
        <v>1</v>
      </c>
      <c r="L454">
        <v>0</v>
      </c>
      <c r="M454" t="str" cm="1">
        <f t="array" ref="M454">_xlfn.IFS(
   OR($F454="Pagar", $F454="Pintu Gerbang", $F454="Pintu Handerson", $F454="Kanopi"), "PER-M2",
   $F454="Teralis", "PER-LUBANG",
   OR($F454="Railing", $F454="Railing/Balkon"), "PER-M",
   TRUE, ""
)</f>
        <v>PER-M2</v>
      </c>
      <c r="N454" cm="1">
        <f t="array" ref="N454">IF($M454="PER-M2",
  IFERROR(
     _xlfn.IFS(
        $G454="Hollow",
            INDEX('Referensi Harga'!$C:$C,
                  MATCH($F454&amp;$C454,'Referensi Harga'!$A:$A&amp;'Referensi Harga'!$B:$B,0)),
        $G454="Hollow Stainless",
            INDEX('Referensi Harga'!$D:$D,
                  MATCH($F454&amp;$C454,'Referensi Harga'!$A:$A&amp;'Referensi Harga'!$B:$B,0)),
        $G454="Pipa Stainless",
            INDEX('Referensi Harga'!$E:$E,
                  MATCH($F454&amp;$C454,'Referensi Harga'!$A:$A&amp;'Referensi Harga'!$B:$B,0))
     ),0)
  + IFERROR(VLOOKUP($H454,'Profile Size'!$A:$B,2,FALSE),0)
  + IFERROR(VLOOKUP($I454,'Ketebalan Material'!$A:$B,2,FALSE),0),
0)</f>
        <v>550000</v>
      </c>
      <c r="O454">
        <f>IF($M454="PER-M",
  IFERROR(
    IF($G454="Hollow",
       INDEX('Referensi Harga'!$C:$C, MATCH($F454 &amp; "|" &amp; $C454, 'Referensi Harga'!$F:$F, 0)),
    IF($G454="Hollow Stainless",
       INDEX('Referensi Harga'!$D:$D, MATCH($F454 &amp; "|" &amp; $C454, 'Referensi Harga'!$F:$F, 0)),
       INDEX('Referensi Harga'!$E:$E, MATCH($F454 &amp; "|" &amp; $C454, 'Referensi Harga'!$F:$F, 0))
    ))
    + IFERROR(VLOOKUP($H454, 'Profile Size'!$A:$B, 2, FALSE), 0)
    + IFERROR(VLOOKUP($I454, 'Ketebalan Material'!$A:$B, 2, FALSE), 0), 0),
0)</f>
        <v>0</v>
      </c>
      <c r="P454" cm="1">
        <f t="array" ref="P454">IF($M454="PER-LUBANG",
  IFERROR(
     _xlfn.IFS(
        $G454="Hollow",
            INDEX('Referensi Harga'!$C:$C,
                  MATCH($F454&amp;$C454,'Referensi Harga'!$A:$A&amp;'Referensi Harga'!$B:$B,0)),
        $G454="Hollow Stainless",
            INDEX('Referensi Harga'!$D:$D,
                  MATCH($F454&amp;$C454,'Referensi Harga'!$A:$A&amp;'Referensi Harga'!$B:$B,0)),
        $G454="Pipa Stainless",
            INDEX('Referensi Harga'!$E:$E,
                  MATCH($F454&amp;$C454,'Referensi Harga'!$A:$A&amp;'Referensi Harga'!$B:$B,0))
     ),0)
  + IFERROR(VLOOKUP($H454,'Profile Size'!$A:$B,2,FALSE),0)
  + IFERROR(VLOOKUP($I454,'Ketebalan Material'!$A:$B,2,FALSE),0),
0)</f>
        <v>0</v>
      </c>
      <c r="Q454">
        <f>IF($M454="PER-M2",
    IFERROR(
        SUMIFS('Upah Tenaga Ahli'!$C:$C,
               'Upah Tenaga Ahli'!$A:$A,"PER-M2",
               'Upah Tenaga Ahli'!$B:$B,$G454
        ) * $J454 * $K454,
    0),
IF($M454="PER-LUBANG",
    IFERROR(
        SUMIFS('Upah Tenaga Ahli'!$D:$D,
               'Upah Tenaga Ahli'!$A:$A,"PER-LUBANG",
               'Upah Tenaga Ahli'!$B:$B,$G454
        ) * $L454 * $K454,
    0),
IF($M454="PER-M",
    IFERROR(
        SUMIFS('Upah Tenaga Ahli'!$E:$E,
               'Upah Tenaga Ahli'!$A:$A,"PER-M",
               'Upah Tenaga Ahli'!$B:$B,$G454
        ) * $J454 * $K454,
    0),
0)))</f>
        <v>2779000</v>
      </c>
      <c r="R454" t="s">
        <v>20</v>
      </c>
      <c r="S454" t="s">
        <v>23</v>
      </c>
      <c r="T454">
        <f>IF($M454="PER-M2",
   ($N454 * $J454 * $K454)
   + IFERROR(VLOOKUP($R454,Finishing!A:B,2,FALSE),0)
   + IFERROR(VLOOKUP($S454,Kerumitan!A:B,2,FALSE),0),
IF($M454="PER-LUBANG",
   ($P454 * $L454 * $K454)
   + IFERROR(VLOOKUP($R454,Finishing!A:B,2,FALSE),0)
   + IFERROR(VLOOKUP($S454,Kerumitan!A:B,2,FALSE),0),
IF($M454="PER-M",
   ($O454 * $J454 * $K454)
   + IFERROR(VLOOKUP($R454,Finishing!A:B,2,FALSE),0)
   + IFERROR(VLOOKUP($S454,Kerumitan!A:B,2,FALSE),0),
0)))</f>
        <v>15434500</v>
      </c>
    </row>
    <row r="455" spans="1:20" x14ac:dyDescent="0.45">
      <c r="A455" t="s">
        <v>552</v>
      </c>
      <c r="B455" s="5">
        <v>43781</v>
      </c>
      <c r="C455">
        <f t="shared" si="7"/>
        <v>2019</v>
      </c>
      <c r="D455" t="s">
        <v>71</v>
      </c>
      <c r="E455" t="s">
        <v>91</v>
      </c>
      <c r="F455" t="s">
        <v>6</v>
      </c>
      <c r="G455" t="s">
        <v>14</v>
      </c>
      <c r="H455" t="s">
        <v>615</v>
      </c>
      <c r="I455">
        <v>1</v>
      </c>
      <c r="J455">
        <v>6.12</v>
      </c>
      <c r="K455">
        <v>1</v>
      </c>
      <c r="L455">
        <v>0</v>
      </c>
      <c r="M455" t="str" cm="1">
        <f t="array" ref="M455">_xlfn.IFS(
   OR($F455="Pagar", $F455="Pintu Gerbang", $F455="Pintu Handerson", $F455="Kanopi"), "PER-M2",
   $F455="Teralis", "PER-LUBANG",
   OR($F455="Railing", $F455="Railing/Balkon"), "PER-M",
   TRUE, ""
)</f>
        <v>PER-M2</v>
      </c>
      <c r="N455" cm="1">
        <f t="array" ref="N455">IF($M455="PER-M2",
  IFERROR(
     _xlfn.IFS(
        $G455="Hollow",
            INDEX('Referensi Harga'!$C:$C,
                  MATCH($F455&amp;$C455,'Referensi Harga'!$A:$A&amp;'Referensi Harga'!$B:$B,0)),
        $G455="Hollow Stainless",
            INDEX('Referensi Harga'!$D:$D,
                  MATCH($F455&amp;$C455,'Referensi Harga'!$A:$A&amp;'Referensi Harga'!$B:$B,0)),
        $G455="Pipa Stainless",
            INDEX('Referensi Harga'!$E:$E,
                  MATCH($F455&amp;$C455,'Referensi Harga'!$A:$A&amp;'Referensi Harga'!$B:$B,0))
     ),0)
  + IFERROR(VLOOKUP($H455,'Profile Size'!$A:$B,2,FALSE),0)
  + IFERROR(VLOOKUP($I455,'Ketebalan Material'!$A:$B,2,FALSE),0),
0)</f>
        <v>750000</v>
      </c>
      <c r="O455">
        <f>IF($M455="PER-M",
  IFERROR(
    IF($G455="Hollow",
       INDEX('Referensi Harga'!$C:$C, MATCH($F455 &amp; "|" &amp; $C455, 'Referensi Harga'!$F:$F, 0)),
    IF($G455="Hollow Stainless",
       INDEX('Referensi Harga'!$D:$D, MATCH($F455 &amp; "|" &amp; $C455, 'Referensi Harga'!$F:$F, 0)),
       INDEX('Referensi Harga'!$E:$E, MATCH($F455 &amp; "|" &amp; $C455, 'Referensi Harga'!$F:$F, 0))
    ))
    + IFERROR(VLOOKUP($H455, 'Profile Size'!$A:$B, 2, FALSE), 0)
    + IFERROR(VLOOKUP($I455, 'Ketebalan Material'!$A:$B, 2, FALSE), 0), 0),
0)</f>
        <v>0</v>
      </c>
      <c r="P455" cm="1">
        <f t="array" ref="P455">IF($M455="PER-LUBANG",
  IFERROR(
     _xlfn.IFS(
        $G455="Hollow",
            INDEX('Referensi Harga'!$C:$C,
                  MATCH($F455&amp;$C455,'Referensi Harga'!$A:$A&amp;'Referensi Harga'!$B:$B,0)),
        $G455="Hollow Stainless",
            INDEX('Referensi Harga'!$D:$D,
                  MATCH($F455&amp;$C455,'Referensi Harga'!$A:$A&amp;'Referensi Harga'!$B:$B,0)),
        $G455="Pipa Stainless",
            INDEX('Referensi Harga'!$E:$E,
                  MATCH($F455&amp;$C455,'Referensi Harga'!$A:$A&amp;'Referensi Harga'!$B:$B,0))
     ),0)
  + IFERROR(VLOOKUP($H455,'Profile Size'!$A:$B,2,FALSE),0)
  + IFERROR(VLOOKUP($I455,'Ketebalan Material'!$A:$B,2,FALSE),0),
0)</f>
        <v>0</v>
      </c>
      <c r="Q455">
        <f>IF($M455="PER-M2",
    IFERROR(
        SUMIFS('Upah Tenaga Ahli'!$C:$C,
               'Upah Tenaga Ahli'!$A:$A,"PER-M2",
               'Upah Tenaga Ahli'!$B:$B,$G455
        ) * $J455 * $K455,
    0),
IF($M455="PER-LUBANG",
    IFERROR(
        SUMIFS('Upah Tenaga Ahli'!$D:$D,
               'Upah Tenaga Ahli'!$A:$A,"PER-LUBANG",
               'Upah Tenaga Ahli'!$B:$B,$G455
        ) * $L455 * $K455,
    0),
IF($M455="PER-M",
    IFERROR(
        SUMIFS('Upah Tenaga Ahli'!$E:$E,
               'Upah Tenaga Ahli'!$A:$A,"PER-M",
               'Upah Tenaga Ahli'!$B:$B,$G455
        ) * $J455 * $K455,
    0),
0)))</f>
        <v>1224000</v>
      </c>
      <c r="R455" t="s">
        <v>617</v>
      </c>
      <c r="S455" t="s">
        <v>23</v>
      </c>
      <c r="T455">
        <f>IF($M455="PER-M2",
   ($N455 * $J455 * $K455)
   + IFERROR(VLOOKUP($R455,Finishing!A:B,2,FALSE),0)
   + IFERROR(VLOOKUP($S455,Kerumitan!A:B,2,FALSE),0),
IF($M455="PER-LUBANG",
   ($P455 * $L455 * $K455)
   + IFERROR(VLOOKUP($R455,Finishing!A:B,2,FALSE),0)
   + IFERROR(VLOOKUP($S455,Kerumitan!A:B,2,FALSE),0),
IF($M455="PER-M",
   ($O455 * $J455 * $K455)
   + IFERROR(VLOOKUP($R455,Finishing!A:B,2,FALSE),0)
   + IFERROR(VLOOKUP($S455,Kerumitan!A:B,2,FALSE),0),
0)))</f>
        <v>4590000</v>
      </c>
    </row>
    <row r="456" spans="1:20" x14ac:dyDescent="0.45">
      <c r="A456" t="s">
        <v>553</v>
      </c>
      <c r="B456" s="5">
        <v>44865</v>
      </c>
      <c r="C456">
        <f t="shared" si="7"/>
        <v>2022</v>
      </c>
      <c r="D456" t="s">
        <v>59</v>
      </c>
      <c r="E456" t="s">
        <v>41</v>
      </c>
      <c r="F456" t="s">
        <v>10</v>
      </c>
      <c r="G456" t="s">
        <v>15</v>
      </c>
      <c r="H456" t="s">
        <v>33</v>
      </c>
      <c r="I456">
        <v>0.8</v>
      </c>
      <c r="J456">
        <v>5.43</v>
      </c>
      <c r="K456">
        <v>1</v>
      </c>
      <c r="L456">
        <v>0</v>
      </c>
      <c r="M456" t="str" cm="1">
        <f t="array" ref="M456">_xlfn.IFS(
   OR($F456="Pagar", $F456="Pintu Gerbang", $F456="Pintu Handerson", $F456="Kanopi"), "PER-M2",
   $F456="Teralis", "PER-LUBANG",
   OR($F456="Railing", $F456="Railing/Balkon"), "PER-M",
   TRUE, ""
)</f>
        <v>PER-M2</v>
      </c>
      <c r="N456" cm="1">
        <f t="array" ref="N456">IF($M456="PER-M2",
  IFERROR(
     _xlfn.IFS(
        $G456="Hollow",
            INDEX('Referensi Harga'!$C:$C,
                  MATCH($F456&amp;$C456,'Referensi Harga'!$A:$A&amp;'Referensi Harga'!$B:$B,0)),
        $G456="Hollow Stainless",
            INDEX('Referensi Harga'!$D:$D,
                  MATCH($F456&amp;$C456,'Referensi Harga'!$A:$A&amp;'Referensi Harga'!$B:$B,0)),
        $G456="Pipa Stainless",
            INDEX('Referensi Harga'!$E:$E,
                  MATCH($F456&amp;$C456,'Referensi Harga'!$A:$A&amp;'Referensi Harga'!$B:$B,0))
     ),0)
  + IFERROR(VLOOKUP($H456,'Profile Size'!$A:$B,2,FALSE),0)
  + IFERROR(VLOOKUP($I456,'Ketebalan Material'!$A:$B,2,FALSE),0),
0)</f>
        <v>1460000</v>
      </c>
      <c r="O456">
        <f>IF($M456="PER-M",
  IFERROR(
    IF($G456="Hollow",
       INDEX('Referensi Harga'!$C:$C, MATCH($F456 &amp; "|" &amp; $C456, 'Referensi Harga'!$F:$F, 0)),
    IF($G456="Hollow Stainless",
       INDEX('Referensi Harga'!$D:$D, MATCH($F456 &amp; "|" &amp; $C456, 'Referensi Harga'!$F:$F, 0)),
       INDEX('Referensi Harga'!$E:$E, MATCH($F456 &amp; "|" &amp; $C456, 'Referensi Harga'!$F:$F, 0))
    ))
    + IFERROR(VLOOKUP($H456, 'Profile Size'!$A:$B, 2, FALSE), 0)
    + IFERROR(VLOOKUP($I456, 'Ketebalan Material'!$A:$B, 2, FALSE), 0), 0),
0)</f>
        <v>0</v>
      </c>
      <c r="P456" cm="1">
        <f t="array" ref="P456">IF($M456="PER-LUBANG",
  IFERROR(
     _xlfn.IFS(
        $G456="Hollow",
            INDEX('Referensi Harga'!$C:$C,
                  MATCH($F456&amp;$C456,'Referensi Harga'!$A:$A&amp;'Referensi Harga'!$B:$B,0)),
        $G456="Hollow Stainless",
            INDEX('Referensi Harga'!$D:$D,
                  MATCH($F456&amp;$C456,'Referensi Harga'!$A:$A&amp;'Referensi Harga'!$B:$B,0)),
        $G456="Pipa Stainless",
            INDEX('Referensi Harga'!$E:$E,
                  MATCH($F456&amp;$C456,'Referensi Harga'!$A:$A&amp;'Referensi Harga'!$B:$B,0))
     ),0)
  + IFERROR(VLOOKUP($H456,'Profile Size'!$A:$B,2,FALSE),0)
  + IFERROR(VLOOKUP($I456,'Ketebalan Material'!$A:$B,2,FALSE),0),
0)</f>
        <v>0</v>
      </c>
      <c r="Q456">
        <f>IF($M456="PER-M2",
    IFERROR(
        SUMIFS('Upah Tenaga Ahli'!$C:$C,
               'Upah Tenaga Ahli'!$A:$A,"PER-M2",
               'Upah Tenaga Ahli'!$B:$B,$G456
        ) * $J456 * $K456,
    0),
IF($M456="PER-LUBANG",
    IFERROR(
        SUMIFS('Upah Tenaga Ahli'!$D:$D,
               'Upah Tenaga Ahli'!$A:$A,"PER-LUBANG",
               'Upah Tenaga Ahli'!$B:$B,$G456
        ) * $L456 * $K456,
    0),
IF($M456="PER-M",
    IFERROR(
        SUMIFS('Upah Tenaga Ahli'!$E:$E,
               'Upah Tenaga Ahli'!$A:$A,"PER-M",
               'Upah Tenaga Ahli'!$B:$B,$G456
        ) * $J456 * $K456,
    0),
0)))</f>
        <v>814500</v>
      </c>
      <c r="R456" t="s">
        <v>617</v>
      </c>
      <c r="S456" t="s">
        <v>24</v>
      </c>
      <c r="T456">
        <f>IF($M456="PER-M2",
   ($N456 * $J456 * $K456)
   + IFERROR(VLOOKUP($R456,Finishing!A:B,2,FALSE),0)
   + IFERROR(VLOOKUP($S456,Kerumitan!A:B,2,FALSE),0),
IF($M456="PER-LUBANG",
   ($P456 * $L456 * $K456)
   + IFERROR(VLOOKUP($R456,Finishing!A:B,2,FALSE),0)
   + IFERROR(VLOOKUP($S456,Kerumitan!A:B,2,FALSE),0),
IF($M456="PER-M",
   ($O456 * $J456 * $K456)
   + IFERROR(VLOOKUP($R456,Finishing!A:B,2,FALSE),0)
   + IFERROR(VLOOKUP($S456,Kerumitan!A:B,2,FALSE),0),
0)))</f>
        <v>8027800</v>
      </c>
    </row>
    <row r="457" spans="1:20" x14ac:dyDescent="0.45">
      <c r="A457" t="s">
        <v>554</v>
      </c>
      <c r="B457" s="5">
        <v>45017</v>
      </c>
      <c r="C457">
        <f t="shared" si="7"/>
        <v>2023</v>
      </c>
      <c r="D457" t="s">
        <v>101</v>
      </c>
      <c r="E457" t="s">
        <v>91</v>
      </c>
      <c r="F457" t="s">
        <v>7</v>
      </c>
      <c r="G457" t="s">
        <v>13</v>
      </c>
      <c r="H457" t="s">
        <v>35</v>
      </c>
      <c r="I457">
        <v>1.2</v>
      </c>
      <c r="J457">
        <v>12.14</v>
      </c>
      <c r="K457">
        <v>1</v>
      </c>
      <c r="L457">
        <v>0</v>
      </c>
      <c r="M457" t="str" cm="1">
        <f t="array" ref="M457">_xlfn.IFS(
   OR($F457="Pagar", $F457="Pintu Gerbang", $F457="Pintu Handerson", $F457="Kanopi"), "PER-M2",
   $F457="Teralis", "PER-LUBANG",
   OR($F457="Railing", $F457="Railing/Balkon"), "PER-M",
   TRUE, ""
)</f>
        <v>PER-M2</v>
      </c>
      <c r="N457" cm="1">
        <f t="array" ref="N457">IF($M457="PER-M2",
  IFERROR(
     _xlfn.IFS(
        $G457="Hollow",
            INDEX('Referensi Harga'!$C:$C,
                  MATCH($F457&amp;$C457,'Referensi Harga'!$A:$A&amp;'Referensi Harga'!$B:$B,0)),
        $G457="Hollow Stainless",
            INDEX('Referensi Harga'!$D:$D,
                  MATCH($F457&amp;$C457,'Referensi Harga'!$A:$A&amp;'Referensi Harga'!$B:$B,0)),
        $G457="Pipa Stainless",
            INDEX('Referensi Harga'!$E:$E,
                  MATCH($F457&amp;$C457,'Referensi Harga'!$A:$A&amp;'Referensi Harga'!$B:$B,0))
     ),0)
  + IFERROR(VLOOKUP($H457,'Profile Size'!$A:$B,2,FALSE),0)
  + IFERROR(VLOOKUP($I457,'Ketebalan Material'!$A:$B,2,FALSE),0),
0)</f>
        <v>900000</v>
      </c>
      <c r="O457">
        <f>IF($M457="PER-M",
  IFERROR(
    IF($G457="Hollow",
       INDEX('Referensi Harga'!$C:$C, MATCH($F457 &amp; "|" &amp; $C457, 'Referensi Harga'!$F:$F, 0)),
    IF($G457="Hollow Stainless",
       INDEX('Referensi Harga'!$D:$D, MATCH($F457 &amp; "|" &amp; $C457, 'Referensi Harga'!$F:$F, 0)),
       INDEX('Referensi Harga'!$E:$E, MATCH($F457 &amp; "|" &amp; $C457, 'Referensi Harga'!$F:$F, 0))
    ))
    + IFERROR(VLOOKUP($H457, 'Profile Size'!$A:$B, 2, FALSE), 0)
    + IFERROR(VLOOKUP($I457, 'Ketebalan Material'!$A:$B, 2, FALSE), 0), 0),
0)</f>
        <v>0</v>
      </c>
      <c r="P457" cm="1">
        <f t="array" ref="P457">IF($M457="PER-LUBANG",
  IFERROR(
     _xlfn.IFS(
        $G457="Hollow",
            INDEX('Referensi Harga'!$C:$C,
                  MATCH($F457&amp;$C457,'Referensi Harga'!$A:$A&amp;'Referensi Harga'!$B:$B,0)),
        $G457="Hollow Stainless",
            INDEX('Referensi Harga'!$D:$D,
                  MATCH($F457&amp;$C457,'Referensi Harga'!$A:$A&amp;'Referensi Harga'!$B:$B,0)),
        $G457="Pipa Stainless",
            INDEX('Referensi Harga'!$E:$E,
                  MATCH($F457&amp;$C457,'Referensi Harga'!$A:$A&amp;'Referensi Harga'!$B:$B,0))
     ),0)
  + IFERROR(VLOOKUP($H457,'Profile Size'!$A:$B,2,FALSE),0)
  + IFERROR(VLOOKUP($I457,'Ketebalan Material'!$A:$B,2,FALSE),0),
0)</f>
        <v>0</v>
      </c>
      <c r="Q457">
        <f>IF($M457="PER-M2",
    IFERROR(
        SUMIFS('Upah Tenaga Ahli'!$C:$C,
               'Upah Tenaga Ahli'!$A:$A,"PER-M2",
               'Upah Tenaga Ahli'!$B:$B,$G457
        ) * $J457 * $K457,
    0),
IF($M457="PER-LUBANG",
    IFERROR(
        SUMIFS('Upah Tenaga Ahli'!$D:$D,
               'Upah Tenaga Ahli'!$A:$A,"PER-LUBANG",
               'Upah Tenaga Ahli'!$B:$B,$G457
        ) * $L457 * $K457,
    0),
IF($M457="PER-M",
    IFERROR(
        SUMIFS('Upah Tenaga Ahli'!$E:$E,
               'Upah Tenaga Ahli'!$A:$A,"PER-M",
               'Upah Tenaga Ahli'!$B:$B,$G457
        ) * $J457 * $K457,
    0),
0)))</f>
        <v>1214000</v>
      </c>
      <c r="R457" t="s">
        <v>19</v>
      </c>
      <c r="S457" t="s">
        <v>24</v>
      </c>
      <c r="T457">
        <f>IF($M457="PER-M2",
   ($N457 * $J457 * $K457)
   + IFERROR(VLOOKUP($R457,Finishing!A:B,2,FALSE),0)
   + IFERROR(VLOOKUP($S457,Kerumitan!A:B,2,FALSE),0),
IF($M457="PER-LUBANG",
   ($P457 * $L457 * $K457)
   + IFERROR(VLOOKUP($R457,Finishing!A:B,2,FALSE),0)
   + IFERROR(VLOOKUP($S457,Kerumitan!A:B,2,FALSE),0),
IF($M457="PER-M",
   ($O457 * $J457 * $K457)
   + IFERROR(VLOOKUP($R457,Finishing!A:B,2,FALSE),0)
   + IFERROR(VLOOKUP($S457,Kerumitan!A:B,2,FALSE),0),
0)))</f>
        <v>11076000</v>
      </c>
    </row>
    <row r="458" spans="1:20" x14ac:dyDescent="0.45">
      <c r="A458" t="s">
        <v>555</v>
      </c>
      <c r="B458" s="5">
        <v>44796</v>
      </c>
      <c r="C458">
        <f t="shared" si="7"/>
        <v>2022</v>
      </c>
      <c r="D458" t="s">
        <v>270</v>
      </c>
      <c r="E458" t="s">
        <v>61</v>
      </c>
      <c r="F458" t="s">
        <v>7</v>
      </c>
      <c r="G458" t="s">
        <v>13</v>
      </c>
      <c r="H458" t="s">
        <v>35</v>
      </c>
      <c r="I458">
        <v>1.2</v>
      </c>
      <c r="J458">
        <v>11.1</v>
      </c>
      <c r="K458">
        <v>1</v>
      </c>
      <c r="L458">
        <v>0</v>
      </c>
      <c r="M458" t="str" cm="1">
        <f t="array" ref="M458">_xlfn.IFS(
   OR($F458="Pagar", $F458="Pintu Gerbang", $F458="Pintu Handerson", $F458="Kanopi"), "PER-M2",
   $F458="Teralis", "PER-LUBANG",
   OR($F458="Railing", $F458="Railing/Balkon"), "PER-M",
   TRUE, ""
)</f>
        <v>PER-M2</v>
      </c>
      <c r="N458" cm="1">
        <f t="array" ref="N458">IF($M458="PER-M2",
  IFERROR(
     _xlfn.IFS(
        $G458="Hollow",
            INDEX('Referensi Harga'!$C:$C,
                  MATCH($F458&amp;$C458,'Referensi Harga'!$A:$A&amp;'Referensi Harga'!$B:$B,0)),
        $G458="Hollow Stainless",
            INDEX('Referensi Harga'!$D:$D,
                  MATCH($F458&amp;$C458,'Referensi Harga'!$A:$A&amp;'Referensi Harga'!$B:$B,0)),
        $G458="Pipa Stainless",
            INDEX('Referensi Harga'!$E:$E,
                  MATCH($F458&amp;$C458,'Referensi Harga'!$A:$A&amp;'Referensi Harga'!$B:$B,0))
     ),0)
  + IFERROR(VLOOKUP($H458,'Profile Size'!$A:$B,2,FALSE),0)
  + IFERROR(VLOOKUP($I458,'Ketebalan Material'!$A:$B,2,FALSE),0),
0)</f>
        <v>850000</v>
      </c>
      <c r="O458">
        <f>IF($M458="PER-M",
  IFERROR(
    IF($G458="Hollow",
       INDEX('Referensi Harga'!$C:$C, MATCH($F458 &amp; "|" &amp; $C458, 'Referensi Harga'!$F:$F, 0)),
    IF($G458="Hollow Stainless",
       INDEX('Referensi Harga'!$D:$D, MATCH($F458 &amp; "|" &amp; $C458, 'Referensi Harga'!$F:$F, 0)),
       INDEX('Referensi Harga'!$E:$E, MATCH($F458 &amp; "|" &amp; $C458, 'Referensi Harga'!$F:$F, 0))
    ))
    + IFERROR(VLOOKUP($H458, 'Profile Size'!$A:$B, 2, FALSE), 0)
    + IFERROR(VLOOKUP($I458, 'Ketebalan Material'!$A:$B, 2, FALSE), 0), 0),
0)</f>
        <v>0</v>
      </c>
      <c r="P458" cm="1">
        <f t="array" ref="P458">IF($M458="PER-LUBANG",
  IFERROR(
     _xlfn.IFS(
        $G458="Hollow",
            INDEX('Referensi Harga'!$C:$C,
                  MATCH($F458&amp;$C458,'Referensi Harga'!$A:$A&amp;'Referensi Harga'!$B:$B,0)),
        $G458="Hollow Stainless",
            INDEX('Referensi Harga'!$D:$D,
                  MATCH($F458&amp;$C458,'Referensi Harga'!$A:$A&amp;'Referensi Harga'!$B:$B,0)),
        $G458="Pipa Stainless",
            INDEX('Referensi Harga'!$E:$E,
                  MATCH($F458&amp;$C458,'Referensi Harga'!$A:$A&amp;'Referensi Harga'!$B:$B,0))
     ),0)
  + IFERROR(VLOOKUP($H458,'Profile Size'!$A:$B,2,FALSE),0)
  + IFERROR(VLOOKUP($I458,'Ketebalan Material'!$A:$B,2,FALSE),0),
0)</f>
        <v>0</v>
      </c>
      <c r="Q458">
        <f>IF($M458="PER-M2",
    IFERROR(
        SUMIFS('Upah Tenaga Ahli'!$C:$C,
               'Upah Tenaga Ahli'!$A:$A,"PER-M2",
               'Upah Tenaga Ahli'!$B:$B,$G458
        ) * $J458 * $K458,
    0),
IF($M458="PER-LUBANG",
    IFERROR(
        SUMIFS('Upah Tenaga Ahli'!$D:$D,
               'Upah Tenaga Ahli'!$A:$A,"PER-LUBANG",
               'Upah Tenaga Ahli'!$B:$B,$G458
        ) * $L458 * $K458,
    0),
IF($M458="PER-M",
    IFERROR(
        SUMIFS('Upah Tenaga Ahli'!$E:$E,
               'Upah Tenaga Ahli'!$A:$A,"PER-M",
               'Upah Tenaga Ahli'!$B:$B,$G458
        ) * $J458 * $K458,
    0),
0)))</f>
        <v>1110000</v>
      </c>
      <c r="R458" t="s">
        <v>20</v>
      </c>
      <c r="S458" t="s">
        <v>23</v>
      </c>
      <c r="T458">
        <f>IF($M458="PER-M2",
   ($N458 * $J458 * $K458)
   + IFERROR(VLOOKUP($R458,Finishing!A:B,2,FALSE),0)
   + IFERROR(VLOOKUP($S458,Kerumitan!A:B,2,FALSE),0),
IF($M458="PER-LUBANG",
   ($P458 * $L458 * $K458)
   + IFERROR(VLOOKUP($R458,Finishing!A:B,2,FALSE),0)
   + IFERROR(VLOOKUP($S458,Kerumitan!A:B,2,FALSE),0),
IF($M458="PER-M",
   ($O458 * $J458 * $K458)
   + IFERROR(VLOOKUP($R458,Finishing!A:B,2,FALSE),0)
   + IFERROR(VLOOKUP($S458,Kerumitan!A:B,2,FALSE),0),
0)))</f>
        <v>9585000</v>
      </c>
    </row>
    <row r="459" spans="1:20" x14ac:dyDescent="0.45">
      <c r="A459" t="s">
        <v>556</v>
      </c>
      <c r="B459" s="5">
        <v>44987</v>
      </c>
      <c r="C459">
        <f t="shared" si="7"/>
        <v>2023</v>
      </c>
      <c r="D459" t="s">
        <v>344</v>
      </c>
      <c r="E459" t="s">
        <v>32</v>
      </c>
      <c r="F459" t="s">
        <v>7</v>
      </c>
      <c r="G459" t="s">
        <v>14</v>
      </c>
      <c r="H459" t="s">
        <v>615</v>
      </c>
      <c r="I459">
        <v>1.2</v>
      </c>
      <c r="J459">
        <v>8.48</v>
      </c>
      <c r="K459">
        <v>1</v>
      </c>
      <c r="L459">
        <v>0</v>
      </c>
      <c r="M459" t="str" cm="1">
        <f t="array" ref="M459">_xlfn.IFS(
   OR($F459="Pagar", $F459="Pintu Gerbang", $F459="Pintu Handerson", $F459="Kanopi"), "PER-M2",
   $F459="Teralis", "PER-LUBANG",
   OR($F459="Railing", $F459="Railing/Balkon"), "PER-M",
   TRUE, ""
)</f>
        <v>PER-M2</v>
      </c>
      <c r="N459" cm="1">
        <f t="array" ref="N459">IF($M459="PER-M2",
  IFERROR(
     _xlfn.IFS(
        $G459="Hollow",
            INDEX('Referensi Harga'!$C:$C,
                  MATCH($F459&amp;$C459,'Referensi Harga'!$A:$A&amp;'Referensi Harga'!$B:$B,0)),
        $G459="Hollow Stainless",
            INDEX('Referensi Harga'!$D:$D,
                  MATCH($F459&amp;$C459,'Referensi Harga'!$A:$A&amp;'Referensi Harga'!$B:$B,0)),
        $G459="Pipa Stainless",
            INDEX('Referensi Harga'!$E:$E,
                  MATCH($F459&amp;$C459,'Referensi Harga'!$A:$A&amp;'Referensi Harga'!$B:$B,0))
     ),0)
  + IFERROR(VLOOKUP($H459,'Profile Size'!$A:$B,2,FALSE),0)
  + IFERROR(VLOOKUP($I459,'Ketebalan Material'!$A:$B,2,FALSE),0),
0)</f>
        <v>1350000</v>
      </c>
      <c r="O459">
        <f>IF($M459="PER-M",
  IFERROR(
    IF($G459="Hollow",
       INDEX('Referensi Harga'!$C:$C, MATCH($F459 &amp; "|" &amp; $C459, 'Referensi Harga'!$F:$F, 0)),
    IF($G459="Hollow Stainless",
       INDEX('Referensi Harga'!$D:$D, MATCH($F459 &amp; "|" &amp; $C459, 'Referensi Harga'!$F:$F, 0)),
       INDEX('Referensi Harga'!$E:$E, MATCH($F459 &amp; "|" &amp; $C459, 'Referensi Harga'!$F:$F, 0))
    ))
    + IFERROR(VLOOKUP($H459, 'Profile Size'!$A:$B, 2, FALSE), 0)
    + IFERROR(VLOOKUP($I459, 'Ketebalan Material'!$A:$B, 2, FALSE), 0), 0),
0)</f>
        <v>0</v>
      </c>
      <c r="P459" cm="1">
        <f t="array" ref="P459">IF($M459="PER-LUBANG",
  IFERROR(
     _xlfn.IFS(
        $G459="Hollow",
            INDEX('Referensi Harga'!$C:$C,
                  MATCH($F459&amp;$C459,'Referensi Harga'!$A:$A&amp;'Referensi Harga'!$B:$B,0)),
        $G459="Hollow Stainless",
            INDEX('Referensi Harga'!$D:$D,
                  MATCH($F459&amp;$C459,'Referensi Harga'!$A:$A&amp;'Referensi Harga'!$B:$B,0)),
        $G459="Pipa Stainless",
            INDEX('Referensi Harga'!$E:$E,
                  MATCH($F459&amp;$C459,'Referensi Harga'!$A:$A&amp;'Referensi Harga'!$B:$B,0))
     ),0)
  + IFERROR(VLOOKUP($H459,'Profile Size'!$A:$B,2,FALSE),0)
  + IFERROR(VLOOKUP($I459,'Ketebalan Material'!$A:$B,2,FALSE),0),
0)</f>
        <v>0</v>
      </c>
      <c r="Q459">
        <f>IF($M459="PER-M2",
    IFERROR(
        SUMIFS('Upah Tenaga Ahli'!$C:$C,
               'Upah Tenaga Ahli'!$A:$A,"PER-M2",
               'Upah Tenaga Ahli'!$B:$B,$G459
        ) * $J459 * $K459,
    0),
IF($M459="PER-LUBANG",
    IFERROR(
        SUMIFS('Upah Tenaga Ahli'!$D:$D,
               'Upah Tenaga Ahli'!$A:$A,"PER-LUBANG",
               'Upah Tenaga Ahli'!$B:$B,$G459
        ) * $L459 * $K459,
    0),
IF($M459="PER-M",
    IFERROR(
        SUMIFS('Upah Tenaga Ahli'!$E:$E,
               'Upah Tenaga Ahli'!$A:$A,"PER-M",
               'Upah Tenaga Ahli'!$B:$B,$G459
        ) * $J459 * $K459,
    0),
0)))</f>
        <v>1696000</v>
      </c>
      <c r="R459" t="s">
        <v>617</v>
      </c>
      <c r="S459" t="s">
        <v>25</v>
      </c>
      <c r="T459">
        <f>IF($M459="PER-M2",
   ($N459 * $J459 * $K459)
   + IFERROR(VLOOKUP($R459,Finishing!A:B,2,FALSE),0)
   + IFERROR(VLOOKUP($S459,Kerumitan!A:B,2,FALSE),0),
IF($M459="PER-LUBANG",
   ($P459 * $L459 * $K459)
   + IFERROR(VLOOKUP($R459,Finishing!A:B,2,FALSE),0)
   + IFERROR(VLOOKUP($S459,Kerumitan!A:B,2,FALSE),0),
IF($M459="PER-M",
   ($O459 * $J459 * $K459)
   + IFERROR(VLOOKUP($R459,Finishing!A:B,2,FALSE),0)
   + IFERROR(VLOOKUP($S459,Kerumitan!A:B,2,FALSE),0),
0)))</f>
        <v>11598000</v>
      </c>
    </row>
    <row r="460" spans="1:20" x14ac:dyDescent="0.45">
      <c r="A460" t="s">
        <v>557</v>
      </c>
      <c r="B460" s="5">
        <v>43486</v>
      </c>
      <c r="C460">
        <f t="shared" si="7"/>
        <v>2019</v>
      </c>
      <c r="D460" t="s">
        <v>83</v>
      </c>
      <c r="E460" t="s">
        <v>87</v>
      </c>
      <c r="F460" t="s">
        <v>4</v>
      </c>
      <c r="G460" t="s">
        <v>14</v>
      </c>
      <c r="H460" t="s">
        <v>615</v>
      </c>
      <c r="I460">
        <v>0.8</v>
      </c>
      <c r="J460">
        <v>21.73</v>
      </c>
      <c r="K460">
        <v>1</v>
      </c>
      <c r="L460">
        <v>0</v>
      </c>
      <c r="M460" t="str" cm="1">
        <f t="array" ref="M460">_xlfn.IFS(
   OR($F460="Pagar", $F460="Pintu Gerbang", $F460="Pintu Handerson", $F460="Kanopi"), "PER-M2",
   $F460="Teralis", "PER-LUBANG",
   OR($F460="Railing", $F460="Railing/Balkon"), "PER-M",
   TRUE, ""
)</f>
        <v>PER-M2</v>
      </c>
      <c r="N460" cm="1">
        <f t="array" ref="N460">IF($M460="PER-M2",
  IFERROR(
     _xlfn.IFS(
        $G460="Hollow",
            INDEX('Referensi Harga'!$C:$C,
                  MATCH($F460&amp;$C460,'Referensi Harga'!$A:$A&amp;'Referensi Harga'!$B:$B,0)),
        $G460="Hollow Stainless",
            INDEX('Referensi Harga'!$D:$D,
                  MATCH($F460&amp;$C460,'Referensi Harga'!$A:$A&amp;'Referensi Harga'!$B:$B,0)),
        $G460="Pipa Stainless",
            INDEX('Referensi Harga'!$E:$E,
                  MATCH($F460&amp;$C460,'Referensi Harga'!$A:$A&amp;'Referensi Harga'!$B:$B,0))
     ),0)
  + IFERROR(VLOOKUP($H460,'Profile Size'!$A:$B,2,FALSE),0)
  + IFERROR(VLOOKUP($I460,'Ketebalan Material'!$A:$B,2,FALSE),0),
0)</f>
        <v>950000</v>
      </c>
      <c r="O460">
        <f>IF($M460="PER-M",
  IFERROR(
    IF($G460="Hollow",
       INDEX('Referensi Harga'!$C:$C, MATCH($F460 &amp; "|" &amp; $C460, 'Referensi Harga'!$F:$F, 0)),
    IF($G460="Hollow Stainless",
       INDEX('Referensi Harga'!$D:$D, MATCH($F460 &amp; "|" &amp; $C460, 'Referensi Harga'!$F:$F, 0)),
       INDEX('Referensi Harga'!$E:$E, MATCH($F460 &amp; "|" &amp; $C460, 'Referensi Harga'!$F:$F, 0))
    ))
    + IFERROR(VLOOKUP($H460, 'Profile Size'!$A:$B, 2, FALSE), 0)
    + IFERROR(VLOOKUP($I460, 'Ketebalan Material'!$A:$B, 2, FALSE), 0), 0),
0)</f>
        <v>0</v>
      </c>
      <c r="P460" cm="1">
        <f t="array" ref="P460">IF($M460="PER-LUBANG",
  IFERROR(
     _xlfn.IFS(
        $G460="Hollow",
            INDEX('Referensi Harga'!$C:$C,
                  MATCH($F460&amp;$C460,'Referensi Harga'!$A:$A&amp;'Referensi Harga'!$B:$B,0)),
        $G460="Hollow Stainless",
            INDEX('Referensi Harga'!$D:$D,
                  MATCH($F460&amp;$C460,'Referensi Harga'!$A:$A&amp;'Referensi Harga'!$B:$B,0)),
        $G460="Pipa Stainless",
            INDEX('Referensi Harga'!$E:$E,
                  MATCH($F460&amp;$C460,'Referensi Harga'!$A:$A&amp;'Referensi Harga'!$B:$B,0))
     ),0)
  + IFERROR(VLOOKUP($H460,'Profile Size'!$A:$B,2,FALSE),0)
  + IFERROR(VLOOKUP($I460,'Ketebalan Material'!$A:$B,2,FALSE),0),
0)</f>
        <v>0</v>
      </c>
      <c r="Q460">
        <f>IF($M460="PER-M2",
    IFERROR(
        SUMIFS('Upah Tenaga Ahli'!$C:$C,
               'Upah Tenaga Ahli'!$A:$A,"PER-M2",
               'Upah Tenaga Ahli'!$B:$B,$G460
        ) * $J460 * $K460,
    0),
IF($M460="PER-LUBANG",
    IFERROR(
        SUMIFS('Upah Tenaga Ahli'!$D:$D,
               'Upah Tenaga Ahli'!$A:$A,"PER-LUBANG",
               'Upah Tenaga Ahli'!$B:$B,$G460
        ) * $L460 * $K460,
    0),
IF($M460="PER-M",
    IFERROR(
        SUMIFS('Upah Tenaga Ahli'!$E:$E,
               'Upah Tenaga Ahli'!$A:$A,"PER-M",
               'Upah Tenaga Ahli'!$B:$B,$G460
        ) * $J460 * $K460,
    0),
0)))</f>
        <v>4346000</v>
      </c>
      <c r="R460" t="s">
        <v>617</v>
      </c>
      <c r="S460" t="s">
        <v>23</v>
      </c>
      <c r="T460">
        <f>IF($M460="PER-M2",
   ($N460 * $J460 * $K460)
   + IFERROR(VLOOKUP($R460,Finishing!A:B,2,FALSE),0)
   + IFERROR(VLOOKUP($S460,Kerumitan!A:B,2,FALSE),0),
IF($M460="PER-LUBANG",
   ($P460 * $L460 * $K460)
   + IFERROR(VLOOKUP($R460,Finishing!A:B,2,FALSE),0)
   + IFERROR(VLOOKUP($S460,Kerumitan!A:B,2,FALSE),0),
IF($M460="PER-M",
   ($O460 * $J460 * $K460)
   + IFERROR(VLOOKUP($R460,Finishing!A:B,2,FALSE),0)
   + IFERROR(VLOOKUP($S460,Kerumitan!A:B,2,FALSE),0),
0)))</f>
        <v>20643500</v>
      </c>
    </row>
    <row r="461" spans="1:20" x14ac:dyDescent="0.45">
      <c r="A461" t="s">
        <v>558</v>
      </c>
      <c r="B461" s="5">
        <v>45287</v>
      </c>
      <c r="C461">
        <f t="shared" si="7"/>
        <v>2023</v>
      </c>
      <c r="D461" t="s">
        <v>101</v>
      </c>
      <c r="E461" t="s">
        <v>28</v>
      </c>
      <c r="F461" t="s">
        <v>4</v>
      </c>
      <c r="G461" t="s">
        <v>13</v>
      </c>
      <c r="H461" t="s">
        <v>33</v>
      </c>
      <c r="I461">
        <v>1.2</v>
      </c>
      <c r="J461">
        <v>28.87</v>
      </c>
      <c r="K461">
        <v>1</v>
      </c>
      <c r="L461">
        <v>0</v>
      </c>
      <c r="M461" t="str" cm="1">
        <f t="array" ref="M461">_xlfn.IFS(
   OR($F461="Pagar", $F461="Pintu Gerbang", $F461="Pintu Handerson", $F461="Kanopi"), "PER-M2",
   $F461="Teralis", "PER-LUBANG",
   OR($F461="Railing", $F461="Railing/Balkon"), "PER-M",
   TRUE, ""
)</f>
        <v>PER-M2</v>
      </c>
      <c r="N461" cm="1">
        <f t="array" ref="N461">IF($M461="PER-M2",
  IFERROR(
     _xlfn.IFS(
        $G461="Hollow",
            INDEX('Referensi Harga'!$C:$C,
                  MATCH($F461&amp;$C461,'Referensi Harga'!$A:$A&amp;'Referensi Harga'!$B:$B,0)),
        $G461="Hollow Stainless",
            INDEX('Referensi Harga'!$D:$D,
                  MATCH($F461&amp;$C461,'Referensi Harga'!$A:$A&amp;'Referensi Harga'!$B:$B,0)),
        $G461="Pipa Stainless",
            INDEX('Referensi Harga'!$E:$E,
                  MATCH($F461&amp;$C461,'Referensi Harga'!$A:$A&amp;'Referensi Harga'!$B:$B,0))
     ),0)
  + IFERROR(VLOOKUP($H461,'Profile Size'!$A:$B,2,FALSE),0)
  + IFERROR(VLOOKUP($I461,'Ketebalan Material'!$A:$B,2,FALSE),0),
0)</f>
        <v>650000</v>
      </c>
      <c r="O461">
        <f>IF($M461="PER-M",
  IFERROR(
    IF($G461="Hollow",
       INDEX('Referensi Harga'!$C:$C, MATCH($F461 &amp; "|" &amp; $C461, 'Referensi Harga'!$F:$F, 0)),
    IF($G461="Hollow Stainless",
       INDEX('Referensi Harga'!$D:$D, MATCH($F461 &amp; "|" &amp; $C461, 'Referensi Harga'!$F:$F, 0)),
       INDEX('Referensi Harga'!$E:$E, MATCH($F461 &amp; "|" &amp; $C461, 'Referensi Harga'!$F:$F, 0))
    ))
    + IFERROR(VLOOKUP($H461, 'Profile Size'!$A:$B, 2, FALSE), 0)
    + IFERROR(VLOOKUP($I461, 'Ketebalan Material'!$A:$B, 2, FALSE), 0), 0),
0)</f>
        <v>0</v>
      </c>
      <c r="P461" cm="1">
        <f t="array" ref="P461">IF($M461="PER-LUBANG",
  IFERROR(
     _xlfn.IFS(
        $G461="Hollow",
            INDEX('Referensi Harga'!$C:$C,
                  MATCH($F461&amp;$C461,'Referensi Harga'!$A:$A&amp;'Referensi Harga'!$B:$B,0)),
        $G461="Hollow Stainless",
            INDEX('Referensi Harga'!$D:$D,
                  MATCH($F461&amp;$C461,'Referensi Harga'!$A:$A&amp;'Referensi Harga'!$B:$B,0)),
        $G461="Pipa Stainless",
            INDEX('Referensi Harga'!$E:$E,
                  MATCH($F461&amp;$C461,'Referensi Harga'!$A:$A&amp;'Referensi Harga'!$B:$B,0))
     ),0)
  + IFERROR(VLOOKUP($H461,'Profile Size'!$A:$B,2,FALSE),0)
  + IFERROR(VLOOKUP($I461,'Ketebalan Material'!$A:$B,2,FALSE),0),
0)</f>
        <v>0</v>
      </c>
      <c r="Q461">
        <f>IF($M461="PER-M2",
    IFERROR(
        SUMIFS('Upah Tenaga Ahli'!$C:$C,
               'Upah Tenaga Ahli'!$A:$A,"PER-M2",
               'Upah Tenaga Ahli'!$B:$B,$G461
        ) * $J461 * $K461,
    0),
IF($M461="PER-LUBANG",
    IFERROR(
        SUMIFS('Upah Tenaga Ahli'!$D:$D,
               'Upah Tenaga Ahli'!$A:$A,"PER-LUBANG",
               'Upah Tenaga Ahli'!$B:$B,$G461
        ) * $L461 * $K461,
    0),
IF($M461="PER-M",
    IFERROR(
        SUMIFS('Upah Tenaga Ahli'!$E:$E,
               'Upah Tenaga Ahli'!$A:$A,"PER-M",
               'Upah Tenaga Ahli'!$B:$B,$G461
        ) * $J461 * $K461,
    0),
0)))</f>
        <v>2887000</v>
      </c>
      <c r="R461" t="s">
        <v>19</v>
      </c>
      <c r="S461" t="s">
        <v>24</v>
      </c>
      <c r="T461">
        <f>IF($M461="PER-M2",
   ($N461 * $J461 * $K461)
   + IFERROR(VLOOKUP($R461,Finishing!A:B,2,FALSE),0)
   + IFERROR(VLOOKUP($S461,Kerumitan!A:B,2,FALSE),0),
IF($M461="PER-LUBANG",
   ($P461 * $L461 * $K461)
   + IFERROR(VLOOKUP($R461,Finishing!A:B,2,FALSE),0)
   + IFERROR(VLOOKUP($S461,Kerumitan!A:B,2,FALSE),0),
IF($M461="PER-M",
   ($O461 * $J461 * $K461)
   + IFERROR(VLOOKUP($R461,Finishing!A:B,2,FALSE),0)
   + IFERROR(VLOOKUP($S461,Kerumitan!A:B,2,FALSE),0),
0)))</f>
        <v>18915500</v>
      </c>
    </row>
    <row r="462" spans="1:20" x14ac:dyDescent="0.45">
      <c r="A462" t="s">
        <v>559</v>
      </c>
      <c r="B462" s="5">
        <v>45245</v>
      </c>
      <c r="C462">
        <f t="shared" si="7"/>
        <v>2023</v>
      </c>
      <c r="D462" t="s">
        <v>65</v>
      </c>
      <c r="E462" t="s">
        <v>32</v>
      </c>
      <c r="F462" t="s">
        <v>6</v>
      </c>
      <c r="G462" t="s">
        <v>13</v>
      </c>
      <c r="H462" t="s">
        <v>46</v>
      </c>
      <c r="I462">
        <v>0.8</v>
      </c>
      <c r="J462">
        <v>7.81</v>
      </c>
      <c r="K462">
        <v>2</v>
      </c>
      <c r="L462">
        <v>0</v>
      </c>
      <c r="M462" t="str" cm="1">
        <f t="array" ref="M462">_xlfn.IFS(
   OR($F462="Pagar", $F462="Pintu Gerbang", $F462="Pintu Handerson", $F462="Kanopi"), "PER-M2",
   $F462="Teralis", "PER-LUBANG",
   OR($F462="Railing", $F462="Railing/Balkon"), "PER-M",
   TRUE, ""
)</f>
        <v>PER-M2</v>
      </c>
      <c r="N462" cm="1">
        <f t="array" ref="N462">IF($M462="PER-M2",
  IFERROR(
     _xlfn.IFS(
        $G462="Hollow",
            INDEX('Referensi Harga'!$C:$C,
                  MATCH($F462&amp;$C462,'Referensi Harga'!$A:$A&amp;'Referensi Harga'!$B:$B,0)),
        $G462="Hollow Stainless",
            INDEX('Referensi Harga'!$D:$D,
                  MATCH($F462&amp;$C462,'Referensi Harga'!$A:$A&amp;'Referensi Harga'!$B:$B,0)),
        $G462="Pipa Stainless",
            INDEX('Referensi Harga'!$E:$E,
                  MATCH($F462&amp;$C462,'Referensi Harga'!$A:$A&amp;'Referensi Harga'!$B:$B,0))
     ),0)
  + IFERROR(VLOOKUP($H462,'Profile Size'!$A:$B,2,FALSE),0)
  + IFERROR(VLOOKUP($I462,'Ketebalan Material'!$A:$B,2,FALSE),0),
0)</f>
        <v>470000</v>
      </c>
      <c r="O462">
        <f>IF($M462="PER-M",
  IFERROR(
    IF($G462="Hollow",
       INDEX('Referensi Harga'!$C:$C, MATCH($F462 &amp; "|" &amp; $C462, 'Referensi Harga'!$F:$F, 0)),
    IF($G462="Hollow Stainless",
       INDEX('Referensi Harga'!$D:$D, MATCH($F462 &amp; "|" &amp; $C462, 'Referensi Harga'!$F:$F, 0)),
       INDEX('Referensi Harga'!$E:$E, MATCH($F462 &amp; "|" &amp; $C462, 'Referensi Harga'!$F:$F, 0))
    ))
    + IFERROR(VLOOKUP($H462, 'Profile Size'!$A:$B, 2, FALSE), 0)
    + IFERROR(VLOOKUP($I462, 'Ketebalan Material'!$A:$B, 2, FALSE), 0), 0),
0)</f>
        <v>0</v>
      </c>
      <c r="P462" cm="1">
        <f t="array" ref="P462">IF($M462="PER-LUBANG",
  IFERROR(
     _xlfn.IFS(
        $G462="Hollow",
            INDEX('Referensi Harga'!$C:$C,
                  MATCH($F462&amp;$C462,'Referensi Harga'!$A:$A&amp;'Referensi Harga'!$B:$B,0)),
        $G462="Hollow Stainless",
            INDEX('Referensi Harga'!$D:$D,
                  MATCH($F462&amp;$C462,'Referensi Harga'!$A:$A&amp;'Referensi Harga'!$B:$B,0)),
        $G462="Pipa Stainless",
            INDEX('Referensi Harga'!$E:$E,
                  MATCH($F462&amp;$C462,'Referensi Harga'!$A:$A&amp;'Referensi Harga'!$B:$B,0))
     ),0)
  + IFERROR(VLOOKUP($H462,'Profile Size'!$A:$B,2,FALSE),0)
  + IFERROR(VLOOKUP($I462,'Ketebalan Material'!$A:$B,2,FALSE),0),
0)</f>
        <v>0</v>
      </c>
      <c r="Q462">
        <f>IF($M462="PER-M2",
    IFERROR(
        SUMIFS('Upah Tenaga Ahli'!$C:$C,
               'Upah Tenaga Ahli'!$A:$A,"PER-M2",
               'Upah Tenaga Ahli'!$B:$B,$G462
        ) * $J462 * $K462,
    0),
IF($M462="PER-LUBANG",
    IFERROR(
        SUMIFS('Upah Tenaga Ahli'!$D:$D,
               'Upah Tenaga Ahli'!$A:$A,"PER-LUBANG",
               'Upah Tenaga Ahli'!$B:$B,$G462
        ) * $L462 * $K462,
    0),
IF($M462="PER-M",
    IFERROR(
        SUMIFS('Upah Tenaga Ahli'!$E:$E,
               'Upah Tenaga Ahli'!$A:$A,"PER-M",
               'Upah Tenaga Ahli'!$B:$B,$G462
        ) * $J462 * $K462,
    0),
0)))</f>
        <v>1562000</v>
      </c>
      <c r="R462" t="s">
        <v>18</v>
      </c>
      <c r="S462" t="s">
        <v>24</v>
      </c>
      <c r="T462">
        <f>IF($M462="PER-M2",
   ($N462 * $J462 * $K462)
   + IFERROR(VLOOKUP($R462,Finishing!A:B,2,FALSE),0)
   + IFERROR(VLOOKUP($S462,Kerumitan!A:B,2,FALSE),0),
IF($M462="PER-LUBANG",
   ($P462 * $L462 * $K462)
   + IFERROR(VLOOKUP($R462,Finishing!A:B,2,FALSE),0)
   + IFERROR(VLOOKUP($S462,Kerumitan!A:B,2,FALSE),0),
IF($M462="PER-M",
   ($O462 * $J462 * $K462)
   + IFERROR(VLOOKUP($R462,Finishing!A:B,2,FALSE),0)
   + IFERROR(VLOOKUP($S462,Kerumitan!A:B,2,FALSE),0),
0)))</f>
        <v>7441400</v>
      </c>
    </row>
    <row r="463" spans="1:20" x14ac:dyDescent="0.45">
      <c r="A463" t="s">
        <v>560</v>
      </c>
      <c r="B463" s="5">
        <v>45449</v>
      </c>
      <c r="C463">
        <f t="shared" si="7"/>
        <v>2024</v>
      </c>
      <c r="D463" t="s">
        <v>86</v>
      </c>
      <c r="E463" t="s">
        <v>57</v>
      </c>
      <c r="F463" t="s">
        <v>8</v>
      </c>
      <c r="G463" t="s">
        <v>13</v>
      </c>
      <c r="H463" t="s">
        <v>612</v>
      </c>
      <c r="I463">
        <v>1.2</v>
      </c>
      <c r="J463">
        <v>0</v>
      </c>
      <c r="K463">
        <v>1</v>
      </c>
      <c r="L463">
        <v>19</v>
      </c>
      <c r="M463" t="str" cm="1">
        <f t="array" ref="M463">_xlfn.IFS(
   OR($F463="Pagar", $F463="Pintu Gerbang", $F463="Pintu Handerson", $F463="Kanopi"), "PER-M2",
   $F463="Teralis", "PER-LUBANG",
   OR($F463="Railing", $F463="Railing/Balkon"), "PER-M",
   TRUE, ""
)</f>
        <v>PER-LUBANG</v>
      </c>
      <c r="N463" cm="1">
        <f t="array" ref="N463">IF($M463="PER-M2",
  IFERROR(
     _xlfn.IFS(
        $G463="Hollow",
            INDEX('Referensi Harga'!$C:$C,
                  MATCH($F463&amp;$C463,'Referensi Harga'!$A:$A&amp;'Referensi Harga'!$B:$B,0)),
        $G463="Hollow Stainless",
            INDEX('Referensi Harga'!$D:$D,
                  MATCH($F463&amp;$C463,'Referensi Harga'!$A:$A&amp;'Referensi Harga'!$B:$B,0)),
        $G463="Pipa Stainless",
            INDEX('Referensi Harga'!$E:$E,
                  MATCH($F463&amp;$C463,'Referensi Harga'!$A:$A&amp;'Referensi Harga'!$B:$B,0))
     ),0)
  + IFERROR(VLOOKUP($H463,'Profile Size'!$A:$B,2,FALSE),0)
  + IFERROR(VLOOKUP($I463,'Ketebalan Material'!$A:$B,2,FALSE),0),
0)</f>
        <v>0</v>
      </c>
      <c r="O463">
        <f>IF($M463="PER-M",
  IFERROR(
    IF($G463="Hollow",
       INDEX('Referensi Harga'!$C:$C, MATCH($F463 &amp; "|" &amp; $C463, 'Referensi Harga'!$F:$F, 0)),
    IF($G463="Hollow Stainless",
       INDEX('Referensi Harga'!$D:$D, MATCH($F463 &amp; "|" &amp; $C463, 'Referensi Harga'!$F:$F, 0)),
       INDEX('Referensi Harga'!$E:$E, MATCH($F463 &amp; "|" &amp; $C463, 'Referensi Harga'!$F:$F, 0))
    ))
    + IFERROR(VLOOKUP($H463, 'Profile Size'!$A:$B, 2, FALSE), 0)
    + IFERROR(VLOOKUP($I463, 'Ketebalan Material'!$A:$B, 2, FALSE), 0), 0),
0)</f>
        <v>0</v>
      </c>
      <c r="P463" cm="1">
        <f t="array" ref="P463">IF($M463="PER-LUBANG",
  IFERROR(
     _xlfn.IFS(
        $G463="Hollow",
            INDEX('Referensi Harga'!$C:$C,
                  MATCH($F463&amp;$C463,'Referensi Harga'!$A:$A&amp;'Referensi Harga'!$B:$B,0)),
        $G463="Hollow Stainless",
            INDEX('Referensi Harga'!$D:$D,
                  MATCH($F463&amp;$C463,'Referensi Harga'!$A:$A&amp;'Referensi Harga'!$B:$B,0)),
        $G463="Pipa Stainless",
            INDEX('Referensi Harga'!$E:$E,
                  MATCH($F463&amp;$C463,'Referensi Harga'!$A:$A&amp;'Referensi Harga'!$B:$B,0))
     ),0)
  + IFERROR(VLOOKUP($H463,'Profile Size'!$A:$B,2,FALSE),0)
  + IFERROR(VLOOKUP($I463,'Ketebalan Material'!$A:$B,2,FALSE),0),
0)</f>
        <v>450000</v>
      </c>
      <c r="Q463">
        <f>IF($M463="PER-M2",
    IFERROR(
        SUMIFS('Upah Tenaga Ahli'!$C:$C,
               'Upah Tenaga Ahli'!$A:$A,"PER-M2",
               'Upah Tenaga Ahli'!$B:$B,$G463
        ) * $J463 * $K463,
    0),
IF($M463="PER-LUBANG",
    IFERROR(
        SUMIFS('Upah Tenaga Ahli'!$D:$D,
               'Upah Tenaga Ahli'!$A:$A,"PER-LUBANG",
               'Upah Tenaga Ahli'!$B:$B,$G463
        ) * $L463 * $K463,
    0),
IF($M463="PER-M",
    IFERROR(
        SUMIFS('Upah Tenaga Ahli'!$E:$E,
               'Upah Tenaga Ahli'!$A:$A,"PER-M",
               'Upah Tenaga Ahli'!$B:$B,$G463
        ) * $J463 * $K463,
    0),
0)))</f>
        <v>1425000</v>
      </c>
      <c r="R463" t="s">
        <v>19</v>
      </c>
      <c r="S463" t="s">
        <v>23</v>
      </c>
      <c r="T463">
        <f>IF($M463="PER-M2",
   ($N463 * $J463 * $K463)
   + IFERROR(VLOOKUP($R463,Finishing!A:B,2,FALSE),0)
   + IFERROR(VLOOKUP($S463,Kerumitan!A:B,2,FALSE),0),
IF($M463="PER-LUBANG",
   ($P463 * $L463 * $K463)
   + IFERROR(VLOOKUP($R463,Finishing!A:B,2,FALSE),0)
   + IFERROR(VLOOKUP($S463,Kerumitan!A:B,2,FALSE),0),
IF($M463="PER-M",
   ($O463 * $J463 * $K463)
   + IFERROR(VLOOKUP($R463,Finishing!A:B,2,FALSE),0)
   + IFERROR(VLOOKUP($S463,Kerumitan!A:B,2,FALSE),0),
0)))</f>
        <v>8600000</v>
      </c>
    </row>
    <row r="464" spans="1:20" x14ac:dyDescent="0.45">
      <c r="A464" t="s">
        <v>561</v>
      </c>
      <c r="B464" s="5">
        <v>44327</v>
      </c>
      <c r="C464">
        <f t="shared" si="7"/>
        <v>2021</v>
      </c>
      <c r="D464" t="s">
        <v>83</v>
      </c>
      <c r="E464" t="s">
        <v>57</v>
      </c>
      <c r="F464" t="s">
        <v>4</v>
      </c>
      <c r="G464" t="s">
        <v>13</v>
      </c>
      <c r="H464" t="s">
        <v>46</v>
      </c>
      <c r="I464">
        <v>1.2</v>
      </c>
      <c r="J464">
        <v>9.49</v>
      </c>
      <c r="K464">
        <v>1</v>
      </c>
      <c r="L464">
        <v>0</v>
      </c>
      <c r="M464" t="str" cm="1">
        <f t="array" ref="M464">_xlfn.IFS(
   OR($F464="Pagar", $F464="Pintu Gerbang", $F464="Pintu Handerson", $F464="Kanopi"), "PER-M2",
   $F464="Teralis", "PER-LUBANG",
   OR($F464="Railing", $F464="Railing/Balkon"), "PER-M",
   TRUE, ""
)</f>
        <v>PER-M2</v>
      </c>
      <c r="N464" cm="1">
        <f t="array" ref="N464">IF($M464="PER-M2",
  IFERROR(
     _xlfn.IFS(
        $G464="Hollow",
            INDEX('Referensi Harga'!$C:$C,
                  MATCH($F464&amp;$C464,'Referensi Harga'!$A:$A&amp;'Referensi Harga'!$B:$B,0)),
        $G464="Hollow Stainless",
            INDEX('Referensi Harga'!$D:$D,
                  MATCH($F464&amp;$C464,'Referensi Harga'!$A:$A&amp;'Referensi Harga'!$B:$B,0)),
        $G464="Pipa Stainless",
            INDEX('Referensi Harga'!$E:$E,
                  MATCH($F464&amp;$C464,'Referensi Harga'!$A:$A&amp;'Referensi Harga'!$B:$B,0))
     ),0)
  + IFERROR(VLOOKUP($H464,'Profile Size'!$A:$B,2,FALSE),0)
  + IFERROR(VLOOKUP($I464,'Ketebalan Material'!$A:$B,2,FALSE),0),
0)</f>
        <v>650000</v>
      </c>
      <c r="O464">
        <f>IF($M464="PER-M",
  IFERROR(
    IF($G464="Hollow",
       INDEX('Referensi Harga'!$C:$C, MATCH($F464 &amp; "|" &amp; $C464, 'Referensi Harga'!$F:$F, 0)),
    IF($G464="Hollow Stainless",
       INDEX('Referensi Harga'!$D:$D, MATCH($F464 &amp; "|" &amp; $C464, 'Referensi Harga'!$F:$F, 0)),
       INDEX('Referensi Harga'!$E:$E, MATCH($F464 &amp; "|" &amp; $C464, 'Referensi Harga'!$F:$F, 0))
    ))
    + IFERROR(VLOOKUP($H464, 'Profile Size'!$A:$B, 2, FALSE), 0)
    + IFERROR(VLOOKUP($I464, 'Ketebalan Material'!$A:$B, 2, FALSE), 0), 0),
0)</f>
        <v>0</v>
      </c>
      <c r="P464" cm="1">
        <f t="array" ref="P464">IF($M464="PER-LUBANG",
  IFERROR(
     _xlfn.IFS(
        $G464="Hollow",
            INDEX('Referensi Harga'!$C:$C,
                  MATCH($F464&amp;$C464,'Referensi Harga'!$A:$A&amp;'Referensi Harga'!$B:$B,0)),
        $G464="Hollow Stainless",
            INDEX('Referensi Harga'!$D:$D,
                  MATCH($F464&amp;$C464,'Referensi Harga'!$A:$A&amp;'Referensi Harga'!$B:$B,0)),
        $G464="Pipa Stainless",
            INDEX('Referensi Harga'!$E:$E,
                  MATCH($F464&amp;$C464,'Referensi Harga'!$A:$A&amp;'Referensi Harga'!$B:$B,0))
     ),0)
  + IFERROR(VLOOKUP($H464,'Profile Size'!$A:$B,2,FALSE),0)
  + IFERROR(VLOOKUP($I464,'Ketebalan Material'!$A:$B,2,FALSE),0),
0)</f>
        <v>0</v>
      </c>
      <c r="Q464">
        <f>IF($M464="PER-M2",
    IFERROR(
        SUMIFS('Upah Tenaga Ahli'!$C:$C,
               'Upah Tenaga Ahli'!$A:$A,"PER-M2",
               'Upah Tenaga Ahli'!$B:$B,$G464
        ) * $J464 * $K464,
    0),
IF($M464="PER-LUBANG",
    IFERROR(
        SUMIFS('Upah Tenaga Ahli'!$D:$D,
               'Upah Tenaga Ahli'!$A:$A,"PER-LUBANG",
               'Upah Tenaga Ahli'!$B:$B,$G464
        ) * $L464 * $K464,
    0),
IF($M464="PER-M",
    IFERROR(
        SUMIFS('Upah Tenaga Ahli'!$E:$E,
               'Upah Tenaga Ahli'!$A:$A,"PER-M",
               'Upah Tenaga Ahli'!$B:$B,$G464
        ) * $J464 * $K464,
    0),
0)))</f>
        <v>949000</v>
      </c>
      <c r="R464" t="s">
        <v>20</v>
      </c>
      <c r="S464" t="s">
        <v>24</v>
      </c>
      <c r="T464">
        <f>IF($M464="PER-M2",
   ($N464 * $J464 * $K464)
   + IFERROR(VLOOKUP($R464,Finishing!A:B,2,FALSE),0)
   + IFERROR(VLOOKUP($S464,Kerumitan!A:B,2,FALSE),0),
IF($M464="PER-LUBANG",
   ($P464 * $L464 * $K464)
   + IFERROR(VLOOKUP($R464,Finishing!A:B,2,FALSE),0)
   + IFERROR(VLOOKUP($S464,Kerumitan!A:B,2,FALSE),0),
IF($M464="PER-M",
   ($O464 * $J464 * $K464)
   + IFERROR(VLOOKUP($R464,Finishing!A:B,2,FALSE),0)
   + IFERROR(VLOOKUP($S464,Kerumitan!A:B,2,FALSE),0),
0)))</f>
        <v>6418500</v>
      </c>
    </row>
    <row r="465" spans="1:20" x14ac:dyDescent="0.45">
      <c r="A465" t="s">
        <v>562</v>
      </c>
      <c r="B465" s="5">
        <v>44670</v>
      </c>
      <c r="C465">
        <f t="shared" si="7"/>
        <v>2022</v>
      </c>
      <c r="D465" t="s">
        <v>59</v>
      </c>
      <c r="E465" t="s">
        <v>75</v>
      </c>
      <c r="F465" t="s">
        <v>8</v>
      </c>
      <c r="G465" t="s">
        <v>15</v>
      </c>
      <c r="H465" t="s">
        <v>33</v>
      </c>
      <c r="I465">
        <v>0.8</v>
      </c>
      <c r="J465">
        <v>0</v>
      </c>
      <c r="K465">
        <v>1</v>
      </c>
      <c r="L465">
        <v>8</v>
      </c>
      <c r="M465" t="str" cm="1">
        <f t="array" ref="M465">_xlfn.IFS(
   OR($F465="Pagar", $F465="Pintu Gerbang", $F465="Pintu Handerson", $F465="Kanopi"), "PER-M2",
   $F465="Teralis", "PER-LUBANG",
   OR($F465="Railing", $F465="Railing/Balkon"), "PER-M",
   TRUE, ""
)</f>
        <v>PER-LUBANG</v>
      </c>
      <c r="N465" cm="1">
        <f t="array" ref="N465">IF($M465="PER-M2",
  IFERROR(
     _xlfn.IFS(
        $G465="Hollow",
            INDEX('Referensi Harga'!$C:$C,
                  MATCH($F465&amp;$C465,'Referensi Harga'!$A:$A&amp;'Referensi Harga'!$B:$B,0)),
        $G465="Hollow Stainless",
            INDEX('Referensi Harga'!$D:$D,
                  MATCH($F465&amp;$C465,'Referensi Harga'!$A:$A&amp;'Referensi Harga'!$B:$B,0)),
        $G465="Pipa Stainless",
            INDEX('Referensi Harga'!$E:$E,
                  MATCH($F465&amp;$C465,'Referensi Harga'!$A:$A&amp;'Referensi Harga'!$B:$B,0))
     ),0)
  + IFERROR(VLOOKUP($H465,'Profile Size'!$A:$B,2,FALSE),0)
  + IFERROR(VLOOKUP($I465,'Ketebalan Material'!$A:$B,2,FALSE),0),
0)</f>
        <v>0</v>
      </c>
      <c r="O465">
        <f>IF($M465="PER-M",
  IFERROR(
    IF($G465="Hollow",
       INDEX('Referensi Harga'!$C:$C, MATCH($F465 &amp; "|" &amp; $C465, 'Referensi Harga'!$F:$F, 0)),
    IF($G465="Hollow Stainless",
       INDEX('Referensi Harga'!$D:$D, MATCH($F465 &amp; "|" &amp; $C465, 'Referensi Harga'!$F:$F, 0)),
       INDEX('Referensi Harga'!$E:$E, MATCH($F465 &amp; "|" &amp; $C465, 'Referensi Harga'!$F:$F, 0))
    ))
    + IFERROR(VLOOKUP($H465, 'Profile Size'!$A:$B, 2, FALSE), 0)
    + IFERROR(VLOOKUP($I465, 'Ketebalan Material'!$A:$B, 2, FALSE), 0), 0),
0)</f>
        <v>0</v>
      </c>
      <c r="P465" cm="1">
        <f t="array" ref="P465">IF($M465="PER-LUBANG",
  IFERROR(
     _xlfn.IFS(
        $G465="Hollow",
            INDEX('Referensi Harga'!$C:$C,
                  MATCH($F465&amp;$C465,'Referensi Harga'!$A:$A&amp;'Referensi Harga'!$B:$B,0)),
        $G465="Hollow Stainless",
            INDEX('Referensi Harga'!$D:$D,
                  MATCH($F465&amp;$C465,'Referensi Harga'!$A:$A&amp;'Referensi Harga'!$B:$B,0)),
        $G465="Pipa Stainless",
            INDEX('Referensi Harga'!$E:$E,
                  MATCH($F465&amp;$C465,'Referensi Harga'!$A:$A&amp;'Referensi Harga'!$B:$B,0))
     ),0)
  + IFERROR(VLOOKUP($H465,'Profile Size'!$A:$B,2,FALSE),0)
  + IFERROR(VLOOKUP($I465,'Ketebalan Material'!$A:$B,2,FALSE),0),
0)</f>
        <v>780000</v>
      </c>
      <c r="Q465">
        <f>IF($M465="PER-M2",
    IFERROR(
        SUMIFS('Upah Tenaga Ahli'!$C:$C,
               'Upah Tenaga Ahli'!$A:$A,"PER-M2",
               'Upah Tenaga Ahli'!$B:$B,$G465
        ) * $J465 * $K465,
    0),
IF($M465="PER-LUBANG",
    IFERROR(
        SUMIFS('Upah Tenaga Ahli'!$D:$D,
               'Upah Tenaga Ahli'!$A:$A,"PER-LUBANG",
               'Upah Tenaga Ahli'!$B:$B,$G465
        ) * $L465 * $K465,
    0),
IF($M465="PER-M",
    IFERROR(
        SUMIFS('Upah Tenaga Ahli'!$E:$E,
               'Upah Tenaga Ahli'!$A:$A,"PER-M",
               'Upah Tenaga Ahli'!$B:$B,$G465
        ) * $J465 * $K465,
    0),
0)))</f>
        <v>1200000</v>
      </c>
      <c r="R465" t="s">
        <v>617</v>
      </c>
      <c r="S465" t="s">
        <v>23</v>
      </c>
      <c r="T465">
        <f>IF($M465="PER-M2",
   ($N465 * $J465 * $K465)
   + IFERROR(VLOOKUP($R465,Finishing!A:B,2,FALSE),0)
   + IFERROR(VLOOKUP($S465,Kerumitan!A:B,2,FALSE),0),
IF($M465="PER-LUBANG",
   ($P465 * $L465 * $K465)
   + IFERROR(VLOOKUP($R465,Finishing!A:B,2,FALSE),0)
   + IFERROR(VLOOKUP($S465,Kerumitan!A:B,2,FALSE),0),
IF($M465="PER-M",
   ($O465 * $J465 * $K465)
   + IFERROR(VLOOKUP($R465,Finishing!A:B,2,FALSE),0)
   + IFERROR(VLOOKUP($S465,Kerumitan!A:B,2,FALSE),0),
0)))</f>
        <v>6240000</v>
      </c>
    </row>
    <row r="466" spans="1:20" x14ac:dyDescent="0.45">
      <c r="A466" t="s">
        <v>563</v>
      </c>
      <c r="B466" s="5">
        <v>45824</v>
      </c>
      <c r="C466">
        <f t="shared" si="7"/>
        <v>2025</v>
      </c>
      <c r="D466" t="s">
        <v>129</v>
      </c>
      <c r="E466" t="s">
        <v>57</v>
      </c>
      <c r="F466" t="s">
        <v>8</v>
      </c>
      <c r="G466" t="s">
        <v>14</v>
      </c>
      <c r="H466" t="s">
        <v>612</v>
      </c>
      <c r="I466">
        <v>1.2</v>
      </c>
      <c r="J466">
        <v>0</v>
      </c>
      <c r="K466">
        <v>1</v>
      </c>
      <c r="L466">
        <v>17</v>
      </c>
      <c r="M466" t="str" cm="1">
        <f t="array" ref="M466">_xlfn.IFS(
   OR($F466="Pagar", $F466="Pintu Gerbang", $F466="Pintu Handerson", $F466="Kanopi"), "PER-M2",
   $F466="Teralis", "PER-LUBANG",
   OR($F466="Railing", $F466="Railing/Balkon"), "PER-M",
   TRUE, ""
)</f>
        <v>PER-LUBANG</v>
      </c>
      <c r="N466" cm="1">
        <f t="array" ref="N466">IF($M466="PER-M2",
  IFERROR(
     _xlfn.IFS(
        $G466="Hollow",
            INDEX('Referensi Harga'!$C:$C,
                  MATCH($F466&amp;$C466,'Referensi Harga'!$A:$A&amp;'Referensi Harga'!$B:$B,0)),
        $G466="Hollow Stainless",
            INDEX('Referensi Harga'!$D:$D,
                  MATCH($F466&amp;$C466,'Referensi Harga'!$A:$A&amp;'Referensi Harga'!$B:$B,0)),
        $G466="Pipa Stainless",
            INDEX('Referensi Harga'!$E:$E,
                  MATCH($F466&amp;$C466,'Referensi Harga'!$A:$A&amp;'Referensi Harga'!$B:$B,0))
     ),0)
  + IFERROR(VLOOKUP($H466,'Profile Size'!$A:$B,2,FALSE),0)
  + IFERROR(VLOOKUP($I466,'Ketebalan Material'!$A:$B,2,FALSE),0),
0)</f>
        <v>0</v>
      </c>
      <c r="O466">
        <f>IF($M466="PER-M",
  IFERROR(
    IF($G466="Hollow",
       INDEX('Referensi Harga'!$C:$C, MATCH($F466 &amp; "|" &amp; $C466, 'Referensi Harga'!$F:$F, 0)),
    IF($G466="Hollow Stainless",
       INDEX('Referensi Harga'!$D:$D, MATCH($F466 &amp; "|" &amp; $C466, 'Referensi Harga'!$F:$F, 0)),
       INDEX('Referensi Harga'!$E:$E, MATCH($F466 &amp; "|" &amp; $C466, 'Referensi Harga'!$F:$F, 0))
    ))
    + IFERROR(VLOOKUP($H466, 'Profile Size'!$A:$B, 2, FALSE), 0)
    + IFERROR(VLOOKUP($I466, 'Ketebalan Material'!$A:$B, 2, FALSE), 0), 0),
0)</f>
        <v>0</v>
      </c>
      <c r="P466" cm="1">
        <f t="array" ref="P466">IF($M466="PER-LUBANG",
  IFERROR(
     _xlfn.IFS(
        $G466="Hollow",
            INDEX('Referensi Harga'!$C:$C,
                  MATCH($F466&amp;$C466,'Referensi Harga'!$A:$A&amp;'Referensi Harga'!$B:$B,0)),
        $G466="Hollow Stainless",
            INDEX('Referensi Harga'!$D:$D,
                  MATCH($F466&amp;$C466,'Referensi Harga'!$A:$A&amp;'Referensi Harga'!$B:$B,0)),
        $G466="Pipa Stainless",
            INDEX('Referensi Harga'!$E:$E,
                  MATCH($F466&amp;$C466,'Referensi Harga'!$A:$A&amp;'Referensi Harga'!$B:$B,0))
     ),0)
  + IFERROR(VLOOKUP($H466,'Profile Size'!$A:$B,2,FALSE),0)
  + IFERROR(VLOOKUP($I466,'Ketebalan Material'!$A:$B,2,FALSE),0),
0)</f>
        <v>800000</v>
      </c>
      <c r="Q466">
        <f>IF($M466="PER-M2",
    IFERROR(
        SUMIFS('Upah Tenaga Ahli'!$C:$C,
               'Upah Tenaga Ahli'!$A:$A,"PER-M2",
               'Upah Tenaga Ahli'!$B:$B,$G466
        ) * $J466 * $K466,
    0),
IF($M466="PER-LUBANG",
    IFERROR(
        SUMIFS('Upah Tenaga Ahli'!$D:$D,
               'Upah Tenaga Ahli'!$A:$A,"PER-LUBANG",
               'Upah Tenaga Ahli'!$B:$B,$G466
        ) * $L466 * $K466,
    0),
IF($M466="PER-M",
    IFERROR(
        SUMIFS('Upah Tenaga Ahli'!$E:$E,
               'Upah Tenaga Ahli'!$A:$A,"PER-M",
               'Upah Tenaga Ahli'!$B:$B,$G466
        ) * $J466 * $K466,
    0),
0)))</f>
        <v>2550000</v>
      </c>
      <c r="R466" t="s">
        <v>617</v>
      </c>
      <c r="S466" t="s">
        <v>24</v>
      </c>
      <c r="T466">
        <f>IF($M466="PER-M2",
   ($N466 * $J466 * $K466)
   + IFERROR(VLOOKUP($R466,Finishing!A:B,2,FALSE),0)
   + IFERROR(VLOOKUP($S466,Kerumitan!A:B,2,FALSE),0),
IF($M466="PER-LUBANG",
   ($P466 * $L466 * $K466)
   + IFERROR(VLOOKUP($R466,Finishing!A:B,2,FALSE),0)
   + IFERROR(VLOOKUP($S466,Kerumitan!A:B,2,FALSE),0),
IF($M466="PER-M",
   ($O466 * $J466 * $K466)
   + IFERROR(VLOOKUP($R466,Finishing!A:B,2,FALSE),0)
   + IFERROR(VLOOKUP($S466,Kerumitan!A:B,2,FALSE),0),
0)))</f>
        <v>13700000</v>
      </c>
    </row>
    <row r="467" spans="1:20" x14ac:dyDescent="0.45">
      <c r="A467" t="s">
        <v>564</v>
      </c>
      <c r="B467" s="5">
        <v>45494</v>
      </c>
      <c r="C467">
        <f t="shared" si="7"/>
        <v>2024</v>
      </c>
      <c r="D467" t="s">
        <v>110</v>
      </c>
      <c r="E467" t="s">
        <v>32</v>
      </c>
      <c r="F467" t="s">
        <v>4</v>
      </c>
      <c r="G467" t="s">
        <v>13</v>
      </c>
      <c r="H467" t="s">
        <v>46</v>
      </c>
      <c r="I467">
        <v>1.2</v>
      </c>
      <c r="J467">
        <v>15.49</v>
      </c>
      <c r="K467">
        <v>1</v>
      </c>
      <c r="L467">
        <v>0</v>
      </c>
      <c r="M467" t="str" cm="1">
        <f t="array" ref="M467">_xlfn.IFS(
   OR($F467="Pagar", $F467="Pintu Gerbang", $F467="Pintu Handerson", $F467="Kanopi"), "PER-M2",
   $F467="Teralis", "PER-LUBANG",
   OR($F467="Railing", $F467="Railing/Balkon"), "PER-M",
   TRUE, ""
)</f>
        <v>PER-M2</v>
      </c>
      <c r="N467" cm="1">
        <f t="array" ref="N467">IF($M467="PER-M2",
  IFERROR(
     _xlfn.IFS(
        $G467="Hollow",
            INDEX('Referensi Harga'!$C:$C,
                  MATCH($F467&amp;$C467,'Referensi Harga'!$A:$A&amp;'Referensi Harga'!$B:$B,0)),
        $G467="Hollow Stainless",
            INDEX('Referensi Harga'!$D:$D,
                  MATCH($F467&amp;$C467,'Referensi Harga'!$A:$A&amp;'Referensi Harga'!$B:$B,0)),
        $G467="Pipa Stainless",
            INDEX('Referensi Harga'!$E:$E,
                  MATCH($F467&amp;$C467,'Referensi Harga'!$A:$A&amp;'Referensi Harga'!$B:$B,0))
     ),0)
  + IFERROR(VLOOKUP($H467,'Profile Size'!$A:$B,2,FALSE),0)
  + IFERROR(VLOOKUP($I467,'Ketebalan Material'!$A:$B,2,FALSE),0),
0)</f>
        <v>700000</v>
      </c>
      <c r="O467">
        <f>IF($M467="PER-M",
  IFERROR(
    IF($G467="Hollow",
       INDEX('Referensi Harga'!$C:$C, MATCH($F467 &amp; "|" &amp; $C467, 'Referensi Harga'!$F:$F, 0)),
    IF($G467="Hollow Stainless",
       INDEX('Referensi Harga'!$D:$D, MATCH($F467 &amp; "|" &amp; $C467, 'Referensi Harga'!$F:$F, 0)),
       INDEX('Referensi Harga'!$E:$E, MATCH($F467 &amp; "|" &amp; $C467, 'Referensi Harga'!$F:$F, 0))
    ))
    + IFERROR(VLOOKUP($H467, 'Profile Size'!$A:$B, 2, FALSE), 0)
    + IFERROR(VLOOKUP($I467, 'Ketebalan Material'!$A:$B, 2, FALSE), 0), 0),
0)</f>
        <v>0</v>
      </c>
      <c r="P467" cm="1">
        <f t="array" ref="P467">IF($M467="PER-LUBANG",
  IFERROR(
     _xlfn.IFS(
        $G467="Hollow",
            INDEX('Referensi Harga'!$C:$C,
                  MATCH($F467&amp;$C467,'Referensi Harga'!$A:$A&amp;'Referensi Harga'!$B:$B,0)),
        $G467="Hollow Stainless",
            INDEX('Referensi Harga'!$D:$D,
                  MATCH($F467&amp;$C467,'Referensi Harga'!$A:$A&amp;'Referensi Harga'!$B:$B,0)),
        $G467="Pipa Stainless",
            INDEX('Referensi Harga'!$E:$E,
                  MATCH($F467&amp;$C467,'Referensi Harga'!$A:$A&amp;'Referensi Harga'!$B:$B,0))
     ),0)
  + IFERROR(VLOOKUP($H467,'Profile Size'!$A:$B,2,FALSE),0)
  + IFERROR(VLOOKUP($I467,'Ketebalan Material'!$A:$B,2,FALSE),0),
0)</f>
        <v>0</v>
      </c>
      <c r="Q467">
        <f>IF($M467="PER-M2",
    IFERROR(
        SUMIFS('Upah Tenaga Ahli'!$C:$C,
               'Upah Tenaga Ahli'!$A:$A,"PER-M2",
               'Upah Tenaga Ahli'!$B:$B,$G467
        ) * $J467 * $K467,
    0),
IF($M467="PER-LUBANG",
    IFERROR(
        SUMIFS('Upah Tenaga Ahli'!$D:$D,
               'Upah Tenaga Ahli'!$A:$A,"PER-LUBANG",
               'Upah Tenaga Ahli'!$B:$B,$G467
        ) * $L467 * $K467,
    0),
IF($M467="PER-M",
    IFERROR(
        SUMIFS('Upah Tenaga Ahli'!$E:$E,
               'Upah Tenaga Ahli'!$A:$A,"PER-M",
               'Upah Tenaga Ahli'!$B:$B,$G467
        ) * $J467 * $K467,
    0),
0)))</f>
        <v>1549000</v>
      </c>
      <c r="R467" t="s">
        <v>19</v>
      </c>
      <c r="S467" t="s">
        <v>23</v>
      </c>
      <c r="T467">
        <f>IF($M467="PER-M2",
   ($N467 * $J467 * $K467)
   + IFERROR(VLOOKUP($R467,Finishing!A:B,2,FALSE),0)
   + IFERROR(VLOOKUP($S467,Kerumitan!A:B,2,FALSE),0),
IF($M467="PER-LUBANG",
   ($P467 * $L467 * $K467)
   + IFERROR(VLOOKUP($R467,Finishing!A:B,2,FALSE),0)
   + IFERROR(VLOOKUP($S467,Kerumitan!A:B,2,FALSE),0),
IF($M467="PER-M",
   ($O467 * $J467 * $K467)
   + IFERROR(VLOOKUP($R467,Finishing!A:B,2,FALSE),0)
   + IFERROR(VLOOKUP($S467,Kerumitan!A:B,2,FALSE),0),
0)))</f>
        <v>10893000</v>
      </c>
    </row>
    <row r="468" spans="1:20" x14ac:dyDescent="0.45">
      <c r="A468" t="s">
        <v>565</v>
      </c>
      <c r="B468" s="5">
        <v>45652</v>
      </c>
      <c r="C468">
        <f t="shared" si="7"/>
        <v>2024</v>
      </c>
      <c r="D468" t="s">
        <v>156</v>
      </c>
      <c r="E468" t="s">
        <v>108</v>
      </c>
      <c r="F468" t="s">
        <v>8</v>
      </c>
      <c r="G468" t="s">
        <v>13</v>
      </c>
      <c r="H468" t="s">
        <v>33</v>
      </c>
      <c r="I468">
        <v>0.8</v>
      </c>
      <c r="J468">
        <v>0</v>
      </c>
      <c r="K468">
        <v>1</v>
      </c>
      <c r="L468">
        <v>17</v>
      </c>
      <c r="M468" t="str" cm="1">
        <f t="array" ref="M468">_xlfn.IFS(
   OR($F468="Pagar", $F468="Pintu Gerbang", $F468="Pintu Handerson", $F468="Kanopi"), "PER-M2",
   $F468="Teralis", "PER-LUBANG",
   OR($F468="Railing", $F468="Railing/Balkon"), "PER-M",
   TRUE, ""
)</f>
        <v>PER-LUBANG</v>
      </c>
      <c r="N468" cm="1">
        <f t="array" ref="N468">IF($M468="PER-M2",
  IFERROR(
     _xlfn.IFS(
        $G468="Hollow",
            INDEX('Referensi Harga'!$C:$C,
                  MATCH($F468&amp;$C468,'Referensi Harga'!$A:$A&amp;'Referensi Harga'!$B:$B,0)),
        $G468="Hollow Stainless",
            INDEX('Referensi Harga'!$D:$D,
                  MATCH($F468&amp;$C468,'Referensi Harga'!$A:$A&amp;'Referensi Harga'!$B:$B,0)),
        $G468="Pipa Stainless",
            INDEX('Referensi Harga'!$E:$E,
                  MATCH($F468&amp;$C468,'Referensi Harga'!$A:$A&amp;'Referensi Harga'!$B:$B,0))
     ),0)
  + IFERROR(VLOOKUP($H468,'Profile Size'!$A:$B,2,FALSE),0)
  + IFERROR(VLOOKUP($I468,'Ketebalan Material'!$A:$B,2,FALSE),0),
0)</f>
        <v>0</v>
      </c>
      <c r="O468">
        <f>IF($M468="PER-M",
  IFERROR(
    IF($G468="Hollow",
       INDEX('Referensi Harga'!$C:$C, MATCH($F468 &amp; "|" &amp; $C468, 'Referensi Harga'!$F:$F, 0)),
    IF($G468="Hollow Stainless",
       INDEX('Referensi Harga'!$D:$D, MATCH($F468 &amp; "|" &amp; $C468, 'Referensi Harga'!$F:$F, 0)),
       INDEX('Referensi Harga'!$E:$E, MATCH($F468 &amp; "|" &amp; $C468, 'Referensi Harga'!$F:$F, 0))
    ))
    + IFERROR(VLOOKUP($H468, 'Profile Size'!$A:$B, 2, FALSE), 0)
    + IFERROR(VLOOKUP($I468, 'Ketebalan Material'!$A:$B, 2, FALSE), 0), 0),
0)</f>
        <v>0</v>
      </c>
      <c r="P468" cm="1">
        <f t="array" ref="P468">IF($M468="PER-LUBANG",
  IFERROR(
     _xlfn.IFS(
        $G468="Hollow",
            INDEX('Referensi Harga'!$C:$C,
                  MATCH($F468&amp;$C468,'Referensi Harga'!$A:$A&amp;'Referensi Harga'!$B:$B,0)),
        $G468="Hollow Stainless",
            INDEX('Referensi Harga'!$D:$D,
                  MATCH($F468&amp;$C468,'Referensi Harga'!$A:$A&amp;'Referensi Harga'!$B:$B,0)),
        $G468="Pipa Stainless",
            INDEX('Referensi Harga'!$E:$E,
                  MATCH($F468&amp;$C468,'Referensi Harga'!$A:$A&amp;'Referensi Harga'!$B:$B,0))
     ),0)
  + IFERROR(VLOOKUP($H468,'Profile Size'!$A:$B,2,FALSE),0)
  + IFERROR(VLOOKUP($I468,'Ketebalan Material'!$A:$B,2,FALSE),0),
0)</f>
        <v>350000</v>
      </c>
      <c r="Q468">
        <f>IF($M468="PER-M2",
    IFERROR(
        SUMIFS('Upah Tenaga Ahli'!$C:$C,
               'Upah Tenaga Ahli'!$A:$A,"PER-M2",
               'Upah Tenaga Ahli'!$B:$B,$G468
        ) * $J468 * $K468,
    0),
IF($M468="PER-LUBANG",
    IFERROR(
        SUMIFS('Upah Tenaga Ahli'!$D:$D,
               'Upah Tenaga Ahli'!$A:$A,"PER-LUBANG",
               'Upah Tenaga Ahli'!$B:$B,$G468
        ) * $L468 * $K468,
    0),
IF($M468="PER-M",
    IFERROR(
        SUMIFS('Upah Tenaga Ahli'!$E:$E,
               'Upah Tenaga Ahli'!$A:$A,"PER-M",
               'Upah Tenaga Ahli'!$B:$B,$G468
        ) * $J468 * $K468,
    0),
0)))</f>
        <v>1275000</v>
      </c>
      <c r="R468" t="s">
        <v>19</v>
      </c>
      <c r="S468" t="s">
        <v>24</v>
      </c>
      <c r="T468">
        <f>IF($M468="PER-M2",
   ($N468 * $J468 * $K468)
   + IFERROR(VLOOKUP($R468,Finishing!A:B,2,FALSE),0)
   + IFERROR(VLOOKUP($S468,Kerumitan!A:B,2,FALSE),0),
IF($M468="PER-LUBANG",
   ($P468 * $L468 * $K468)
   + IFERROR(VLOOKUP($R468,Finishing!A:B,2,FALSE),0)
   + IFERROR(VLOOKUP($S468,Kerumitan!A:B,2,FALSE),0),
IF($M468="PER-M",
   ($O468 * $J468 * $K468)
   + IFERROR(VLOOKUP($R468,Finishing!A:B,2,FALSE),0)
   + IFERROR(VLOOKUP($S468,Kerumitan!A:B,2,FALSE),0),
0)))</f>
        <v>6100000</v>
      </c>
    </row>
    <row r="469" spans="1:20" x14ac:dyDescent="0.45">
      <c r="A469" t="s">
        <v>566</v>
      </c>
      <c r="B469" s="5">
        <v>44418</v>
      </c>
      <c r="C469">
        <f t="shared" si="7"/>
        <v>2021</v>
      </c>
      <c r="D469" t="s">
        <v>103</v>
      </c>
      <c r="E469" t="s">
        <v>105</v>
      </c>
      <c r="F469" t="s">
        <v>4</v>
      </c>
      <c r="G469" t="s">
        <v>14</v>
      </c>
      <c r="H469" t="s">
        <v>615</v>
      </c>
      <c r="I469">
        <v>0.8</v>
      </c>
      <c r="J469">
        <v>10.27</v>
      </c>
      <c r="K469">
        <v>1</v>
      </c>
      <c r="L469">
        <v>0</v>
      </c>
      <c r="M469" t="str" cm="1">
        <f t="array" ref="M469">_xlfn.IFS(
   OR($F469="Pagar", $F469="Pintu Gerbang", $F469="Pintu Handerson", $F469="Kanopi"), "PER-M2",
   $F469="Teralis", "PER-LUBANG",
   OR($F469="Railing", $F469="Railing/Balkon"), "PER-M",
   TRUE, ""
)</f>
        <v>PER-M2</v>
      </c>
      <c r="N469" cm="1">
        <f t="array" ref="N469">IF($M469="PER-M2",
  IFERROR(
     _xlfn.IFS(
        $G469="Hollow",
            INDEX('Referensi Harga'!$C:$C,
                  MATCH($F469&amp;$C469,'Referensi Harga'!$A:$A&amp;'Referensi Harga'!$B:$B,0)),
        $G469="Hollow Stainless",
            INDEX('Referensi Harga'!$D:$D,
                  MATCH($F469&amp;$C469,'Referensi Harga'!$A:$A&amp;'Referensi Harga'!$B:$B,0)),
        $G469="Pipa Stainless",
            INDEX('Referensi Harga'!$E:$E,
                  MATCH($F469&amp;$C469,'Referensi Harga'!$A:$A&amp;'Referensi Harga'!$B:$B,0))
     ),0)
  + IFERROR(VLOOKUP($H469,'Profile Size'!$A:$B,2,FALSE),0)
  + IFERROR(VLOOKUP($I469,'Ketebalan Material'!$A:$B,2,FALSE),0),
0)</f>
        <v>1000000</v>
      </c>
      <c r="O469">
        <f>IF($M469="PER-M",
  IFERROR(
    IF($G469="Hollow",
       INDEX('Referensi Harga'!$C:$C, MATCH($F469 &amp; "|" &amp; $C469, 'Referensi Harga'!$F:$F, 0)),
    IF($G469="Hollow Stainless",
       INDEX('Referensi Harga'!$D:$D, MATCH($F469 &amp; "|" &amp; $C469, 'Referensi Harga'!$F:$F, 0)),
       INDEX('Referensi Harga'!$E:$E, MATCH($F469 &amp; "|" &amp; $C469, 'Referensi Harga'!$F:$F, 0))
    ))
    + IFERROR(VLOOKUP($H469, 'Profile Size'!$A:$B, 2, FALSE), 0)
    + IFERROR(VLOOKUP($I469, 'Ketebalan Material'!$A:$B, 2, FALSE), 0), 0),
0)</f>
        <v>0</v>
      </c>
      <c r="P469" cm="1">
        <f t="array" ref="P469">IF($M469="PER-LUBANG",
  IFERROR(
     _xlfn.IFS(
        $G469="Hollow",
            INDEX('Referensi Harga'!$C:$C,
                  MATCH($F469&amp;$C469,'Referensi Harga'!$A:$A&amp;'Referensi Harga'!$B:$B,0)),
        $G469="Hollow Stainless",
            INDEX('Referensi Harga'!$D:$D,
                  MATCH($F469&amp;$C469,'Referensi Harga'!$A:$A&amp;'Referensi Harga'!$B:$B,0)),
        $G469="Pipa Stainless",
            INDEX('Referensi Harga'!$E:$E,
                  MATCH($F469&amp;$C469,'Referensi Harga'!$A:$A&amp;'Referensi Harga'!$B:$B,0))
     ),0)
  + IFERROR(VLOOKUP($H469,'Profile Size'!$A:$B,2,FALSE),0)
  + IFERROR(VLOOKUP($I469,'Ketebalan Material'!$A:$B,2,FALSE),0),
0)</f>
        <v>0</v>
      </c>
      <c r="Q469">
        <f>IF($M469="PER-M2",
    IFERROR(
        SUMIFS('Upah Tenaga Ahli'!$C:$C,
               'Upah Tenaga Ahli'!$A:$A,"PER-M2",
               'Upah Tenaga Ahli'!$B:$B,$G469
        ) * $J469 * $K469,
    0),
IF($M469="PER-LUBANG",
    IFERROR(
        SUMIFS('Upah Tenaga Ahli'!$D:$D,
               'Upah Tenaga Ahli'!$A:$A,"PER-LUBANG",
               'Upah Tenaga Ahli'!$B:$B,$G469
        ) * $L469 * $K469,
    0),
IF($M469="PER-M",
    IFERROR(
        SUMIFS('Upah Tenaga Ahli'!$E:$E,
               'Upah Tenaga Ahli'!$A:$A,"PER-M",
               'Upah Tenaga Ahli'!$B:$B,$G469
        ) * $J469 * $K469,
    0),
0)))</f>
        <v>2054000</v>
      </c>
      <c r="R469" t="s">
        <v>617</v>
      </c>
      <c r="S469" t="s">
        <v>23</v>
      </c>
      <c r="T469">
        <f>IF($M469="PER-M2",
   ($N469 * $J469 * $K469)
   + IFERROR(VLOOKUP($R469,Finishing!A:B,2,FALSE),0)
   + IFERROR(VLOOKUP($S469,Kerumitan!A:B,2,FALSE),0),
IF($M469="PER-LUBANG",
   ($P469 * $L469 * $K469)
   + IFERROR(VLOOKUP($R469,Finishing!A:B,2,FALSE),0)
   + IFERROR(VLOOKUP($S469,Kerumitan!A:B,2,FALSE),0),
IF($M469="PER-M",
   ($O469 * $J469 * $K469)
   + IFERROR(VLOOKUP($R469,Finishing!A:B,2,FALSE),0)
   + IFERROR(VLOOKUP($S469,Kerumitan!A:B,2,FALSE),0),
0)))</f>
        <v>10270000</v>
      </c>
    </row>
    <row r="470" spans="1:20" x14ac:dyDescent="0.45">
      <c r="A470" t="s">
        <v>567</v>
      </c>
      <c r="B470" s="5">
        <v>45941</v>
      </c>
      <c r="C470">
        <f t="shared" si="7"/>
        <v>2025</v>
      </c>
      <c r="D470" t="s">
        <v>251</v>
      </c>
      <c r="E470" t="s">
        <v>61</v>
      </c>
      <c r="F470" t="s">
        <v>10</v>
      </c>
      <c r="G470" t="s">
        <v>13</v>
      </c>
      <c r="H470" t="s">
        <v>33</v>
      </c>
      <c r="I470">
        <v>1.2</v>
      </c>
      <c r="J470">
        <v>5.67</v>
      </c>
      <c r="K470">
        <v>2</v>
      </c>
      <c r="L470">
        <v>0</v>
      </c>
      <c r="M470" t="str" cm="1">
        <f t="array" ref="M470">_xlfn.IFS(
   OR($F470="Pagar", $F470="Pintu Gerbang", $F470="Pintu Handerson", $F470="Kanopi"), "PER-M2",
   $F470="Teralis", "PER-LUBANG",
   OR($F470="Railing", $F470="Railing/Balkon"), "PER-M",
   TRUE, ""
)</f>
        <v>PER-M2</v>
      </c>
      <c r="N470" cm="1">
        <f t="array" ref="N470">IF($M470="PER-M2",
  IFERROR(
     _xlfn.IFS(
        $G470="Hollow",
            INDEX('Referensi Harga'!$C:$C,
                  MATCH($F470&amp;$C470,'Referensi Harga'!$A:$A&amp;'Referensi Harga'!$B:$B,0)),
        $G470="Hollow Stainless",
            INDEX('Referensi Harga'!$D:$D,
                  MATCH($F470&amp;$C470,'Referensi Harga'!$A:$A&amp;'Referensi Harga'!$B:$B,0)),
        $G470="Pipa Stainless",
            INDEX('Referensi Harga'!$E:$E,
                  MATCH($F470&amp;$C470,'Referensi Harga'!$A:$A&amp;'Referensi Harga'!$B:$B,0))
     ),0)
  + IFERROR(VLOOKUP($H470,'Profile Size'!$A:$B,2,FALSE),0)
  + IFERROR(VLOOKUP($I470,'Ketebalan Material'!$A:$B,2,FALSE),0),
0)</f>
        <v>1000000</v>
      </c>
      <c r="O470">
        <f>IF($M470="PER-M",
  IFERROR(
    IF($G470="Hollow",
       INDEX('Referensi Harga'!$C:$C, MATCH($F470 &amp; "|" &amp; $C470, 'Referensi Harga'!$F:$F, 0)),
    IF($G470="Hollow Stainless",
       INDEX('Referensi Harga'!$D:$D, MATCH($F470 &amp; "|" &amp; $C470, 'Referensi Harga'!$F:$F, 0)),
       INDEX('Referensi Harga'!$E:$E, MATCH($F470 &amp; "|" &amp; $C470, 'Referensi Harga'!$F:$F, 0))
    ))
    + IFERROR(VLOOKUP($H470, 'Profile Size'!$A:$B, 2, FALSE), 0)
    + IFERROR(VLOOKUP($I470, 'Ketebalan Material'!$A:$B, 2, FALSE), 0), 0),
0)</f>
        <v>0</v>
      </c>
      <c r="P470" cm="1">
        <f t="array" ref="P470">IF($M470="PER-LUBANG",
  IFERROR(
     _xlfn.IFS(
        $G470="Hollow",
            INDEX('Referensi Harga'!$C:$C,
                  MATCH($F470&amp;$C470,'Referensi Harga'!$A:$A&amp;'Referensi Harga'!$B:$B,0)),
        $G470="Hollow Stainless",
            INDEX('Referensi Harga'!$D:$D,
                  MATCH($F470&amp;$C470,'Referensi Harga'!$A:$A&amp;'Referensi Harga'!$B:$B,0)),
        $G470="Pipa Stainless",
            INDEX('Referensi Harga'!$E:$E,
                  MATCH($F470&amp;$C470,'Referensi Harga'!$A:$A&amp;'Referensi Harga'!$B:$B,0))
     ),0)
  + IFERROR(VLOOKUP($H470,'Profile Size'!$A:$B,2,FALSE),0)
  + IFERROR(VLOOKUP($I470,'Ketebalan Material'!$A:$B,2,FALSE),0),
0)</f>
        <v>0</v>
      </c>
      <c r="Q470">
        <f>IF($M470="PER-M2",
    IFERROR(
        SUMIFS('Upah Tenaga Ahli'!$C:$C,
               'Upah Tenaga Ahli'!$A:$A,"PER-M2",
               'Upah Tenaga Ahli'!$B:$B,$G470
        ) * $J470 * $K470,
    0),
IF($M470="PER-LUBANG",
    IFERROR(
        SUMIFS('Upah Tenaga Ahli'!$D:$D,
               'Upah Tenaga Ahli'!$A:$A,"PER-LUBANG",
               'Upah Tenaga Ahli'!$B:$B,$G470
        ) * $L470 * $K470,
    0),
IF($M470="PER-M",
    IFERROR(
        SUMIFS('Upah Tenaga Ahli'!$E:$E,
               'Upah Tenaga Ahli'!$A:$A,"PER-M",
               'Upah Tenaga Ahli'!$B:$B,$G470
        ) * $J470 * $K470,
    0),
0)))</f>
        <v>1134000</v>
      </c>
      <c r="R470" t="s">
        <v>18</v>
      </c>
      <c r="S470" t="s">
        <v>23</v>
      </c>
      <c r="T470">
        <f>IF($M470="PER-M2",
   ($N470 * $J470 * $K470)
   + IFERROR(VLOOKUP($R470,Finishing!A:B,2,FALSE),0)
   + IFERROR(VLOOKUP($S470,Kerumitan!A:B,2,FALSE),0),
IF($M470="PER-LUBANG",
   ($P470 * $L470 * $K470)
   + IFERROR(VLOOKUP($R470,Finishing!A:B,2,FALSE),0)
   + IFERROR(VLOOKUP($S470,Kerumitan!A:B,2,FALSE),0),
IF($M470="PER-M",
   ($O470 * $J470 * $K470)
   + IFERROR(VLOOKUP($R470,Finishing!A:B,2,FALSE),0)
   + IFERROR(VLOOKUP($S470,Kerumitan!A:B,2,FALSE),0),
0)))</f>
        <v>11340000</v>
      </c>
    </row>
    <row r="471" spans="1:20" x14ac:dyDescent="0.45">
      <c r="A471" t="s">
        <v>568</v>
      </c>
      <c r="B471" s="5">
        <v>44653</v>
      </c>
      <c r="C471">
        <f t="shared" si="7"/>
        <v>2022</v>
      </c>
      <c r="D471" t="s">
        <v>86</v>
      </c>
      <c r="E471" t="s">
        <v>57</v>
      </c>
      <c r="F471" t="s">
        <v>10</v>
      </c>
      <c r="G471" t="s">
        <v>13</v>
      </c>
      <c r="H471" t="s">
        <v>33</v>
      </c>
      <c r="I471">
        <v>1</v>
      </c>
      <c r="J471">
        <v>5.15</v>
      </c>
      <c r="K471">
        <v>2</v>
      </c>
      <c r="L471">
        <v>0</v>
      </c>
      <c r="M471" t="str" cm="1">
        <f t="array" ref="M471">_xlfn.IFS(
   OR($F471="Pagar", $F471="Pintu Gerbang", $F471="Pintu Handerson", $F471="Kanopi"), "PER-M2",
   $F471="Teralis", "PER-LUBANG",
   OR($F471="Railing", $F471="Railing/Balkon"), "PER-M",
   TRUE, ""
)</f>
        <v>PER-M2</v>
      </c>
      <c r="N471" cm="1">
        <f t="array" ref="N471">IF($M471="PER-M2",
  IFERROR(
     _xlfn.IFS(
        $G471="Hollow",
            INDEX('Referensi Harga'!$C:$C,
                  MATCH($F471&amp;$C471,'Referensi Harga'!$A:$A&amp;'Referensi Harga'!$B:$B,0)),
        $G471="Hollow Stainless",
            INDEX('Referensi Harga'!$D:$D,
                  MATCH($F471&amp;$C471,'Referensi Harga'!$A:$A&amp;'Referensi Harga'!$B:$B,0)),
        $G471="Pipa Stainless",
            INDEX('Referensi Harga'!$E:$E,
                  MATCH($F471&amp;$C471,'Referensi Harga'!$A:$A&amp;'Referensi Harga'!$B:$B,0))
     ),0)
  + IFERROR(VLOOKUP($H471,'Profile Size'!$A:$B,2,FALSE),0)
  + IFERROR(VLOOKUP($I471,'Ketebalan Material'!$A:$B,2,FALSE),0),
0)</f>
        <v>850000</v>
      </c>
      <c r="O471">
        <f>IF($M471="PER-M",
  IFERROR(
    IF($G471="Hollow",
       INDEX('Referensi Harga'!$C:$C, MATCH($F471 &amp; "|" &amp; $C471, 'Referensi Harga'!$F:$F, 0)),
    IF($G471="Hollow Stainless",
       INDEX('Referensi Harga'!$D:$D, MATCH($F471 &amp; "|" &amp; $C471, 'Referensi Harga'!$F:$F, 0)),
       INDEX('Referensi Harga'!$E:$E, MATCH($F471 &amp; "|" &amp; $C471, 'Referensi Harga'!$F:$F, 0))
    ))
    + IFERROR(VLOOKUP($H471, 'Profile Size'!$A:$B, 2, FALSE), 0)
    + IFERROR(VLOOKUP($I471, 'Ketebalan Material'!$A:$B, 2, FALSE), 0), 0),
0)</f>
        <v>0</v>
      </c>
      <c r="P471" cm="1">
        <f t="array" ref="P471">IF($M471="PER-LUBANG",
  IFERROR(
     _xlfn.IFS(
        $G471="Hollow",
            INDEX('Referensi Harga'!$C:$C,
                  MATCH($F471&amp;$C471,'Referensi Harga'!$A:$A&amp;'Referensi Harga'!$B:$B,0)),
        $G471="Hollow Stainless",
            INDEX('Referensi Harga'!$D:$D,
                  MATCH($F471&amp;$C471,'Referensi Harga'!$A:$A&amp;'Referensi Harga'!$B:$B,0)),
        $G471="Pipa Stainless",
            INDEX('Referensi Harga'!$E:$E,
                  MATCH($F471&amp;$C471,'Referensi Harga'!$A:$A&amp;'Referensi Harga'!$B:$B,0))
     ),0)
  + IFERROR(VLOOKUP($H471,'Profile Size'!$A:$B,2,FALSE),0)
  + IFERROR(VLOOKUP($I471,'Ketebalan Material'!$A:$B,2,FALSE),0),
0)</f>
        <v>0</v>
      </c>
      <c r="Q471">
        <f>IF($M471="PER-M2",
    IFERROR(
        SUMIFS('Upah Tenaga Ahli'!$C:$C,
               'Upah Tenaga Ahli'!$A:$A,"PER-M2",
               'Upah Tenaga Ahli'!$B:$B,$G471
        ) * $J471 * $K471,
    0),
IF($M471="PER-LUBANG",
    IFERROR(
        SUMIFS('Upah Tenaga Ahli'!$D:$D,
               'Upah Tenaga Ahli'!$A:$A,"PER-LUBANG",
               'Upah Tenaga Ahli'!$B:$B,$G471
        ) * $L471 * $K471,
    0),
IF($M471="PER-M",
    IFERROR(
        SUMIFS('Upah Tenaga Ahli'!$E:$E,
               'Upah Tenaga Ahli'!$A:$A,"PER-M",
               'Upah Tenaga Ahli'!$B:$B,$G471
        ) * $J471 * $K471,
    0),
0)))</f>
        <v>1030000.0000000001</v>
      </c>
      <c r="R471" t="s">
        <v>19</v>
      </c>
      <c r="S471" t="s">
        <v>23</v>
      </c>
      <c r="T471">
        <f>IF($M471="PER-M2",
   ($N471 * $J471 * $K471)
   + IFERROR(VLOOKUP($R471,Finishing!A:B,2,FALSE),0)
   + IFERROR(VLOOKUP($S471,Kerumitan!A:B,2,FALSE),0),
IF($M471="PER-LUBANG",
   ($P471 * $L471 * $K471)
   + IFERROR(VLOOKUP($R471,Finishing!A:B,2,FALSE),0)
   + IFERROR(VLOOKUP($S471,Kerumitan!A:B,2,FALSE),0),
IF($M471="PER-M",
   ($O471 * $J471 * $K471)
   + IFERROR(VLOOKUP($R471,Finishing!A:B,2,FALSE),0)
   + IFERROR(VLOOKUP($S471,Kerumitan!A:B,2,FALSE),0),
0)))</f>
        <v>8805000</v>
      </c>
    </row>
    <row r="472" spans="1:20" x14ac:dyDescent="0.45">
      <c r="A472" t="s">
        <v>569</v>
      </c>
      <c r="B472" s="5">
        <v>43690</v>
      </c>
      <c r="C472">
        <f t="shared" si="7"/>
        <v>2019</v>
      </c>
      <c r="D472" t="s">
        <v>232</v>
      </c>
      <c r="E472" t="s">
        <v>61</v>
      </c>
      <c r="F472" t="s">
        <v>6</v>
      </c>
      <c r="G472" t="s">
        <v>13</v>
      </c>
      <c r="H472" t="s">
        <v>33</v>
      </c>
      <c r="I472">
        <v>0.8</v>
      </c>
      <c r="J472">
        <v>9.01</v>
      </c>
      <c r="K472">
        <v>2</v>
      </c>
      <c r="L472">
        <v>0</v>
      </c>
      <c r="M472" t="str" cm="1">
        <f t="array" ref="M472">_xlfn.IFS(
   OR($F472="Pagar", $F472="Pintu Gerbang", $F472="Pintu Handerson", $F472="Kanopi"), "PER-M2",
   $F472="Teralis", "PER-LUBANG",
   OR($F472="Railing", $F472="Railing/Balkon"), "PER-M",
   TRUE, ""
)</f>
        <v>PER-M2</v>
      </c>
      <c r="N472" cm="1">
        <f t="array" ref="N472">IF($M472="PER-M2",
  IFERROR(
     _xlfn.IFS(
        $G472="Hollow",
            INDEX('Referensi Harga'!$C:$C,
                  MATCH($F472&amp;$C472,'Referensi Harga'!$A:$A&amp;'Referensi Harga'!$B:$B,0)),
        $G472="Hollow Stainless",
            INDEX('Referensi Harga'!$D:$D,
                  MATCH($F472&amp;$C472,'Referensi Harga'!$A:$A&amp;'Referensi Harga'!$B:$B,0)),
        $G472="Pipa Stainless",
            INDEX('Referensi Harga'!$E:$E,
                  MATCH($F472&amp;$C472,'Referensi Harga'!$A:$A&amp;'Referensi Harga'!$B:$B,0))
     ),0)
  + IFERROR(VLOOKUP($H472,'Profile Size'!$A:$B,2,FALSE),0)
  + IFERROR(VLOOKUP($I472,'Ketebalan Material'!$A:$B,2,FALSE),0),
0)</f>
        <v>350000</v>
      </c>
      <c r="O472">
        <f>IF($M472="PER-M",
  IFERROR(
    IF($G472="Hollow",
       INDEX('Referensi Harga'!$C:$C, MATCH($F472 &amp; "|" &amp; $C472, 'Referensi Harga'!$F:$F, 0)),
    IF($G472="Hollow Stainless",
       INDEX('Referensi Harga'!$D:$D, MATCH($F472 &amp; "|" &amp; $C472, 'Referensi Harga'!$F:$F, 0)),
       INDEX('Referensi Harga'!$E:$E, MATCH($F472 &amp; "|" &amp; $C472, 'Referensi Harga'!$F:$F, 0))
    ))
    + IFERROR(VLOOKUP($H472, 'Profile Size'!$A:$B, 2, FALSE), 0)
    + IFERROR(VLOOKUP($I472, 'Ketebalan Material'!$A:$B, 2, FALSE), 0), 0),
0)</f>
        <v>0</v>
      </c>
      <c r="P472" cm="1">
        <f t="array" ref="P472">IF($M472="PER-LUBANG",
  IFERROR(
     _xlfn.IFS(
        $G472="Hollow",
            INDEX('Referensi Harga'!$C:$C,
                  MATCH($F472&amp;$C472,'Referensi Harga'!$A:$A&amp;'Referensi Harga'!$B:$B,0)),
        $G472="Hollow Stainless",
            INDEX('Referensi Harga'!$D:$D,
                  MATCH($F472&amp;$C472,'Referensi Harga'!$A:$A&amp;'Referensi Harga'!$B:$B,0)),
        $G472="Pipa Stainless",
            INDEX('Referensi Harga'!$E:$E,
                  MATCH($F472&amp;$C472,'Referensi Harga'!$A:$A&amp;'Referensi Harga'!$B:$B,0))
     ),0)
  + IFERROR(VLOOKUP($H472,'Profile Size'!$A:$B,2,FALSE),0)
  + IFERROR(VLOOKUP($I472,'Ketebalan Material'!$A:$B,2,FALSE),0),
0)</f>
        <v>0</v>
      </c>
      <c r="Q472">
        <f>IF($M472="PER-M2",
    IFERROR(
        SUMIFS('Upah Tenaga Ahli'!$C:$C,
               'Upah Tenaga Ahli'!$A:$A,"PER-M2",
               'Upah Tenaga Ahli'!$B:$B,$G472
        ) * $J472 * $K472,
    0),
IF($M472="PER-LUBANG",
    IFERROR(
        SUMIFS('Upah Tenaga Ahli'!$D:$D,
               'Upah Tenaga Ahli'!$A:$A,"PER-LUBANG",
               'Upah Tenaga Ahli'!$B:$B,$G472
        ) * $L472 * $K472,
    0),
IF($M472="PER-M",
    IFERROR(
        SUMIFS('Upah Tenaga Ahli'!$E:$E,
               'Upah Tenaga Ahli'!$A:$A,"PER-M",
               'Upah Tenaga Ahli'!$B:$B,$G472
        ) * $J472 * $K472,
    0),
0)))</f>
        <v>1802000</v>
      </c>
      <c r="R472" t="s">
        <v>19</v>
      </c>
      <c r="S472" t="s">
        <v>23</v>
      </c>
      <c r="T472">
        <f>IF($M472="PER-M2",
   ($N472 * $J472 * $K472)
   + IFERROR(VLOOKUP($R472,Finishing!A:B,2,FALSE),0)
   + IFERROR(VLOOKUP($S472,Kerumitan!A:B,2,FALSE),0),
IF($M472="PER-LUBANG",
   ($P472 * $L472 * $K472)
   + IFERROR(VLOOKUP($R472,Finishing!A:B,2,FALSE),0)
   + IFERROR(VLOOKUP($S472,Kerumitan!A:B,2,FALSE),0),
IF($M472="PER-M",
   ($O472 * $J472 * $K472)
   + IFERROR(VLOOKUP($R472,Finishing!A:B,2,FALSE),0)
   + IFERROR(VLOOKUP($S472,Kerumitan!A:B,2,FALSE),0),
0)))</f>
        <v>6357000</v>
      </c>
    </row>
    <row r="473" spans="1:20" x14ac:dyDescent="0.45">
      <c r="A473" t="s">
        <v>570</v>
      </c>
      <c r="B473" s="5">
        <v>44281</v>
      </c>
      <c r="C473">
        <f t="shared" si="7"/>
        <v>2021</v>
      </c>
      <c r="D473" t="s">
        <v>77</v>
      </c>
      <c r="E473" t="s">
        <v>54</v>
      </c>
      <c r="F473" t="s">
        <v>7</v>
      </c>
      <c r="G473" t="s">
        <v>14</v>
      </c>
      <c r="H473" t="s">
        <v>614</v>
      </c>
      <c r="I473">
        <v>0.8</v>
      </c>
      <c r="J473">
        <v>8.11</v>
      </c>
      <c r="K473">
        <v>1</v>
      </c>
      <c r="L473">
        <v>0</v>
      </c>
      <c r="M473" t="str" cm="1">
        <f t="array" ref="M473">_xlfn.IFS(
   OR($F473="Pagar", $F473="Pintu Gerbang", $F473="Pintu Handerson", $F473="Kanopi"), "PER-M2",
   $F473="Teralis", "PER-LUBANG",
   OR($F473="Railing", $F473="Railing/Balkon"), "PER-M",
   TRUE, ""
)</f>
        <v>PER-M2</v>
      </c>
      <c r="N473" cm="1">
        <f t="array" ref="N473">IF($M473="PER-M2",
  IFERROR(
     _xlfn.IFS(
        $G473="Hollow",
            INDEX('Referensi Harga'!$C:$C,
                  MATCH($F473&amp;$C473,'Referensi Harga'!$A:$A&amp;'Referensi Harga'!$B:$B,0)),
        $G473="Hollow Stainless",
            INDEX('Referensi Harga'!$D:$D,
                  MATCH($F473&amp;$C473,'Referensi Harga'!$A:$A&amp;'Referensi Harga'!$B:$B,0)),
        $G473="Pipa Stainless",
            INDEX('Referensi Harga'!$E:$E,
                  MATCH($F473&amp;$C473,'Referensi Harga'!$A:$A&amp;'Referensi Harga'!$B:$B,0))
     ),0)
  + IFERROR(VLOOKUP($H473,'Profile Size'!$A:$B,2,FALSE),0)
  + IFERROR(VLOOKUP($I473,'Ketebalan Material'!$A:$B,2,FALSE),0),
0)</f>
        <v>1050000</v>
      </c>
      <c r="O473">
        <f>IF($M473="PER-M",
  IFERROR(
    IF($G473="Hollow",
       INDEX('Referensi Harga'!$C:$C, MATCH($F473 &amp; "|" &amp; $C473, 'Referensi Harga'!$F:$F, 0)),
    IF($G473="Hollow Stainless",
       INDEX('Referensi Harga'!$D:$D, MATCH($F473 &amp; "|" &amp; $C473, 'Referensi Harga'!$F:$F, 0)),
       INDEX('Referensi Harga'!$E:$E, MATCH($F473 &amp; "|" &amp; $C473, 'Referensi Harga'!$F:$F, 0))
    ))
    + IFERROR(VLOOKUP($H473, 'Profile Size'!$A:$B, 2, FALSE), 0)
    + IFERROR(VLOOKUP($I473, 'Ketebalan Material'!$A:$B, 2, FALSE), 0), 0),
0)</f>
        <v>0</v>
      </c>
      <c r="P473" cm="1">
        <f t="array" ref="P473">IF($M473="PER-LUBANG",
  IFERROR(
     _xlfn.IFS(
        $G473="Hollow",
            INDEX('Referensi Harga'!$C:$C,
                  MATCH($F473&amp;$C473,'Referensi Harga'!$A:$A&amp;'Referensi Harga'!$B:$B,0)),
        $G473="Hollow Stainless",
            INDEX('Referensi Harga'!$D:$D,
                  MATCH($F473&amp;$C473,'Referensi Harga'!$A:$A&amp;'Referensi Harga'!$B:$B,0)),
        $G473="Pipa Stainless",
            INDEX('Referensi Harga'!$E:$E,
                  MATCH($F473&amp;$C473,'Referensi Harga'!$A:$A&amp;'Referensi Harga'!$B:$B,0))
     ),0)
  + IFERROR(VLOOKUP($H473,'Profile Size'!$A:$B,2,FALSE),0)
  + IFERROR(VLOOKUP($I473,'Ketebalan Material'!$A:$B,2,FALSE),0),
0)</f>
        <v>0</v>
      </c>
      <c r="Q473">
        <f>IF($M473="PER-M2",
    IFERROR(
        SUMIFS('Upah Tenaga Ahli'!$C:$C,
               'Upah Tenaga Ahli'!$A:$A,"PER-M2",
               'Upah Tenaga Ahli'!$B:$B,$G473
        ) * $J473 * $K473,
    0),
IF($M473="PER-LUBANG",
    IFERROR(
        SUMIFS('Upah Tenaga Ahli'!$D:$D,
               'Upah Tenaga Ahli'!$A:$A,"PER-LUBANG",
               'Upah Tenaga Ahli'!$B:$B,$G473
        ) * $L473 * $K473,
    0),
IF($M473="PER-M",
    IFERROR(
        SUMIFS('Upah Tenaga Ahli'!$E:$E,
               'Upah Tenaga Ahli'!$A:$A,"PER-M",
               'Upah Tenaga Ahli'!$B:$B,$G473
        ) * $J473 * $K473,
    0),
0)))</f>
        <v>1622000</v>
      </c>
      <c r="R473" t="s">
        <v>617</v>
      </c>
      <c r="S473" t="s">
        <v>23</v>
      </c>
      <c r="T473">
        <f>IF($M473="PER-M2",
   ($N473 * $J473 * $K473)
   + IFERROR(VLOOKUP($R473,Finishing!A:B,2,FALSE),0)
   + IFERROR(VLOOKUP($S473,Kerumitan!A:B,2,FALSE),0),
IF($M473="PER-LUBANG",
   ($P473 * $L473 * $K473)
   + IFERROR(VLOOKUP($R473,Finishing!A:B,2,FALSE),0)
   + IFERROR(VLOOKUP($S473,Kerumitan!A:B,2,FALSE),0),
IF($M473="PER-M",
   ($O473 * $J473 * $K473)
   + IFERROR(VLOOKUP($R473,Finishing!A:B,2,FALSE),0)
   + IFERROR(VLOOKUP($S473,Kerumitan!A:B,2,FALSE),0),
0)))</f>
        <v>8515500</v>
      </c>
    </row>
    <row r="474" spans="1:20" x14ac:dyDescent="0.45">
      <c r="A474" t="s">
        <v>571</v>
      </c>
      <c r="B474" s="5">
        <v>45535</v>
      </c>
      <c r="C474">
        <f t="shared" si="7"/>
        <v>2024</v>
      </c>
      <c r="D474" t="s">
        <v>169</v>
      </c>
      <c r="E474" t="s">
        <v>28</v>
      </c>
      <c r="F474" t="s">
        <v>10</v>
      </c>
      <c r="G474" t="s">
        <v>14</v>
      </c>
      <c r="H474" t="s">
        <v>615</v>
      </c>
      <c r="I474">
        <v>0.8</v>
      </c>
      <c r="J474">
        <v>3.66</v>
      </c>
      <c r="K474">
        <v>2</v>
      </c>
      <c r="L474">
        <v>0</v>
      </c>
      <c r="M474" t="str" cm="1">
        <f t="array" ref="M474">_xlfn.IFS(
   OR($F474="Pagar", $F474="Pintu Gerbang", $F474="Pintu Handerson", $F474="Kanopi"), "PER-M2",
   $F474="Teralis", "PER-LUBANG",
   OR($F474="Railing", $F474="Railing/Balkon"), "PER-M",
   TRUE, ""
)</f>
        <v>PER-M2</v>
      </c>
      <c r="N474" cm="1">
        <f t="array" ref="N474">IF($M474="PER-M2",
  IFERROR(
     _xlfn.IFS(
        $G474="Hollow",
            INDEX('Referensi Harga'!$C:$C,
                  MATCH($F474&amp;$C474,'Referensi Harga'!$A:$A&amp;'Referensi Harga'!$B:$B,0)),
        $G474="Hollow Stainless",
            INDEX('Referensi Harga'!$D:$D,
                  MATCH($F474&amp;$C474,'Referensi Harga'!$A:$A&amp;'Referensi Harga'!$B:$B,0)),
        $G474="Pipa Stainless",
            INDEX('Referensi Harga'!$E:$E,
                  MATCH($F474&amp;$C474,'Referensi Harga'!$A:$A&amp;'Referensi Harga'!$B:$B,0))
     ),0)
  + IFERROR(VLOOKUP($H474,'Profile Size'!$A:$B,2,FALSE),0)
  + IFERROR(VLOOKUP($I474,'Ketebalan Material'!$A:$B,2,FALSE),0),
0)</f>
        <v>1550000</v>
      </c>
      <c r="O474">
        <f>IF($M474="PER-M",
  IFERROR(
    IF($G474="Hollow",
       INDEX('Referensi Harga'!$C:$C, MATCH($F474 &amp; "|" &amp; $C474, 'Referensi Harga'!$F:$F, 0)),
    IF($G474="Hollow Stainless",
       INDEX('Referensi Harga'!$D:$D, MATCH($F474 &amp; "|" &amp; $C474, 'Referensi Harga'!$F:$F, 0)),
       INDEX('Referensi Harga'!$E:$E, MATCH($F474 &amp; "|" &amp; $C474, 'Referensi Harga'!$F:$F, 0))
    ))
    + IFERROR(VLOOKUP($H474, 'Profile Size'!$A:$B, 2, FALSE), 0)
    + IFERROR(VLOOKUP($I474, 'Ketebalan Material'!$A:$B, 2, FALSE), 0), 0),
0)</f>
        <v>0</v>
      </c>
      <c r="P474" cm="1">
        <f t="array" ref="P474">IF($M474="PER-LUBANG",
  IFERROR(
     _xlfn.IFS(
        $G474="Hollow",
            INDEX('Referensi Harga'!$C:$C,
                  MATCH($F474&amp;$C474,'Referensi Harga'!$A:$A&amp;'Referensi Harga'!$B:$B,0)),
        $G474="Hollow Stainless",
            INDEX('Referensi Harga'!$D:$D,
                  MATCH($F474&amp;$C474,'Referensi Harga'!$A:$A&amp;'Referensi Harga'!$B:$B,0)),
        $G474="Pipa Stainless",
            INDEX('Referensi Harga'!$E:$E,
                  MATCH($F474&amp;$C474,'Referensi Harga'!$A:$A&amp;'Referensi Harga'!$B:$B,0))
     ),0)
  + IFERROR(VLOOKUP($H474,'Profile Size'!$A:$B,2,FALSE),0)
  + IFERROR(VLOOKUP($I474,'Ketebalan Material'!$A:$B,2,FALSE),0),
0)</f>
        <v>0</v>
      </c>
      <c r="Q474">
        <f>IF($M474="PER-M2",
    IFERROR(
        SUMIFS('Upah Tenaga Ahli'!$C:$C,
               'Upah Tenaga Ahli'!$A:$A,"PER-M2",
               'Upah Tenaga Ahli'!$B:$B,$G474
        ) * $J474 * $K474,
    0),
IF($M474="PER-LUBANG",
    IFERROR(
        SUMIFS('Upah Tenaga Ahli'!$D:$D,
               'Upah Tenaga Ahli'!$A:$A,"PER-LUBANG",
               'Upah Tenaga Ahli'!$B:$B,$G474
        ) * $L474 * $K474,
    0),
IF($M474="PER-M",
    IFERROR(
        SUMIFS('Upah Tenaga Ahli'!$E:$E,
               'Upah Tenaga Ahli'!$A:$A,"PER-M",
               'Upah Tenaga Ahli'!$B:$B,$G474
        ) * $J474 * $K474,
    0),
0)))</f>
        <v>1464000</v>
      </c>
      <c r="R474" t="s">
        <v>617</v>
      </c>
      <c r="S474" t="s">
        <v>23</v>
      </c>
      <c r="T474">
        <f>IF($M474="PER-M2",
   ($N474 * $J474 * $K474)
   + IFERROR(VLOOKUP($R474,Finishing!A:B,2,FALSE),0)
   + IFERROR(VLOOKUP($S474,Kerumitan!A:B,2,FALSE),0),
IF($M474="PER-LUBANG",
   ($P474 * $L474 * $K474)
   + IFERROR(VLOOKUP($R474,Finishing!A:B,2,FALSE),0)
   + IFERROR(VLOOKUP($S474,Kerumitan!A:B,2,FALSE),0),
IF($M474="PER-M",
   ($O474 * $J474 * $K474)
   + IFERROR(VLOOKUP($R474,Finishing!A:B,2,FALSE),0)
   + IFERROR(VLOOKUP($S474,Kerumitan!A:B,2,FALSE),0),
0)))</f>
        <v>11346000</v>
      </c>
    </row>
    <row r="475" spans="1:20" x14ac:dyDescent="0.45">
      <c r="A475" t="s">
        <v>572</v>
      </c>
      <c r="B475" s="5">
        <v>45094</v>
      </c>
      <c r="C475">
        <f t="shared" si="7"/>
        <v>2023</v>
      </c>
      <c r="D475" t="s">
        <v>126</v>
      </c>
      <c r="E475" t="s">
        <v>75</v>
      </c>
      <c r="F475" t="s">
        <v>625</v>
      </c>
      <c r="G475" t="s">
        <v>13</v>
      </c>
      <c r="H475" t="s">
        <v>33</v>
      </c>
      <c r="I475">
        <v>1</v>
      </c>
      <c r="J475">
        <v>14.41</v>
      </c>
      <c r="K475">
        <v>1</v>
      </c>
      <c r="L475">
        <v>0</v>
      </c>
      <c r="M475" t="str" cm="1">
        <f t="array" ref="M475">_xlfn.IFS(
   OR($F475="Pagar", $F475="Pintu Gerbang", $F475="Pintu Handerson", $F475="Kanopi"), "PER-M2",
   $F475="Teralis", "PER-LUBANG",
   OR($F475="Railing", $F475="Railing/Balkon"), "PER-M",
   TRUE, ""
)</f>
        <v>PER-M</v>
      </c>
      <c r="N475" cm="1">
        <f t="array" ref="N475">IF($M475="PER-M2",
  IFERROR(
     _xlfn.IFS(
        $G475="Hollow",
            INDEX('Referensi Harga'!$C:$C,
                  MATCH($F475&amp;$C475,'Referensi Harga'!$A:$A&amp;'Referensi Harga'!$B:$B,0)),
        $G475="Hollow Stainless",
            INDEX('Referensi Harga'!$D:$D,
                  MATCH($F475&amp;$C475,'Referensi Harga'!$A:$A&amp;'Referensi Harga'!$B:$B,0)),
        $G475="Pipa Stainless",
            INDEX('Referensi Harga'!$E:$E,
                  MATCH($F475&amp;$C475,'Referensi Harga'!$A:$A&amp;'Referensi Harga'!$B:$B,0))
     ),0)
  + IFERROR(VLOOKUP($H475,'Profile Size'!$A:$B,2,FALSE),0)
  + IFERROR(VLOOKUP($I475,'Ketebalan Material'!$A:$B,2,FALSE),0),
0)</f>
        <v>0</v>
      </c>
      <c r="O475">
        <f>IF($M475="PER-M",
  IFERROR(
    IF($G475="Hollow",
       INDEX('Referensi Harga'!$C:$C, MATCH($F475 &amp; "|" &amp; $C475, 'Referensi Harga'!$F:$F, 0)),
    IF($G475="Hollow Stainless",
       INDEX('Referensi Harga'!$D:$D, MATCH($F475 &amp; "|" &amp; $C475, 'Referensi Harga'!$F:$F, 0)),
       INDEX('Referensi Harga'!$E:$E, MATCH($F475 &amp; "|" &amp; $C475, 'Referensi Harga'!$F:$F, 0))
    ))
    + IFERROR(VLOOKUP($H475, 'Profile Size'!$A:$B, 2, FALSE), 0)
    + IFERROR(VLOOKUP($I475, 'Ketebalan Material'!$A:$B, 2, FALSE), 0), 0),
0)</f>
        <v>550000</v>
      </c>
      <c r="P475" cm="1">
        <f t="array" ref="P475">IF($M475="PER-LUBANG",
  IFERROR(
     _xlfn.IFS(
        $G475="Hollow",
            INDEX('Referensi Harga'!$C:$C,
                  MATCH($F475&amp;$C475,'Referensi Harga'!$A:$A&amp;'Referensi Harga'!$B:$B,0)),
        $G475="Hollow Stainless",
            INDEX('Referensi Harga'!$D:$D,
                  MATCH($F475&amp;$C475,'Referensi Harga'!$A:$A&amp;'Referensi Harga'!$B:$B,0)),
        $G475="Pipa Stainless",
            INDEX('Referensi Harga'!$E:$E,
                  MATCH($F475&amp;$C475,'Referensi Harga'!$A:$A&amp;'Referensi Harga'!$B:$B,0))
     ),0)
  + IFERROR(VLOOKUP($H475,'Profile Size'!$A:$B,2,FALSE),0)
  + IFERROR(VLOOKUP($I475,'Ketebalan Material'!$A:$B,2,FALSE),0),
0)</f>
        <v>0</v>
      </c>
      <c r="Q475">
        <f>IF($M475="PER-M2",
    IFERROR(
        SUMIFS('Upah Tenaga Ahli'!$C:$C,
               'Upah Tenaga Ahli'!$A:$A,"PER-M2",
               'Upah Tenaga Ahli'!$B:$B,$G475
        ) * $J475 * $K475,
    0),
IF($M475="PER-LUBANG",
    IFERROR(
        SUMIFS('Upah Tenaga Ahli'!$D:$D,
               'Upah Tenaga Ahli'!$A:$A,"PER-LUBANG",
               'Upah Tenaga Ahli'!$B:$B,$G475
        ) * $L475 * $K475,
    0),
IF($M475="PER-M",
    IFERROR(
        SUMIFS('Upah Tenaga Ahli'!$E:$E,
               'Upah Tenaga Ahli'!$A:$A,"PER-M",
               'Upah Tenaga Ahli'!$B:$B,$G475
        ) * $J475 * $K475,
    0),
0)))</f>
        <v>1441000</v>
      </c>
      <c r="R475" t="s">
        <v>18</v>
      </c>
      <c r="S475" t="s">
        <v>24</v>
      </c>
      <c r="T475">
        <f>IF($M475="PER-M2",
   ($N475 * $J475 * $K475)
   + IFERROR(VLOOKUP($R475,Finishing!A:B,2,FALSE),0)
   + IFERROR(VLOOKUP($S475,Kerumitan!A:B,2,FALSE),0),
IF($M475="PER-LUBANG",
   ($P475 * $L475 * $K475)
   + IFERROR(VLOOKUP($R475,Finishing!A:B,2,FALSE),0)
   + IFERROR(VLOOKUP($S475,Kerumitan!A:B,2,FALSE),0),
IF($M475="PER-M",
   ($O475 * $J475 * $K475)
   + IFERROR(VLOOKUP($R475,Finishing!A:B,2,FALSE),0)
   + IFERROR(VLOOKUP($S475,Kerumitan!A:B,2,FALSE),0),
0)))</f>
        <v>8025500</v>
      </c>
    </row>
    <row r="476" spans="1:20" x14ac:dyDescent="0.45">
      <c r="A476" t="s">
        <v>573</v>
      </c>
      <c r="B476" s="5">
        <v>45577</v>
      </c>
      <c r="C476">
        <f t="shared" si="7"/>
        <v>2024</v>
      </c>
      <c r="D476" t="s">
        <v>129</v>
      </c>
      <c r="E476" t="s">
        <v>69</v>
      </c>
      <c r="F476" t="s">
        <v>6</v>
      </c>
      <c r="G476" t="s">
        <v>13</v>
      </c>
      <c r="H476" t="s">
        <v>35</v>
      </c>
      <c r="I476">
        <v>1</v>
      </c>
      <c r="J476">
        <v>12.26</v>
      </c>
      <c r="K476">
        <v>1</v>
      </c>
      <c r="L476">
        <v>0</v>
      </c>
      <c r="M476" t="str" cm="1">
        <f t="array" ref="M476">_xlfn.IFS(
   OR($F476="Pagar", $F476="Pintu Gerbang", $F476="Pintu Handerson", $F476="Kanopi"), "PER-M2",
   $F476="Teralis", "PER-LUBANG",
   OR($F476="Railing", $F476="Railing/Balkon"), "PER-M",
   TRUE, ""
)</f>
        <v>PER-M2</v>
      </c>
      <c r="N476" cm="1">
        <f t="array" ref="N476">IF($M476="PER-M2",
  IFERROR(
     _xlfn.IFS(
        $G476="Hollow",
            INDEX('Referensi Harga'!$C:$C,
                  MATCH($F476&amp;$C476,'Referensi Harga'!$A:$A&amp;'Referensi Harga'!$B:$B,0)),
        $G476="Hollow Stainless",
            INDEX('Referensi Harga'!$D:$D,
                  MATCH($F476&amp;$C476,'Referensi Harga'!$A:$A&amp;'Referensi Harga'!$B:$B,0)),
        $G476="Pipa Stainless",
            INDEX('Referensi Harga'!$E:$E,
                  MATCH($F476&amp;$C476,'Referensi Harga'!$A:$A&amp;'Referensi Harga'!$B:$B,0))
     ),0)
  + IFERROR(VLOOKUP($H476,'Profile Size'!$A:$B,2,FALSE),0)
  + IFERROR(VLOOKUP($I476,'Ketebalan Material'!$A:$B,2,FALSE),0),
0)</f>
        <v>600000</v>
      </c>
      <c r="O476">
        <f>IF($M476="PER-M",
  IFERROR(
    IF($G476="Hollow",
       INDEX('Referensi Harga'!$C:$C, MATCH($F476 &amp; "|" &amp; $C476, 'Referensi Harga'!$F:$F, 0)),
    IF($G476="Hollow Stainless",
       INDEX('Referensi Harga'!$D:$D, MATCH($F476 &amp; "|" &amp; $C476, 'Referensi Harga'!$F:$F, 0)),
       INDEX('Referensi Harga'!$E:$E, MATCH($F476 &amp; "|" &amp; $C476, 'Referensi Harga'!$F:$F, 0))
    ))
    + IFERROR(VLOOKUP($H476, 'Profile Size'!$A:$B, 2, FALSE), 0)
    + IFERROR(VLOOKUP($I476, 'Ketebalan Material'!$A:$B, 2, FALSE), 0), 0),
0)</f>
        <v>0</v>
      </c>
      <c r="P476" cm="1">
        <f t="array" ref="P476">IF($M476="PER-LUBANG",
  IFERROR(
     _xlfn.IFS(
        $G476="Hollow",
            INDEX('Referensi Harga'!$C:$C,
                  MATCH($F476&amp;$C476,'Referensi Harga'!$A:$A&amp;'Referensi Harga'!$B:$B,0)),
        $G476="Hollow Stainless",
            INDEX('Referensi Harga'!$D:$D,
                  MATCH($F476&amp;$C476,'Referensi Harga'!$A:$A&amp;'Referensi Harga'!$B:$B,0)),
        $G476="Pipa Stainless",
            INDEX('Referensi Harga'!$E:$E,
                  MATCH($F476&amp;$C476,'Referensi Harga'!$A:$A&amp;'Referensi Harga'!$B:$B,0))
     ),0)
  + IFERROR(VLOOKUP($H476,'Profile Size'!$A:$B,2,FALSE),0)
  + IFERROR(VLOOKUP($I476,'Ketebalan Material'!$A:$B,2,FALSE),0),
0)</f>
        <v>0</v>
      </c>
      <c r="Q476">
        <f>IF($M476="PER-M2",
    IFERROR(
        SUMIFS('Upah Tenaga Ahli'!$C:$C,
               'Upah Tenaga Ahli'!$A:$A,"PER-M2",
               'Upah Tenaga Ahli'!$B:$B,$G476
        ) * $J476 * $K476,
    0),
IF($M476="PER-LUBANG",
    IFERROR(
        SUMIFS('Upah Tenaga Ahli'!$D:$D,
               'Upah Tenaga Ahli'!$A:$A,"PER-LUBANG",
               'Upah Tenaga Ahli'!$B:$B,$G476
        ) * $L476 * $K476,
    0),
IF($M476="PER-M",
    IFERROR(
        SUMIFS('Upah Tenaga Ahli'!$E:$E,
               'Upah Tenaga Ahli'!$A:$A,"PER-M",
               'Upah Tenaga Ahli'!$B:$B,$G476
        ) * $J476 * $K476,
    0),
0)))</f>
        <v>1226000</v>
      </c>
      <c r="R476" t="s">
        <v>18</v>
      </c>
      <c r="S476" t="s">
        <v>24</v>
      </c>
      <c r="T476">
        <f>IF($M476="PER-M2",
   ($N476 * $J476 * $K476)
   + IFERROR(VLOOKUP($R476,Finishing!A:B,2,FALSE),0)
   + IFERROR(VLOOKUP($S476,Kerumitan!A:B,2,FALSE),0),
IF($M476="PER-LUBANG",
   ($P476 * $L476 * $K476)
   + IFERROR(VLOOKUP($R476,Finishing!A:B,2,FALSE),0)
   + IFERROR(VLOOKUP($S476,Kerumitan!A:B,2,FALSE),0),
IF($M476="PER-M",
   ($O476 * $J476 * $K476)
   + IFERROR(VLOOKUP($R476,Finishing!A:B,2,FALSE),0)
   + IFERROR(VLOOKUP($S476,Kerumitan!A:B,2,FALSE),0),
0)))</f>
        <v>7456000</v>
      </c>
    </row>
    <row r="477" spans="1:20" x14ac:dyDescent="0.45">
      <c r="A477" t="s">
        <v>574</v>
      </c>
      <c r="B477" s="5">
        <v>44100</v>
      </c>
      <c r="C477">
        <f t="shared" si="7"/>
        <v>2020</v>
      </c>
      <c r="D477" t="s">
        <v>86</v>
      </c>
      <c r="E477" t="s">
        <v>38</v>
      </c>
      <c r="F477" t="s">
        <v>8</v>
      </c>
      <c r="G477" t="s">
        <v>14</v>
      </c>
      <c r="H477" t="s">
        <v>612</v>
      </c>
      <c r="I477">
        <v>1.2</v>
      </c>
      <c r="J477">
        <v>0</v>
      </c>
      <c r="K477">
        <v>1</v>
      </c>
      <c r="L477">
        <v>6</v>
      </c>
      <c r="M477" t="str" cm="1">
        <f t="array" ref="M477">_xlfn.IFS(
   OR($F477="Pagar", $F477="Pintu Gerbang", $F477="Pintu Handerson", $F477="Kanopi"), "PER-M2",
   $F477="Teralis", "PER-LUBANG",
   OR($F477="Railing", $F477="Railing/Balkon"), "PER-M",
   TRUE, ""
)</f>
        <v>PER-LUBANG</v>
      </c>
      <c r="N477" cm="1">
        <f t="array" ref="N477">IF($M477="PER-M2",
  IFERROR(
     _xlfn.IFS(
        $G477="Hollow",
            INDEX('Referensi Harga'!$C:$C,
                  MATCH($F477&amp;$C477,'Referensi Harga'!$A:$A&amp;'Referensi Harga'!$B:$B,0)),
        $G477="Hollow Stainless",
            INDEX('Referensi Harga'!$D:$D,
                  MATCH($F477&amp;$C477,'Referensi Harga'!$A:$A&amp;'Referensi Harga'!$B:$B,0)),
        $G477="Pipa Stainless",
            INDEX('Referensi Harga'!$E:$E,
                  MATCH($F477&amp;$C477,'Referensi Harga'!$A:$A&amp;'Referensi Harga'!$B:$B,0))
     ),0)
  + IFERROR(VLOOKUP($H477,'Profile Size'!$A:$B,2,FALSE),0)
  + IFERROR(VLOOKUP($I477,'Ketebalan Material'!$A:$B,2,FALSE),0),
0)</f>
        <v>0</v>
      </c>
      <c r="O477">
        <f>IF($M477="PER-M",
  IFERROR(
    IF($G477="Hollow",
       INDEX('Referensi Harga'!$C:$C, MATCH($F477 &amp; "|" &amp; $C477, 'Referensi Harga'!$F:$F, 0)),
    IF($G477="Hollow Stainless",
       INDEX('Referensi Harga'!$D:$D, MATCH($F477 &amp; "|" &amp; $C477, 'Referensi Harga'!$F:$F, 0)),
       INDEX('Referensi Harga'!$E:$E, MATCH($F477 &amp; "|" &amp; $C477, 'Referensi Harga'!$F:$F, 0))
    ))
    + IFERROR(VLOOKUP($H477, 'Profile Size'!$A:$B, 2, FALSE), 0)
    + IFERROR(VLOOKUP($I477, 'Ketebalan Material'!$A:$B, 2, FALSE), 0), 0),
0)</f>
        <v>0</v>
      </c>
      <c r="P477" cm="1">
        <f t="array" ref="P477">IF($M477="PER-LUBANG",
  IFERROR(
     _xlfn.IFS(
        $G477="Hollow",
            INDEX('Referensi Harga'!$C:$C,
                  MATCH($F477&amp;$C477,'Referensi Harga'!$A:$A&amp;'Referensi Harga'!$B:$B,0)),
        $G477="Hollow Stainless",
            INDEX('Referensi Harga'!$D:$D,
                  MATCH($F477&amp;$C477,'Referensi Harga'!$A:$A&amp;'Referensi Harga'!$B:$B,0)),
        $G477="Pipa Stainless",
            INDEX('Referensi Harga'!$E:$E,
                  MATCH($F477&amp;$C477,'Referensi Harga'!$A:$A&amp;'Referensi Harga'!$B:$B,0))
     ),0)
  + IFERROR(VLOOKUP($H477,'Profile Size'!$A:$B,2,FALSE),0)
  + IFERROR(VLOOKUP($I477,'Ketebalan Material'!$A:$B,2,FALSE),0),
0)</f>
        <v>720000</v>
      </c>
      <c r="Q477">
        <f>IF($M477="PER-M2",
    IFERROR(
        SUMIFS('Upah Tenaga Ahli'!$C:$C,
               'Upah Tenaga Ahli'!$A:$A,"PER-M2",
               'Upah Tenaga Ahli'!$B:$B,$G477
        ) * $J477 * $K477,
    0),
IF($M477="PER-LUBANG",
    IFERROR(
        SUMIFS('Upah Tenaga Ahli'!$D:$D,
               'Upah Tenaga Ahli'!$A:$A,"PER-LUBANG",
               'Upah Tenaga Ahli'!$B:$B,$G477
        ) * $L477 * $K477,
    0),
IF($M477="PER-M",
    IFERROR(
        SUMIFS('Upah Tenaga Ahli'!$E:$E,
               'Upah Tenaga Ahli'!$A:$A,"PER-M",
               'Upah Tenaga Ahli'!$B:$B,$G477
        ) * $J477 * $K477,
    0),
0)))</f>
        <v>900000</v>
      </c>
      <c r="R477" t="s">
        <v>617</v>
      </c>
      <c r="S477" t="s">
        <v>23</v>
      </c>
      <c r="T477">
        <f>IF($M477="PER-M2",
   ($N477 * $J477 * $K477)
   + IFERROR(VLOOKUP($R477,Finishing!A:B,2,FALSE),0)
   + IFERROR(VLOOKUP($S477,Kerumitan!A:B,2,FALSE),0),
IF($M477="PER-LUBANG",
   ($P477 * $L477 * $K477)
   + IFERROR(VLOOKUP($R477,Finishing!A:B,2,FALSE),0)
   + IFERROR(VLOOKUP($S477,Kerumitan!A:B,2,FALSE),0),
IF($M477="PER-M",
   ($O477 * $J477 * $K477)
   + IFERROR(VLOOKUP($R477,Finishing!A:B,2,FALSE),0)
   + IFERROR(VLOOKUP($S477,Kerumitan!A:B,2,FALSE),0),
0)))</f>
        <v>4320000</v>
      </c>
    </row>
    <row r="478" spans="1:20" x14ac:dyDescent="0.45">
      <c r="A478" t="s">
        <v>575</v>
      </c>
      <c r="B478" s="5">
        <v>45235</v>
      </c>
      <c r="C478">
        <f t="shared" si="7"/>
        <v>2023</v>
      </c>
      <c r="D478" t="s">
        <v>199</v>
      </c>
      <c r="E478" t="s">
        <v>38</v>
      </c>
      <c r="F478" t="s">
        <v>10</v>
      </c>
      <c r="G478" t="s">
        <v>15</v>
      </c>
      <c r="H478" t="s">
        <v>33</v>
      </c>
      <c r="I478">
        <v>0.8</v>
      </c>
      <c r="J478">
        <v>3.92</v>
      </c>
      <c r="K478">
        <v>2</v>
      </c>
      <c r="L478">
        <v>0</v>
      </c>
      <c r="M478" t="str" cm="1">
        <f t="array" ref="M478">_xlfn.IFS(
   OR($F478="Pagar", $F478="Pintu Gerbang", $F478="Pintu Handerson", $F478="Kanopi"), "PER-M2",
   $F478="Teralis", "PER-LUBANG",
   OR($F478="Railing", $F478="Railing/Balkon"), "PER-M",
   TRUE, ""
)</f>
        <v>PER-M2</v>
      </c>
      <c r="N478" cm="1">
        <f t="array" ref="N478">IF($M478="PER-M2",
  IFERROR(
     _xlfn.IFS(
        $G478="Hollow",
            INDEX('Referensi Harga'!$C:$C,
                  MATCH($F478&amp;$C478,'Referensi Harga'!$A:$A&amp;'Referensi Harga'!$B:$B,0)),
        $G478="Hollow Stainless",
            INDEX('Referensi Harga'!$D:$D,
                  MATCH($F478&amp;$C478,'Referensi Harga'!$A:$A&amp;'Referensi Harga'!$B:$B,0)),
        $G478="Pipa Stainless",
            INDEX('Referensi Harga'!$E:$E,
                  MATCH($F478&amp;$C478,'Referensi Harga'!$A:$A&amp;'Referensi Harga'!$B:$B,0))
     ),0)
  + IFERROR(VLOOKUP($H478,'Profile Size'!$A:$B,2,FALSE),0)
  + IFERROR(VLOOKUP($I478,'Ketebalan Material'!$A:$B,2,FALSE),0),
0)</f>
        <v>1500000</v>
      </c>
      <c r="O478">
        <f>IF($M478="PER-M",
  IFERROR(
    IF($G478="Hollow",
       INDEX('Referensi Harga'!$C:$C, MATCH($F478 &amp; "|" &amp; $C478, 'Referensi Harga'!$F:$F, 0)),
    IF($G478="Hollow Stainless",
       INDEX('Referensi Harga'!$D:$D, MATCH($F478 &amp; "|" &amp; $C478, 'Referensi Harga'!$F:$F, 0)),
       INDEX('Referensi Harga'!$E:$E, MATCH($F478 &amp; "|" &amp; $C478, 'Referensi Harga'!$F:$F, 0))
    ))
    + IFERROR(VLOOKUP($H478, 'Profile Size'!$A:$B, 2, FALSE), 0)
    + IFERROR(VLOOKUP($I478, 'Ketebalan Material'!$A:$B, 2, FALSE), 0), 0),
0)</f>
        <v>0</v>
      </c>
      <c r="P478" cm="1">
        <f t="array" ref="P478">IF($M478="PER-LUBANG",
  IFERROR(
     _xlfn.IFS(
        $G478="Hollow",
            INDEX('Referensi Harga'!$C:$C,
                  MATCH($F478&amp;$C478,'Referensi Harga'!$A:$A&amp;'Referensi Harga'!$B:$B,0)),
        $G478="Hollow Stainless",
            INDEX('Referensi Harga'!$D:$D,
                  MATCH($F478&amp;$C478,'Referensi Harga'!$A:$A&amp;'Referensi Harga'!$B:$B,0)),
        $G478="Pipa Stainless",
            INDEX('Referensi Harga'!$E:$E,
                  MATCH($F478&amp;$C478,'Referensi Harga'!$A:$A&amp;'Referensi Harga'!$B:$B,0))
     ),0)
  + IFERROR(VLOOKUP($H478,'Profile Size'!$A:$B,2,FALSE),0)
  + IFERROR(VLOOKUP($I478,'Ketebalan Material'!$A:$B,2,FALSE),0),
0)</f>
        <v>0</v>
      </c>
      <c r="Q478">
        <f>IF($M478="PER-M2",
    IFERROR(
        SUMIFS('Upah Tenaga Ahli'!$C:$C,
               'Upah Tenaga Ahli'!$A:$A,"PER-M2",
               'Upah Tenaga Ahli'!$B:$B,$G478
        ) * $J478 * $K478,
    0),
IF($M478="PER-LUBANG",
    IFERROR(
        SUMIFS('Upah Tenaga Ahli'!$D:$D,
               'Upah Tenaga Ahli'!$A:$A,"PER-LUBANG",
               'Upah Tenaga Ahli'!$B:$B,$G478
        ) * $L478 * $K478,
    0),
IF($M478="PER-M",
    IFERROR(
        SUMIFS('Upah Tenaga Ahli'!$E:$E,
               'Upah Tenaga Ahli'!$A:$A,"PER-M",
               'Upah Tenaga Ahli'!$B:$B,$G478
        ) * $J478 * $K478,
    0),
0)))</f>
        <v>1176000</v>
      </c>
      <c r="R478" t="s">
        <v>617</v>
      </c>
      <c r="S478" t="s">
        <v>24</v>
      </c>
      <c r="T478">
        <f>IF($M478="PER-M2",
   ($N478 * $J478 * $K478)
   + IFERROR(VLOOKUP($R478,Finishing!A:B,2,FALSE),0)
   + IFERROR(VLOOKUP($S478,Kerumitan!A:B,2,FALSE),0),
IF($M478="PER-LUBANG",
   ($P478 * $L478 * $K478)
   + IFERROR(VLOOKUP($R478,Finishing!A:B,2,FALSE),0)
   + IFERROR(VLOOKUP($S478,Kerumitan!A:B,2,FALSE),0),
IF($M478="PER-M",
   ($O478 * $J478 * $K478)
   + IFERROR(VLOOKUP($R478,Finishing!A:B,2,FALSE),0)
   + IFERROR(VLOOKUP($S478,Kerumitan!A:B,2,FALSE),0),
0)))</f>
        <v>11860000</v>
      </c>
    </row>
    <row r="479" spans="1:20" x14ac:dyDescent="0.45">
      <c r="A479" t="s">
        <v>576</v>
      </c>
      <c r="B479" s="5">
        <v>43820</v>
      </c>
      <c r="C479">
        <f t="shared" si="7"/>
        <v>2019</v>
      </c>
      <c r="D479" t="s">
        <v>77</v>
      </c>
      <c r="E479" t="s">
        <v>32</v>
      </c>
      <c r="F479" t="s">
        <v>6</v>
      </c>
      <c r="G479" t="s">
        <v>15</v>
      </c>
      <c r="H479" t="s">
        <v>33</v>
      </c>
      <c r="I479">
        <v>0.8</v>
      </c>
      <c r="J479">
        <v>16.05</v>
      </c>
      <c r="K479">
        <v>1</v>
      </c>
      <c r="L479">
        <v>0</v>
      </c>
      <c r="M479" t="str" cm="1">
        <f t="array" ref="M479">_xlfn.IFS(
   OR($F479="Pagar", $F479="Pintu Gerbang", $F479="Pintu Handerson", $F479="Kanopi"), "PER-M2",
   $F479="Teralis", "PER-LUBANG",
   OR($F479="Railing", $F479="Railing/Balkon"), "PER-M",
   TRUE, ""
)</f>
        <v>PER-M2</v>
      </c>
      <c r="N479" cm="1">
        <f t="array" ref="N479">IF($M479="PER-M2",
  IFERROR(
     _xlfn.IFS(
        $G479="Hollow",
            INDEX('Referensi Harga'!$C:$C,
                  MATCH($F479&amp;$C479,'Referensi Harga'!$A:$A&amp;'Referensi Harga'!$B:$B,0)),
        $G479="Hollow Stainless",
            INDEX('Referensi Harga'!$D:$D,
                  MATCH($F479&amp;$C479,'Referensi Harga'!$A:$A&amp;'Referensi Harga'!$B:$B,0)),
        $G479="Pipa Stainless",
            INDEX('Referensi Harga'!$E:$E,
                  MATCH($F479&amp;$C479,'Referensi Harga'!$A:$A&amp;'Referensi Harga'!$B:$B,0))
     ),0)
  + IFERROR(VLOOKUP($H479,'Profile Size'!$A:$B,2,FALSE),0)
  + IFERROR(VLOOKUP($I479,'Ketebalan Material'!$A:$B,2,FALSE),0),
0)</f>
        <v>650000</v>
      </c>
      <c r="O479">
        <f>IF($M479="PER-M",
  IFERROR(
    IF($G479="Hollow",
       INDEX('Referensi Harga'!$C:$C, MATCH($F479 &amp; "|" &amp; $C479, 'Referensi Harga'!$F:$F, 0)),
    IF($G479="Hollow Stainless",
       INDEX('Referensi Harga'!$D:$D, MATCH($F479 &amp; "|" &amp; $C479, 'Referensi Harga'!$F:$F, 0)),
       INDEX('Referensi Harga'!$E:$E, MATCH($F479 &amp; "|" &amp; $C479, 'Referensi Harga'!$F:$F, 0))
    ))
    + IFERROR(VLOOKUP($H479, 'Profile Size'!$A:$B, 2, FALSE), 0)
    + IFERROR(VLOOKUP($I479, 'Ketebalan Material'!$A:$B, 2, FALSE), 0), 0),
0)</f>
        <v>0</v>
      </c>
      <c r="P479" cm="1">
        <f t="array" ref="P479">IF($M479="PER-LUBANG",
  IFERROR(
     _xlfn.IFS(
        $G479="Hollow",
            INDEX('Referensi Harga'!$C:$C,
                  MATCH($F479&amp;$C479,'Referensi Harga'!$A:$A&amp;'Referensi Harga'!$B:$B,0)),
        $G479="Hollow Stainless",
            INDEX('Referensi Harga'!$D:$D,
                  MATCH($F479&amp;$C479,'Referensi Harga'!$A:$A&amp;'Referensi Harga'!$B:$B,0)),
        $G479="Pipa Stainless",
            INDEX('Referensi Harga'!$E:$E,
                  MATCH($F479&amp;$C479,'Referensi Harga'!$A:$A&amp;'Referensi Harga'!$B:$B,0))
     ),0)
  + IFERROR(VLOOKUP($H479,'Profile Size'!$A:$B,2,FALSE),0)
  + IFERROR(VLOOKUP($I479,'Ketebalan Material'!$A:$B,2,FALSE),0),
0)</f>
        <v>0</v>
      </c>
      <c r="Q479">
        <f>IF($M479="PER-M2",
    IFERROR(
        SUMIFS('Upah Tenaga Ahli'!$C:$C,
               'Upah Tenaga Ahli'!$A:$A,"PER-M2",
               'Upah Tenaga Ahli'!$B:$B,$G479
        ) * $J479 * $K479,
    0),
IF($M479="PER-LUBANG",
    IFERROR(
        SUMIFS('Upah Tenaga Ahli'!$D:$D,
               'Upah Tenaga Ahli'!$A:$A,"PER-LUBANG",
               'Upah Tenaga Ahli'!$B:$B,$G479
        ) * $L479 * $K479,
    0),
IF($M479="PER-M",
    IFERROR(
        SUMIFS('Upah Tenaga Ahli'!$E:$E,
               'Upah Tenaga Ahli'!$A:$A,"PER-M",
               'Upah Tenaga Ahli'!$B:$B,$G479
        ) * $J479 * $K479,
    0),
0)))</f>
        <v>2407500</v>
      </c>
      <c r="R479" t="s">
        <v>617</v>
      </c>
      <c r="S479" t="s">
        <v>25</v>
      </c>
      <c r="T479">
        <f>IF($M479="PER-M2",
   ($N479 * $J479 * $K479)
   + IFERROR(VLOOKUP($R479,Finishing!A:B,2,FALSE),0)
   + IFERROR(VLOOKUP($S479,Kerumitan!A:B,2,FALSE),0),
IF($M479="PER-LUBANG",
   ($P479 * $L479 * $K479)
   + IFERROR(VLOOKUP($R479,Finishing!A:B,2,FALSE),0)
   + IFERROR(VLOOKUP($S479,Kerumitan!A:B,2,FALSE),0),
IF($M479="PER-M",
   ($O479 * $J479 * $K479)
   + IFERROR(VLOOKUP($R479,Finishing!A:B,2,FALSE),0)
   + IFERROR(VLOOKUP($S479,Kerumitan!A:B,2,FALSE),0),
0)))</f>
        <v>10582500</v>
      </c>
    </row>
    <row r="480" spans="1:20" x14ac:dyDescent="0.45">
      <c r="A480" t="s">
        <v>577</v>
      </c>
      <c r="B480" s="5">
        <v>44021</v>
      </c>
      <c r="C480">
        <f t="shared" si="7"/>
        <v>2020</v>
      </c>
      <c r="D480" t="s">
        <v>578</v>
      </c>
      <c r="E480" t="s">
        <v>32</v>
      </c>
      <c r="F480" t="s">
        <v>7</v>
      </c>
      <c r="G480" t="s">
        <v>14</v>
      </c>
      <c r="H480" t="s">
        <v>615</v>
      </c>
      <c r="I480">
        <v>0.8</v>
      </c>
      <c r="J480">
        <v>12.6</v>
      </c>
      <c r="K480">
        <v>1</v>
      </c>
      <c r="L480">
        <v>0</v>
      </c>
      <c r="M480" t="str" cm="1">
        <f t="array" ref="M480">_xlfn.IFS(
   OR($F480="Pagar", $F480="Pintu Gerbang", $F480="Pintu Handerson", $F480="Kanopi"), "PER-M2",
   $F480="Teralis", "PER-LUBANG",
   OR($F480="Railing", $F480="Railing/Balkon"), "PER-M",
   TRUE, ""
)</f>
        <v>PER-M2</v>
      </c>
      <c r="N480" cm="1">
        <f t="array" ref="N480">IF($M480="PER-M2",
  IFERROR(
     _xlfn.IFS(
        $G480="Hollow",
            INDEX('Referensi Harga'!$C:$C,
                  MATCH($F480&amp;$C480,'Referensi Harga'!$A:$A&amp;'Referensi Harga'!$B:$B,0)),
        $G480="Hollow Stainless",
            INDEX('Referensi Harga'!$D:$D,
                  MATCH($F480&amp;$C480,'Referensi Harga'!$A:$A&amp;'Referensi Harga'!$B:$B,0)),
        $G480="Pipa Stainless",
            INDEX('Referensi Harga'!$E:$E,
                  MATCH($F480&amp;$C480,'Referensi Harga'!$A:$A&amp;'Referensi Harga'!$B:$B,0))
     ),0)
  + IFERROR(VLOOKUP($H480,'Profile Size'!$A:$B,2,FALSE),0)
  + IFERROR(VLOOKUP($I480,'Ketebalan Material'!$A:$B,2,FALSE),0),
0)</f>
        <v>1100000</v>
      </c>
      <c r="O480">
        <f>IF($M480="PER-M",
  IFERROR(
    IF($G480="Hollow",
       INDEX('Referensi Harga'!$C:$C, MATCH($F480 &amp; "|" &amp; $C480, 'Referensi Harga'!$F:$F, 0)),
    IF($G480="Hollow Stainless",
       INDEX('Referensi Harga'!$D:$D, MATCH($F480 &amp; "|" &amp; $C480, 'Referensi Harga'!$F:$F, 0)),
       INDEX('Referensi Harga'!$E:$E, MATCH($F480 &amp; "|" &amp; $C480, 'Referensi Harga'!$F:$F, 0))
    ))
    + IFERROR(VLOOKUP($H480, 'Profile Size'!$A:$B, 2, FALSE), 0)
    + IFERROR(VLOOKUP($I480, 'Ketebalan Material'!$A:$B, 2, FALSE), 0), 0),
0)</f>
        <v>0</v>
      </c>
      <c r="P480" cm="1">
        <f t="array" ref="P480">IF($M480="PER-LUBANG",
  IFERROR(
     _xlfn.IFS(
        $G480="Hollow",
            INDEX('Referensi Harga'!$C:$C,
                  MATCH($F480&amp;$C480,'Referensi Harga'!$A:$A&amp;'Referensi Harga'!$B:$B,0)),
        $G480="Hollow Stainless",
            INDEX('Referensi Harga'!$D:$D,
                  MATCH($F480&amp;$C480,'Referensi Harga'!$A:$A&amp;'Referensi Harga'!$B:$B,0)),
        $G480="Pipa Stainless",
            INDEX('Referensi Harga'!$E:$E,
                  MATCH($F480&amp;$C480,'Referensi Harga'!$A:$A&amp;'Referensi Harga'!$B:$B,0))
     ),0)
  + IFERROR(VLOOKUP($H480,'Profile Size'!$A:$B,2,FALSE),0)
  + IFERROR(VLOOKUP($I480,'Ketebalan Material'!$A:$B,2,FALSE),0),
0)</f>
        <v>0</v>
      </c>
      <c r="Q480">
        <f>IF($M480="PER-M2",
    IFERROR(
        SUMIFS('Upah Tenaga Ahli'!$C:$C,
               'Upah Tenaga Ahli'!$A:$A,"PER-M2",
               'Upah Tenaga Ahli'!$B:$B,$G480
        ) * $J480 * $K480,
    0),
IF($M480="PER-LUBANG",
    IFERROR(
        SUMIFS('Upah Tenaga Ahli'!$D:$D,
               'Upah Tenaga Ahli'!$A:$A,"PER-LUBANG",
               'Upah Tenaga Ahli'!$B:$B,$G480
        ) * $L480 * $K480,
    0),
IF($M480="PER-M",
    IFERROR(
        SUMIFS('Upah Tenaga Ahli'!$E:$E,
               'Upah Tenaga Ahli'!$A:$A,"PER-M",
               'Upah Tenaga Ahli'!$B:$B,$G480
        ) * $J480 * $K480,
    0),
0)))</f>
        <v>2520000</v>
      </c>
      <c r="R480" t="s">
        <v>617</v>
      </c>
      <c r="S480" t="s">
        <v>23</v>
      </c>
      <c r="T480">
        <f>IF($M480="PER-M2",
   ($N480 * $J480 * $K480)
   + IFERROR(VLOOKUP($R480,Finishing!A:B,2,FALSE),0)
   + IFERROR(VLOOKUP($S480,Kerumitan!A:B,2,FALSE),0),
IF($M480="PER-LUBANG",
   ($P480 * $L480 * $K480)
   + IFERROR(VLOOKUP($R480,Finishing!A:B,2,FALSE),0)
   + IFERROR(VLOOKUP($S480,Kerumitan!A:B,2,FALSE),0),
IF($M480="PER-M",
   ($O480 * $J480 * $K480)
   + IFERROR(VLOOKUP($R480,Finishing!A:B,2,FALSE),0)
   + IFERROR(VLOOKUP($S480,Kerumitan!A:B,2,FALSE),0),
0)))</f>
        <v>13860000</v>
      </c>
    </row>
    <row r="481" spans="1:20" x14ac:dyDescent="0.45">
      <c r="A481" t="s">
        <v>579</v>
      </c>
      <c r="B481" s="5">
        <v>44760</v>
      </c>
      <c r="C481">
        <f t="shared" si="7"/>
        <v>2022</v>
      </c>
      <c r="D481" t="s">
        <v>270</v>
      </c>
      <c r="E481" t="s">
        <v>38</v>
      </c>
      <c r="F481" t="s">
        <v>7</v>
      </c>
      <c r="G481" t="s">
        <v>13</v>
      </c>
      <c r="H481" t="s">
        <v>33</v>
      </c>
      <c r="I481">
        <v>1</v>
      </c>
      <c r="J481">
        <v>13.55</v>
      </c>
      <c r="K481">
        <v>1</v>
      </c>
      <c r="L481">
        <v>0</v>
      </c>
      <c r="M481" t="str" cm="1">
        <f t="array" ref="M481">_xlfn.IFS(
   OR($F481="Pagar", $F481="Pintu Gerbang", $F481="Pintu Handerson", $F481="Kanopi"), "PER-M2",
   $F481="Teralis", "PER-LUBANG",
   OR($F481="Railing", $F481="Railing/Balkon"), "PER-M",
   TRUE, ""
)</f>
        <v>PER-M2</v>
      </c>
      <c r="N481" cm="1">
        <f t="array" ref="N481">IF($M481="PER-M2",
  IFERROR(
     _xlfn.IFS(
        $G481="Hollow",
            INDEX('Referensi Harga'!$C:$C,
                  MATCH($F481&amp;$C481,'Referensi Harga'!$A:$A&amp;'Referensi Harga'!$B:$B,0)),
        $G481="Hollow Stainless",
            INDEX('Referensi Harga'!$D:$D,
                  MATCH($F481&amp;$C481,'Referensi Harga'!$A:$A&amp;'Referensi Harga'!$B:$B,0)),
        $G481="Pipa Stainless",
            INDEX('Referensi Harga'!$E:$E,
                  MATCH($F481&amp;$C481,'Referensi Harga'!$A:$A&amp;'Referensi Harga'!$B:$B,0))
     ),0)
  + IFERROR(VLOOKUP($H481,'Profile Size'!$A:$B,2,FALSE),0)
  + IFERROR(VLOOKUP($I481,'Ketebalan Material'!$A:$B,2,FALSE),0),
0)</f>
        <v>700000</v>
      </c>
      <c r="O481">
        <f>IF($M481="PER-M",
  IFERROR(
    IF($G481="Hollow",
       INDEX('Referensi Harga'!$C:$C, MATCH($F481 &amp; "|" &amp; $C481, 'Referensi Harga'!$F:$F, 0)),
    IF($G481="Hollow Stainless",
       INDEX('Referensi Harga'!$D:$D, MATCH($F481 &amp; "|" &amp; $C481, 'Referensi Harga'!$F:$F, 0)),
       INDEX('Referensi Harga'!$E:$E, MATCH($F481 &amp; "|" &amp; $C481, 'Referensi Harga'!$F:$F, 0))
    ))
    + IFERROR(VLOOKUP($H481, 'Profile Size'!$A:$B, 2, FALSE), 0)
    + IFERROR(VLOOKUP($I481, 'Ketebalan Material'!$A:$B, 2, FALSE), 0), 0),
0)</f>
        <v>0</v>
      </c>
      <c r="P481" cm="1">
        <f t="array" ref="P481">IF($M481="PER-LUBANG",
  IFERROR(
     _xlfn.IFS(
        $G481="Hollow",
            INDEX('Referensi Harga'!$C:$C,
                  MATCH($F481&amp;$C481,'Referensi Harga'!$A:$A&amp;'Referensi Harga'!$B:$B,0)),
        $G481="Hollow Stainless",
            INDEX('Referensi Harga'!$D:$D,
                  MATCH($F481&amp;$C481,'Referensi Harga'!$A:$A&amp;'Referensi Harga'!$B:$B,0)),
        $G481="Pipa Stainless",
            INDEX('Referensi Harga'!$E:$E,
                  MATCH($F481&amp;$C481,'Referensi Harga'!$A:$A&amp;'Referensi Harga'!$B:$B,0))
     ),0)
  + IFERROR(VLOOKUP($H481,'Profile Size'!$A:$B,2,FALSE),0)
  + IFERROR(VLOOKUP($I481,'Ketebalan Material'!$A:$B,2,FALSE),0),
0)</f>
        <v>0</v>
      </c>
      <c r="Q481">
        <f>IF($M481="PER-M2",
    IFERROR(
        SUMIFS('Upah Tenaga Ahli'!$C:$C,
               'Upah Tenaga Ahli'!$A:$A,"PER-M2",
               'Upah Tenaga Ahli'!$B:$B,$G481
        ) * $J481 * $K481,
    0),
IF($M481="PER-LUBANG",
    IFERROR(
        SUMIFS('Upah Tenaga Ahli'!$D:$D,
               'Upah Tenaga Ahli'!$A:$A,"PER-LUBANG",
               'Upah Tenaga Ahli'!$B:$B,$G481
        ) * $L481 * $K481,
    0),
IF($M481="PER-M",
    IFERROR(
        SUMIFS('Upah Tenaga Ahli'!$E:$E,
               'Upah Tenaga Ahli'!$A:$A,"PER-M",
               'Upah Tenaga Ahli'!$B:$B,$G481
        ) * $J481 * $K481,
    0),
0)))</f>
        <v>1355000</v>
      </c>
      <c r="R481" t="s">
        <v>18</v>
      </c>
      <c r="S481" t="s">
        <v>24</v>
      </c>
      <c r="T481">
        <f>IF($M481="PER-M2",
   ($N481 * $J481 * $K481)
   + IFERROR(VLOOKUP($R481,Finishing!A:B,2,FALSE),0)
   + IFERROR(VLOOKUP($S481,Kerumitan!A:B,2,FALSE),0),
IF($M481="PER-LUBANG",
   ($P481 * $L481 * $K481)
   + IFERROR(VLOOKUP($R481,Finishing!A:B,2,FALSE),0)
   + IFERROR(VLOOKUP($S481,Kerumitan!A:B,2,FALSE),0),
IF($M481="PER-M",
   ($O481 * $J481 * $K481)
   + IFERROR(VLOOKUP($R481,Finishing!A:B,2,FALSE),0)
   + IFERROR(VLOOKUP($S481,Kerumitan!A:B,2,FALSE),0),
0)))</f>
        <v>9585000</v>
      </c>
    </row>
    <row r="482" spans="1:20" x14ac:dyDescent="0.45">
      <c r="A482" t="s">
        <v>580</v>
      </c>
      <c r="B482" s="5">
        <v>43827</v>
      </c>
      <c r="C482">
        <f t="shared" si="7"/>
        <v>2019</v>
      </c>
      <c r="D482" t="s">
        <v>258</v>
      </c>
      <c r="E482" t="s">
        <v>87</v>
      </c>
      <c r="F482" t="s">
        <v>625</v>
      </c>
      <c r="G482" t="s">
        <v>13</v>
      </c>
      <c r="H482" t="s">
        <v>33</v>
      </c>
      <c r="I482">
        <v>1.2</v>
      </c>
      <c r="J482">
        <v>10.72</v>
      </c>
      <c r="K482">
        <v>1</v>
      </c>
      <c r="L482">
        <v>0</v>
      </c>
      <c r="M482" t="str" cm="1">
        <f t="array" ref="M482">_xlfn.IFS(
   OR($F482="Pagar", $F482="Pintu Gerbang", $F482="Pintu Handerson", $F482="Kanopi"), "PER-M2",
   $F482="Teralis", "PER-LUBANG",
   OR($F482="Railing", $F482="Railing/Balkon"), "PER-M",
   TRUE, ""
)</f>
        <v>PER-M</v>
      </c>
      <c r="N482" cm="1">
        <f t="array" ref="N482">IF($M482="PER-M2",
  IFERROR(
     _xlfn.IFS(
        $G482="Hollow",
            INDEX('Referensi Harga'!$C:$C,
                  MATCH($F482&amp;$C482,'Referensi Harga'!$A:$A&amp;'Referensi Harga'!$B:$B,0)),
        $G482="Hollow Stainless",
            INDEX('Referensi Harga'!$D:$D,
                  MATCH($F482&amp;$C482,'Referensi Harga'!$A:$A&amp;'Referensi Harga'!$B:$B,0)),
        $G482="Pipa Stainless",
            INDEX('Referensi Harga'!$E:$E,
                  MATCH($F482&amp;$C482,'Referensi Harga'!$A:$A&amp;'Referensi Harga'!$B:$B,0))
     ),0)
  + IFERROR(VLOOKUP($H482,'Profile Size'!$A:$B,2,FALSE),0)
  + IFERROR(VLOOKUP($I482,'Ketebalan Material'!$A:$B,2,FALSE),0),
0)</f>
        <v>0</v>
      </c>
      <c r="O482">
        <f>IF($M482="PER-M",
  IFERROR(
    IF($G482="Hollow",
       INDEX('Referensi Harga'!$C:$C, MATCH($F482 &amp; "|" &amp; $C482, 'Referensi Harga'!$F:$F, 0)),
    IF($G482="Hollow Stainless",
       INDEX('Referensi Harga'!$D:$D, MATCH($F482 &amp; "|" &amp; $C482, 'Referensi Harga'!$F:$F, 0)),
       INDEX('Referensi Harga'!$E:$E, MATCH($F482 &amp; "|" &amp; $C482, 'Referensi Harga'!$F:$F, 0))
    ))
    + IFERROR(VLOOKUP($H482, 'Profile Size'!$A:$B, 2, FALSE), 0)
    + IFERROR(VLOOKUP($I482, 'Ketebalan Material'!$A:$B, 2, FALSE), 0), 0),
0)</f>
        <v>500000</v>
      </c>
      <c r="P482" cm="1">
        <f t="array" ref="P482">IF($M482="PER-LUBANG",
  IFERROR(
     _xlfn.IFS(
        $G482="Hollow",
            INDEX('Referensi Harga'!$C:$C,
                  MATCH($F482&amp;$C482,'Referensi Harga'!$A:$A&amp;'Referensi Harga'!$B:$B,0)),
        $G482="Hollow Stainless",
            INDEX('Referensi Harga'!$D:$D,
                  MATCH($F482&amp;$C482,'Referensi Harga'!$A:$A&amp;'Referensi Harga'!$B:$B,0)),
        $G482="Pipa Stainless",
            INDEX('Referensi Harga'!$E:$E,
                  MATCH($F482&amp;$C482,'Referensi Harga'!$A:$A&amp;'Referensi Harga'!$B:$B,0))
     ),0)
  + IFERROR(VLOOKUP($H482,'Profile Size'!$A:$B,2,FALSE),0)
  + IFERROR(VLOOKUP($I482,'Ketebalan Material'!$A:$B,2,FALSE),0),
0)</f>
        <v>0</v>
      </c>
      <c r="Q482">
        <f>IF($M482="PER-M2",
    IFERROR(
        SUMIFS('Upah Tenaga Ahli'!$C:$C,
               'Upah Tenaga Ahli'!$A:$A,"PER-M2",
               'Upah Tenaga Ahli'!$B:$B,$G482
        ) * $J482 * $K482,
    0),
IF($M482="PER-LUBANG",
    IFERROR(
        SUMIFS('Upah Tenaga Ahli'!$D:$D,
               'Upah Tenaga Ahli'!$A:$A,"PER-LUBANG",
               'Upah Tenaga Ahli'!$B:$B,$G482
        ) * $L482 * $K482,
    0),
IF($M482="PER-M",
    IFERROR(
        SUMIFS('Upah Tenaga Ahli'!$E:$E,
               'Upah Tenaga Ahli'!$A:$A,"PER-M",
               'Upah Tenaga Ahli'!$B:$B,$G482
        ) * $J482 * $K482,
    0),
0)))</f>
        <v>1072000</v>
      </c>
      <c r="R482" t="s">
        <v>19</v>
      </c>
      <c r="S482" t="s">
        <v>25</v>
      </c>
      <c r="T482">
        <f>IF($M482="PER-M2",
   ($N482 * $J482 * $K482)
   + IFERROR(VLOOKUP($R482,Finishing!A:B,2,FALSE),0)
   + IFERROR(VLOOKUP($S482,Kerumitan!A:B,2,FALSE),0),
IF($M482="PER-LUBANG",
   ($P482 * $L482 * $K482)
   + IFERROR(VLOOKUP($R482,Finishing!A:B,2,FALSE),0)
   + IFERROR(VLOOKUP($S482,Kerumitan!A:B,2,FALSE),0),
IF($M482="PER-M",
   ($O482 * $J482 * $K482)
   + IFERROR(VLOOKUP($R482,Finishing!A:B,2,FALSE),0)
   + IFERROR(VLOOKUP($S482,Kerumitan!A:B,2,FALSE),0),
0)))</f>
        <v>5560000</v>
      </c>
    </row>
    <row r="483" spans="1:20" x14ac:dyDescent="0.45">
      <c r="A483" t="s">
        <v>581</v>
      </c>
      <c r="B483" s="5">
        <v>44519</v>
      </c>
      <c r="C483">
        <f t="shared" si="7"/>
        <v>2021</v>
      </c>
      <c r="D483" t="s">
        <v>159</v>
      </c>
      <c r="E483" t="s">
        <v>38</v>
      </c>
      <c r="F483" t="s">
        <v>10</v>
      </c>
      <c r="G483" t="s">
        <v>13</v>
      </c>
      <c r="H483" t="s">
        <v>46</v>
      </c>
      <c r="I483">
        <v>1.2</v>
      </c>
      <c r="J483">
        <v>3.45</v>
      </c>
      <c r="K483">
        <v>1</v>
      </c>
      <c r="L483">
        <v>0</v>
      </c>
      <c r="M483" t="str" cm="1">
        <f t="array" ref="M483">_xlfn.IFS(
   OR($F483="Pagar", $F483="Pintu Gerbang", $F483="Pintu Handerson", $F483="Kanopi"), "PER-M2",
   $F483="Teralis", "PER-LUBANG",
   OR($F483="Railing", $F483="Railing/Balkon"), "PER-M",
   TRUE, ""
)</f>
        <v>PER-M2</v>
      </c>
      <c r="N483" cm="1">
        <f t="array" ref="N483">IF($M483="PER-M2",
  IFERROR(
     _xlfn.IFS(
        $G483="Hollow",
            INDEX('Referensi Harga'!$C:$C,
                  MATCH($F483&amp;$C483,'Referensi Harga'!$A:$A&amp;'Referensi Harga'!$B:$B,0)),
        $G483="Hollow Stainless",
            INDEX('Referensi Harga'!$D:$D,
                  MATCH($F483&amp;$C483,'Referensi Harga'!$A:$A&amp;'Referensi Harga'!$B:$B,0)),
        $G483="Pipa Stainless",
            INDEX('Referensi Harga'!$E:$E,
                  MATCH($F483&amp;$C483,'Referensi Harga'!$A:$A&amp;'Referensi Harga'!$B:$B,0))
     ),0)
  + IFERROR(VLOOKUP($H483,'Profile Size'!$A:$B,2,FALSE),0)
  + IFERROR(VLOOKUP($I483,'Ketebalan Material'!$A:$B,2,FALSE),0),
0)</f>
        <v>950000</v>
      </c>
      <c r="O483">
        <f>IF($M483="PER-M",
  IFERROR(
    IF($G483="Hollow",
       INDEX('Referensi Harga'!$C:$C, MATCH($F483 &amp; "|" &amp; $C483, 'Referensi Harga'!$F:$F, 0)),
    IF($G483="Hollow Stainless",
       INDEX('Referensi Harga'!$D:$D, MATCH($F483 &amp; "|" &amp; $C483, 'Referensi Harga'!$F:$F, 0)),
       INDEX('Referensi Harga'!$E:$E, MATCH($F483 &amp; "|" &amp; $C483, 'Referensi Harga'!$F:$F, 0))
    ))
    + IFERROR(VLOOKUP($H483, 'Profile Size'!$A:$B, 2, FALSE), 0)
    + IFERROR(VLOOKUP($I483, 'Ketebalan Material'!$A:$B, 2, FALSE), 0), 0),
0)</f>
        <v>0</v>
      </c>
      <c r="P483" cm="1">
        <f t="array" ref="P483">IF($M483="PER-LUBANG",
  IFERROR(
     _xlfn.IFS(
        $G483="Hollow",
            INDEX('Referensi Harga'!$C:$C,
                  MATCH($F483&amp;$C483,'Referensi Harga'!$A:$A&amp;'Referensi Harga'!$B:$B,0)),
        $G483="Hollow Stainless",
            INDEX('Referensi Harga'!$D:$D,
                  MATCH($F483&amp;$C483,'Referensi Harga'!$A:$A&amp;'Referensi Harga'!$B:$B,0)),
        $G483="Pipa Stainless",
            INDEX('Referensi Harga'!$E:$E,
                  MATCH($F483&amp;$C483,'Referensi Harga'!$A:$A&amp;'Referensi Harga'!$B:$B,0))
     ),0)
  + IFERROR(VLOOKUP($H483,'Profile Size'!$A:$B,2,FALSE),0)
  + IFERROR(VLOOKUP($I483,'Ketebalan Material'!$A:$B,2,FALSE),0),
0)</f>
        <v>0</v>
      </c>
      <c r="Q483">
        <f>IF($M483="PER-M2",
    IFERROR(
        SUMIFS('Upah Tenaga Ahli'!$C:$C,
               'Upah Tenaga Ahli'!$A:$A,"PER-M2",
               'Upah Tenaga Ahli'!$B:$B,$G483
        ) * $J483 * $K483,
    0),
IF($M483="PER-LUBANG",
    IFERROR(
        SUMIFS('Upah Tenaga Ahli'!$D:$D,
               'Upah Tenaga Ahli'!$A:$A,"PER-LUBANG",
               'Upah Tenaga Ahli'!$B:$B,$G483
        ) * $L483 * $K483,
    0),
IF($M483="PER-M",
    IFERROR(
        SUMIFS('Upah Tenaga Ahli'!$E:$E,
               'Upah Tenaga Ahli'!$A:$A,"PER-M",
               'Upah Tenaga Ahli'!$B:$B,$G483
        ) * $J483 * $K483,
    0),
0)))</f>
        <v>345000</v>
      </c>
      <c r="R483" t="s">
        <v>20</v>
      </c>
      <c r="S483" t="s">
        <v>25</v>
      </c>
      <c r="T483">
        <f>IF($M483="PER-M2",
   ($N483 * $J483 * $K483)
   + IFERROR(VLOOKUP($R483,Finishing!A:B,2,FALSE),0)
   + IFERROR(VLOOKUP($S483,Kerumitan!A:B,2,FALSE),0),
IF($M483="PER-LUBANG",
   ($P483 * $L483 * $K483)
   + IFERROR(VLOOKUP($R483,Finishing!A:B,2,FALSE),0)
   + IFERROR(VLOOKUP($S483,Kerumitan!A:B,2,FALSE),0),
IF($M483="PER-M",
   ($O483 * $J483 * $K483)
   + IFERROR(VLOOKUP($R483,Finishing!A:B,2,FALSE),0)
   + IFERROR(VLOOKUP($S483,Kerumitan!A:B,2,FALSE),0),
0)))</f>
        <v>3577500</v>
      </c>
    </row>
    <row r="484" spans="1:20" x14ac:dyDescent="0.45">
      <c r="A484" t="s">
        <v>582</v>
      </c>
      <c r="B484" s="5">
        <v>44624</v>
      </c>
      <c r="C484">
        <f t="shared" si="7"/>
        <v>2022</v>
      </c>
      <c r="D484" t="s">
        <v>40</v>
      </c>
      <c r="E484" t="s">
        <v>91</v>
      </c>
      <c r="F484" t="s">
        <v>4</v>
      </c>
      <c r="G484" t="s">
        <v>14</v>
      </c>
      <c r="H484" t="s">
        <v>615</v>
      </c>
      <c r="I484">
        <v>0.8</v>
      </c>
      <c r="J484">
        <v>13.04</v>
      </c>
      <c r="K484">
        <v>1</v>
      </c>
      <c r="L484">
        <v>0</v>
      </c>
      <c r="M484" t="str" cm="1">
        <f t="array" ref="M484">_xlfn.IFS(
   OR($F484="Pagar", $F484="Pintu Gerbang", $F484="Pintu Handerson", $F484="Kanopi"), "PER-M2",
   $F484="Teralis", "PER-LUBANG",
   OR($F484="Railing", $F484="Railing/Balkon"), "PER-M",
   TRUE, ""
)</f>
        <v>PER-M2</v>
      </c>
      <c r="N484" cm="1">
        <f t="array" ref="N484">IF($M484="PER-M2",
  IFERROR(
     _xlfn.IFS(
        $G484="Hollow",
            INDEX('Referensi Harga'!$C:$C,
                  MATCH($F484&amp;$C484,'Referensi Harga'!$A:$A&amp;'Referensi Harga'!$B:$B,0)),
        $G484="Hollow Stainless",
            INDEX('Referensi Harga'!$D:$D,
                  MATCH($F484&amp;$C484,'Referensi Harga'!$A:$A&amp;'Referensi Harga'!$B:$B,0)),
        $G484="Pipa Stainless",
            INDEX('Referensi Harga'!$E:$E,
                  MATCH($F484&amp;$C484,'Referensi Harga'!$A:$A&amp;'Referensi Harga'!$B:$B,0))
     ),0)
  + IFERROR(VLOOKUP($H484,'Profile Size'!$A:$B,2,FALSE),0)
  + IFERROR(VLOOKUP($I484,'Ketebalan Material'!$A:$B,2,FALSE),0),
0)</f>
        <v>1020000</v>
      </c>
      <c r="O484">
        <f>IF($M484="PER-M",
  IFERROR(
    IF($G484="Hollow",
       INDEX('Referensi Harga'!$C:$C, MATCH($F484 &amp; "|" &amp; $C484, 'Referensi Harga'!$F:$F, 0)),
    IF($G484="Hollow Stainless",
       INDEX('Referensi Harga'!$D:$D, MATCH($F484 &amp; "|" &amp; $C484, 'Referensi Harga'!$F:$F, 0)),
       INDEX('Referensi Harga'!$E:$E, MATCH($F484 &amp; "|" &amp; $C484, 'Referensi Harga'!$F:$F, 0))
    ))
    + IFERROR(VLOOKUP($H484, 'Profile Size'!$A:$B, 2, FALSE), 0)
    + IFERROR(VLOOKUP($I484, 'Ketebalan Material'!$A:$B, 2, FALSE), 0), 0),
0)</f>
        <v>0</v>
      </c>
      <c r="P484" cm="1">
        <f t="array" ref="P484">IF($M484="PER-LUBANG",
  IFERROR(
     _xlfn.IFS(
        $G484="Hollow",
            INDEX('Referensi Harga'!$C:$C,
                  MATCH($F484&amp;$C484,'Referensi Harga'!$A:$A&amp;'Referensi Harga'!$B:$B,0)),
        $G484="Hollow Stainless",
            INDEX('Referensi Harga'!$D:$D,
                  MATCH($F484&amp;$C484,'Referensi Harga'!$A:$A&amp;'Referensi Harga'!$B:$B,0)),
        $G484="Pipa Stainless",
            INDEX('Referensi Harga'!$E:$E,
                  MATCH($F484&amp;$C484,'Referensi Harga'!$A:$A&amp;'Referensi Harga'!$B:$B,0))
     ),0)
  + IFERROR(VLOOKUP($H484,'Profile Size'!$A:$B,2,FALSE),0)
  + IFERROR(VLOOKUP($I484,'Ketebalan Material'!$A:$B,2,FALSE),0),
0)</f>
        <v>0</v>
      </c>
      <c r="Q484">
        <f>IF($M484="PER-M2",
    IFERROR(
        SUMIFS('Upah Tenaga Ahli'!$C:$C,
               'Upah Tenaga Ahli'!$A:$A,"PER-M2",
               'Upah Tenaga Ahli'!$B:$B,$G484
        ) * $J484 * $K484,
    0),
IF($M484="PER-LUBANG",
    IFERROR(
        SUMIFS('Upah Tenaga Ahli'!$D:$D,
               'Upah Tenaga Ahli'!$A:$A,"PER-LUBANG",
               'Upah Tenaga Ahli'!$B:$B,$G484
        ) * $L484 * $K484,
    0),
IF($M484="PER-M",
    IFERROR(
        SUMIFS('Upah Tenaga Ahli'!$E:$E,
               'Upah Tenaga Ahli'!$A:$A,"PER-M",
               'Upah Tenaga Ahli'!$B:$B,$G484
        ) * $J484 * $K484,
    0),
0)))</f>
        <v>2608000</v>
      </c>
      <c r="R484" t="s">
        <v>617</v>
      </c>
      <c r="S484" t="s">
        <v>23</v>
      </c>
      <c r="T484">
        <f>IF($M484="PER-M2",
   ($N484 * $J484 * $K484)
   + IFERROR(VLOOKUP($R484,Finishing!A:B,2,FALSE),0)
   + IFERROR(VLOOKUP($S484,Kerumitan!A:B,2,FALSE),0),
IF($M484="PER-LUBANG",
   ($P484 * $L484 * $K484)
   + IFERROR(VLOOKUP($R484,Finishing!A:B,2,FALSE),0)
   + IFERROR(VLOOKUP($S484,Kerumitan!A:B,2,FALSE),0),
IF($M484="PER-M",
   ($O484 * $J484 * $K484)
   + IFERROR(VLOOKUP($R484,Finishing!A:B,2,FALSE),0)
   + IFERROR(VLOOKUP($S484,Kerumitan!A:B,2,FALSE),0),
0)))</f>
        <v>13300800</v>
      </c>
    </row>
    <row r="485" spans="1:20" x14ac:dyDescent="0.45">
      <c r="A485" t="s">
        <v>583</v>
      </c>
      <c r="B485" s="5">
        <v>43742</v>
      </c>
      <c r="C485">
        <f t="shared" si="7"/>
        <v>2019</v>
      </c>
      <c r="D485" t="s">
        <v>169</v>
      </c>
      <c r="E485" t="s">
        <v>69</v>
      </c>
      <c r="F485" t="s">
        <v>4</v>
      </c>
      <c r="G485" t="s">
        <v>13</v>
      </c>
      <c r="H485" t="s">
        <v>46</v>
      </c>
      <c r="I485">
        <v>1</v>
      </c>
      <c r="J485">
        <v>16.760000000000002</v>
      </c>
      <c r="K485">
        <v>1</v>
      </c>
      <c r="L485">
        <v>0</v>
      </c>
      <c r="M485" t="str" cm="1">
        <f t="array" ref="M485">_xlfn.IFS(
   OR($F485="Pagar", $F485="Pintu Gerbang", $F485="Pintu Handerson", $F485="Kanopi"), "PER-M2",
   $F485="Teralis", "PER-LUBANG",
   OR($F485="Railing", $F485="Railing/Balkon"), "PER-M",
   TRUE, ""
)</f>
        <v>PER-M2</v>
      </c>
      <c r="N485" cm="1">
        <f t="array" ref="N485">IF($M485="PER-M2",
  IFERROR(
     _xlfn.IFS(
        $G485="Hollow",
            INDEX('Referensi Harga'!$C:$C,
                  MATCH($F485&amp;$C485,'Referensi Harga'!$A:$A&amp;'Referensi Harga'!$B:$B,0)),
        $G485="Hollow Stainless",
            INDEX('Referensi Harga'!$D:$D,
                  MATCH($F485&amp;$C485,'Referensi Harga'!$A:$A&amp;'Referensi Harga'!$B:$B,0)),
        $G485="Pipa Stainless",
            INDEX('Referensi Harga'!$E:$E,
                  MATCH($F485&amp;$C485,'Referensi Harga'!$A:$A&amp;'Referensi Harga'!$B:$B,0))
     ),0)
  + IFERROR(VLOOKUP($H485,'Profile Size'!$A:$B,2,FALSE),0)
  + IFERROR(VLOOKUP($I485,'Ketebalan Material'!$A:$B,2,FALSE),0),
0)</f>
        <v>600000</v>
      </c>
      <c r="O485">
        <f>IF($M485="PER-M",
  IFERROR(
    IF($G485="Hollow",
       INDEX('Referensi Harga'!$C:$C, MATCH($F485 &amp; "|" &amp; $C485, 'Referensi Harga'!$F:$F, 0)),
    IF($G485="Hollow Stainless",
       INDEX('Referensi Harga'!$D:$D, MATCH($F485 &amp; "|" &amp; $C485, 'Referensi Harga'!$F:$F, 0)),
       INDEX('Referensi Harga'!$E:$E, MATCH($F485 &amp; "|" &amp; $C485, 'Referensi Harga'!$F:$F, 0))
    ))
    + IFERROR(VLOOKUP($H485, 'Profile Size'!$A:$B, 2, FALSE), 0)
    + IFERROR(VLOOKUP($I485, 'Ketebalan Material'!$A:$B, 2, FALSE), 0), 0),
0)</f>
        <v>0</v>
      </c>
      <c r="P485" cm="1">
        <f t="array" ref="P485">IF($M485="PER-LUBANG",
  IFERROR(
     _xlfn.IFS(
        $G485="Hollow",
            INDEX('Referensi Harga'!$C:$C,
                  MATCH($F485&amp;$C485,'Referensi Harga'!$A:$A&amp;'Referensi Harga'!$B:$B,0)),
        $G485="Hollow Stainless",
            INDEX('Referensi Harga'!$D:$D,
                  MATCH($F485&amp;$C485,'Referensi Harga'!$A:$A&amp;'Referensi Harga'!$B:$B,0)),
        $G485="Pipa Stainless",
            INDEX('Referensi Harga'!$E:$E,
                  MATCH($F485&amp;$C485,'Referensi Harga'!$A:$A&amp;'Referensi Harga'!$B:$B,0))
     ),0)
  + IFERROR(VLOOKUP($H485,'Profile Size'!$A:$B,2,FALSE),0)
  + IFERROR(VLOOKUP($I485,'Ketebalan Material'!$A:$B,2,FALSE),0),
0)</f>
        <v>0</v>
      </c>
      <c r="Q485">
        <f>IF($M485="PER-M2",
    IFERROR(
        SUMIFS('Upah Tenaga Ahli'!$C:$C,
               'Upah Tenaga Ahli'!$A:$A,"PER-M2",
               'Upah Tenaga Ahli'!$B:$B,$G485
        ) * $J485 * $K485,
    0),
IF($M485="PER-LUBANG",
    IFERROR(
        SUMIFS('Upah Tenaga Ahli'!$D:$D,
               'Upah Tenaga Ahli'!$A:$A,"PER-LUBANG",
               'Upah Tenaga Ahli'!$B:$B,$G485
        ) * $L485 * $K485,
    0),
IF($M485="PER-M",
    IFERROR(
        SUMIFS('Upah Tenaga Ahli'!$E:$E,
               'Upah Tenaga Ahli'!$A:$A,"PER-M",
               'Upah Tenaga Ahli'!$B:$B,$G485
        ) * $J485 * $K485,
    0),
0)))</f>
        <v>1676000.0000000002</v>
      </c>
      <c r="R485" t="s">
        <v>19</v>
      </c>
      <c r="S485" t="s">
        <v>25</v>
      </c>
      <c r="T485">
        <f>IF($M485="PER-M2",
   ($N485 * $J485 * $K485)
   + IFERROR(VLOOKUP($R485,Finishing!A:B,2,FALSE),0)
   + IFERROR(VLOOKUP($S485,Kerumitan!A:B,2,FALSE),0),
IF($M485="PER-LUBANG",
   ($P485 * $L485 * $K485)
   + IFERROR(VLOOKUP($R485,Finishing!A:B,2,FALSE),0)
   + IFERROR(VLOOKUP($S485,Kerumitan!A:B,2,FALSE),0),
IF($M485="PER-M",
   ($O485 * $J485 * $K485)
   + IFERROR(VLOOKUP($R485,Finishing!A:B,2,FALSE),0)
   + IFERROR(VLOOKUP($S485,Kerumitan!A:B,2,FALSE),0),
0)))</f>
        <v>10256000.000000002</v>
      </c>
    </row>
    <row r="486" spans="1:20" x14ac:dyDescent="0.45">
      <c r="A486" t="s">
        <v>584</v>
      </c>
      <c r="B486" s="5">
        <v>44242</v>
      </c>
      <c r="C486">
        <f t="shared" si="7"/>
        <v>2021</v>
      </c>
      <c r="D486" t="s">
        <v>220</v>
      </c>
      <c r="E486" t="s">
        <v>32</v>
      </c>
      <c r="F486" t="s">
        <v>6</v>
      </c>
      <c r="G486" t="s">
        <v>14</v>
      </c>
      <c r="H486" t="s">
        <v>35</v>
      </c>
      <c r="I486">
        <v>1.2</v>
      </c>
      <c r="J486">
        <v>16.940000000000001</v>
      </c>
      <c r="K486">
        <v>1</v>
      </c>
      <c r="L486">
        <v>0</v>
      </c>
      <c r="M486" t="str" cm="1">
        <f t="array" ref="M486">_xlfn.IFS(
   OR($F486="Pagar", $F486="Pintu Gerbang", $F486="Pintu Handerson", $F486="Kanopi"), "PER-M2",
   $F486="Teralis", "PER-LUBANG",
   OR($F486="Railing", $F486="Railing/Balkon"), "PER-M",
   TRUE, ""
)</f>
        <v>PER-M2</v>
      </c>
      <c r="N486" cm="1">
        <f t="array" ref="N486">IF($M486="PER-M2",
  IFERROR(
     _xlfn.IFS(
        $G486="Hollow",
            INDEX('Referensi Harga'!$C:$C,
                  MATCH($F486&amp;$C486,'Referensi Harga'!$A:$A&amp;'Referensi Harga'!$B:$B,0)),
        $G486="Hollow Stainless",
            INDEX('Referensi Harga'!$D:$D,
                  MATCH($F486&amp;$C486,'Referensi Harga'!$A:$A&amp;'Referensi Harga'!$B:$B,0)),
        $G486="Pipa Stainless",
            INDEX('Referensi Harga'!$E:$E,
                  MATCH($F486&amp;$C486,'Referensi Harga'!$A:$A&amp;'Referensi Harga'!$B:$B,0))
     ),0)
  + IFERROR(VLOOKUP($H486,'Profile Size'!$A:$B,2,FALSE),0)
  + IFERROR(VLOOKUP($I486,'Ketebalan Material'!$A:$B,2,FALSE),0),
0)</f>
        <v>860000</v>
      </c>
      <c r="O486">
        <f>IF($M486="PER-M",
  IFERROR(
    IF($G486="Hollow",
       INDEX('Referensi Harga'!$C:$C, MATCH($F486 &amp; "|" &amp; $C486, 'Referensi Harga'!$F:$F, 0)),
    IF($G486="Hollow Stainless",
       INDEX('Referensi Harga'!$D:$D, MATCH($F486 &amp; "|" &amp; $C486, 'Referensi Harga'!$F:$F, 0)),
       INDEX('Referensi Harga'!$E:$E, MATCH($F486 &amp; "|" &amp; $C486, 'Referensi Harga'!$F:$F, 0))
    ))
    + IFERROR(VLOOKUP($H486, 'Profile Size'!$A:$B, 2, FALSE), 0)
    + IFERROR(VLOOKUP($I486, 'Ketebalan Material'!$A:$B, 2, FALSE), 0), 0),
0)</f>
        <v>0</v>
      </c>
      <c r="P486" cm="1">
        <f t="array" ref="P486">IF($M486="PER-LUBANG",
  IFERROR(
     _xlfn.IFS(
        $G486="Hollow",
            INDEX('Referensi Harga'!$C:$C,
                  MATCH($F486&amp;$C486,'Referensi Harga'!$A:$A&amp;'Referensi Harga'!$B:$B,0)),
        $G486="Hollow Stainless",
            INDEX('Referensi Harga'!$D:$D,
                  MATCH($F486&amp;$C486,'Referensi Harga'!$A:$A&amp;'Referensi Harga'!$B:$B,0)),
        $G486="Pipa Stainless",
            INDEX('Referensi Harga'!$E:$E,
                  MATCH($F486&amp;$C486,'Referensi Harga'!$A:$A&amp;'Referensi Harga'!$B:$B,0))
     ),0)
  + IFERROR(VLOOKUP($H486,'Profile Size'!$A:$B,2,FALSE),0)
  + IFERROR(VLOOKUP($I486,'Ketebalan Material'!$A:$B,2,FALSE),0),
0)</f>
        <v>0</v>
      </c>
      <c r="Q486">
        <f>IF($M486="PER-M2",
    IFERROR(
        SUMIFS('Upah Tenaga Ahli'!$C:$C,
               'Upah Tenaga Ahli'!$A:$A,"PER-M2",
               'Upah Tenaga Ahli'!$B:$B,$G486
        ) * $J486 * $K486,
    0),
IF($M486="PER-LUBANG",
    IFERROR(
        SUMIFS('Upah Tenaga Ahli'!$D:$D,
               'Upah Tenaga Ahli'!$A:$A,"PER-LUBANG",
               'Upah Tenaga Ahli'!$B:$B,$G486
        ) * $L486 * $K486,
    0),
IF($M486="PER-M",
    IFERROR(
        SUMIFS('Upah Tenaga Ahli'!$E:$E,
               'Upah Tenaga Ahli'!$A:$A,"PER-M",
               'Upah Tenaga Ahli'!$B:$B,$G486
        ) * $J486 * $K486,
    0),
0)))</f>
        <v>3388000.0000000005</v>
      </c>
      <c r="R486" t="s">
        <v>617</v>
      </c>
      <c r="S486" t="s">
        <v>23</v>
      </c>
      <c r="T486">
        <f>IF($M486="PER-M2",
   ($N486 * $J486 * $K486)
   + IFERROR(VLOOKUP($R486,Finishing!A:B,2,FALSE),0)
   + IFERROR(VLOOKUP($S486,Kerumitan!A:B,2,FALSE),0),
IF($M486="PER-LUBANG",
   ($P486 * $L486 * $K486)
   + IFERROR(VLOOKUP($R486,Finishing!A:B,2,FALSE),0)
   + IFERROR(VLOOKUP($S486,Kerumitan!A:B,2,FALSE),0),
IF($M486="PER-M",
   ($O486 * $J486 * $K486)
   + IFERROR(VLOOKUP($R486,Finishing!A:B,2,FALSE),0)
   + IFERROR(VLOOKUP($S486,Kerumitan!A:B,2,FALSE),0),
0)))</f>
        <v>14568400.000000002</v>
      </c>
    </row>
    <row r="487" spans="1:20" x14ac:dyDescent="0.45">
      <c r="A487" t="s">
        <v>585</v>
      </c>
      <c r="B487" s="5">
        <v>45586</v>
      </c>
      <c r="C487">
        <f t="shared" si="7"/>
        <v>2024</v>
      </c>
      <c r="D487" t="s">
        <v>156</v>
      </c>
      <c r="E487" t="s">
        <v>44</v>
      </c>
      <c r="F487" t="s">
        <v>4</v>
      </c>
      <c r="G487" t="s">
        <v>14</v>
      </c>
      <c r="H487" t="s">
        <v>615</v>
      </c>
      <c r="I487">
        <v>0.8</v>
      </c>
      <c r="J487">
        <v>24.87</v>
      </c>
      <c r="K487">
        <v>1</v>
      </c>
      <c r="L487">
        <v>0</v>
      </c>
      <c r="M487" t="str" cm="1">
        <f t="array" ref="M487">_xlfn.IFS(
   OR($F487="Pagar", $F487="Pintu Gerbang", $F487="Pintu Handerson", $F487="Kanopi"), "PER-M2",
   $F487="Teralis", "PER-LUBANG",
   OR($F487="Railing", $F487="Railing/Balkon"), "PER-M",
   TRUE, ""
)</f>
        <v>PER-M2</v>
      </c>
      <c r="N487" cm="1">
        <f t="array" ref="N487">IF($M487="PER-M2",
  IFERROR(
     _xlfn.IFS(
        $G487="Hollow",
            INDEX('Referensi Harga'!$C:$C,
                  MATCH($F487&amp;$C487,'Referensi Harga'!$A:$A&amp;'Referensi Harga'!$B:$B,0)),
        $G487="Hollow Stainless",
            INDEX('Referensi Harga'!$D:$D,
                  MATCH($F487&amp;$C487,'Referensi Harga'!$A:$A&amp;'Referensi Harga'!$B:$B,0)),
        $G487="Pipa Stainless",
            INDEX('Referensi Harga'!$E:$E,
                  MATCH($F487&amp;$C487,'Referensi Harga'!$A:$A&amp;'Referensi Harga'!$B:$B,0))
     ),0)
  + IFERROR(VLOOKUP($H487,'Profile Size'!$A:$B,2,FALSE),0)
  + IFERROR(VLOOKUP($I487,'Ketebalan Material'!$A:$B,2,FALSE),0),
0)</f>
        <v>1060000</v>
      </c>
      <c r="O487">
        <f>IF($M487="PER-M",
  IFERROR(
    IF($G487="Hollow",
       INDEX('Referensi Harga'!$C:$C, MATCH($F487 &amp; "|" &amp; $C487, 'Referensi Harga'!$F:$F, 0)),
    IF($G487="Hollow Stainless",
       INDEX('Referensi Harga'!$D:$D, MATCH($F487 &amp; "|" &amp; $C487, 'Referensi Harga'!$F:$F, 0)),
       INDEX('Referensi Harga'!$E:$E, MATCH($F487 &amp; "|" &amp; $C487, 'Referensi Harga'!$F:$F, 0))
    ))
    + IFERROR(VLOOKUP($H487, 'Profile Size'!$A:$B, 2, FALSE), 0)
    + IFERROR(VLOOKUP($I487, 'Ketebalan Material'!$A:$B, 2, FALSE), 0), 0),
0)</f>
        <v>0</v>
      </c>
      <c r="P487" cm="1">
        <f t="array" ref="P487">IF($M487="PER-LUBANG",
  IFERROR(
     _xlfn.IFS(
        $G487="Hollow",
            INDEX('Referensi Harga'!$C:$C,
                  MATCH($F487&amp;$C487,'Referensi Harga'!$A:$A&amp;'Referensi Harga'!$B:$B,0)),
        $G487="Hollow Stainless",
            INDEX('Referensi Harga'!$D:$D,
                  MATCH($F487&amp;$C487,'Referensi Harga'!$A:$A&amp;'Referensi Harga'!$B:$B,0)),
        $G487="Pipa Stainless",
            INDEX('Referensi Harga'!$E:$E,
                  MATCH($F487&amp;$C487,'Referensi Harga'!$A:$A&amp;'Referensi Harga'!$B:$B,0))
     ),0)
  + IFERROR(VLOOKUP($H487,'Profile Size'!$A:$B,2,FALSE),0)
  + IFERROR(VLOOKUP($I487,'Ketebalan Material'!$A:$B,2,FALSE),0),
0)</f>
        <v>0</v>
      </c>
      <c r="Q487">
        <f>IF($M487="PER-M2",
    IFERROR(
        SUMIFS('Upah Tenaga Ahli'!$C:$C,
               'Upah Tenaga Ahli'!$A:$A,"PER-M2",
               'Upah Tenaga Ahli'!$B:$B,$G487
        ) * $J487 * $K487,
    0),
IF($M487="PER-LUBANG",
    IFERROR(
        SUMIFS('Upah Tenaga Ahli'!$D:$D,
               'Upah Tenaga Ahli'!$A:$A,"PER-LUBANG",
               'Upah Tenaga Ahli'!$B:$B,$G487
        ) * $L487 * $K487,
    0),
IF($M487="PER-M",
    IFERROR(
        SUMIFS('Upah Tenaga Ahli'!$E:$E,
               'Upah Tenaga Ahli'!$A:$A,"PER-M",
               'Upah Tenaga Ahli'!$B:$B,$G487
        ) * $J487 * $K487,
    0),
0)))</f>
        <v>4974000</v>
      </c>
      <c r="R487" t="s">
        <v>617</v>
      </c>
      <c r="S487" t="s">
        <v>23</v>
      </c>
      <c r="T487">
        <f>IF($M487="PER-M2",
   ($N487 * $J487 * $K487)
   + IFERROR(VLOOKUP($R487,Finishing!A:B,2,FALSE),0)
   + IFERROR(VLOOKUP($S487,Kerumitan!A:B,2,FALSE),0),
IF($M487="PER-LUBANG",
   ($P487 * $L487 * $K487)
   + IFERROR(VLOOKUP($R487,Finishing!A:B,2,FALSE),0)
   + IFERROR(VLOOKUP($S487,Kerumitan!A:B,2,FALSE),0),
IF($M487="PER-M",
   ($O487 * $J487 * $K487)
   + IFERROR(VLOOKUP($R487,Finishing!A:B,2,FALSE),0)
   + IFERROR(VLOOKUP($S487,Kerumitan!A:B,2,FALSE),0),
0)))</f>
        <v>26362200</v>
      </c>
    </row>
    <row r="488" spans="1:20" x14ac:dyDescent="0.45">
      <c r="A488" t="s">
        <v>586</v>
      </c>
      <c r="B488" s="5">
        <v>44185</v>
      </c>
      <c r="C488">
        <f t="shared" si="7"/>
        <v>2020</v>
      </c>
      <c r="D488" t="s">
        <v>37</v>
      </c>
      <c r="E488" t="s">
        <v>54</v>
      </c>
      <c r="F488" t="s">
        <v>10</v>
      </c>
      <c r="G488" t="s">
        <v>15</v>
      </c>
      <c r="H488" t="s">
        <v>33</v>
      </c>
      <c r="I488">
        <v>0.8</v>
      </c>
      <c r="J488">
        <v>5.84</v>
      </c>
      <c r="K488">
        <v>2</v>
      </c>
      <c r="L488">
        <v>0</v>
      </c>
      <c r="M488" t="str" cm="1">
        <f t="array" ref="M488">_xlfn.IFS(
   OR($F488="Pagar", $F488="Pintu Gerbang", $F488="Pintu Handerson", $F488="Kanopi"), "PER-M2",
   $F488="Teralis", "PER-LUBANG",
   OR($F488="Railing", $F488="Railing/Balkon"), "PER-M",
   TRUE, ""
)</f>
        <v>PER-M2</v>
      </c>
      <c r="N488" cm="1">
        <f t="array" ref="N488">IF($M488="PER-M2",
  IFERROR(
     _xlfn.IFS(
        $G488="Hollow",
            INDEX('Referensi Harga'!$C:$C,
                  MATCH($F488&amp;$C488,'Referensi Harga'!$A:$A&amp;'Referensi Harga'!$B:$B,0)),
        $G488="Hollow Stainless",
            INDEX('Referensi Harga'!$D:$D,
                  MATCH($F488&amp;$C488,'Referensi Harga'!$A:$A&amp;'Referensi Harga'!$B:$B,0)),
        $G488="Pipa Stainless",
            INDEX('Referensi Harga'!$E:$E,
                  MATCH($F488&amp;$C488,'Referensi Harga'!$A:$A&amp;'Referensi Harga'!$B:$B,0))
     ),0)
  + IFERROR(VLOOKUP($H488,'Profile Size'!$A:$B,2,FALSE),0)
  + IFERROR(VLOOKUP($I488,'Ketebalan Material'!$A:$B,2,FALSE),0),
0)</f>
        <v>1350000</v>
      </c>
      <c r="O488">
        <f>IF($M488="PER-M",
  IFERROR(
    IF($G488="Hollow",
       INDEX('Referensi Harga'!$C:$C, MATCH($F488 &amp; "|" &amp; $C488, 'Referensi Harga'!$F:$F, 0)),
    IF($G488="Hollow Stainless",
       INDEX('Referensi Harga'!$D:$D, MATCH($F488 &amp; "|" &amp; $C488, 'Referensi Harga'!$F:$F, 0)),
       INDEX('Referensi Harga'!$E:$E, MATCH($F488 &amp; "|" &amp; $C488, 'Referensi Harga'!$F:$F, 0))
    ))
    + IFERROR(VLOOKUP($H488, 'Profile Size'!$A:$B, 2, FALSE), 0)
    + IFERROR(VLOOKUP($I488, 'Ketebalan Material'!$A:$B, 2, FALSE), 0), 0),
0)</f>
        <v>0</v>
      </c>
      <c r="P488" cm="1">
        <f t="array" ref="P488">IF($M488="PER-LUBANG",
  IFERROR(
     _xlfn.IFS(
        $G488="Hollow",
            INDEX('Referensi Harga'!$C:$C,
                  MATCH($F488&amp;$C488,'Referensi Harga'!$A:$A&amp;'Referensi Harga'!$B:$B,0)),
        $G488="Hollow Stainless",
            INDEX('Referensi Harga'!$D:$D,
                  MATCH($F488&amp;$C488,'Referensi Harga'!$A:$A&amp;'Referensi Harga'!$B:$B,0)),
        $G488="Pipa Stainless",
            INDEX('Referensi Harga'!$E:$E,
                  MATCH($F488&amp;$C488,'Referensi Harga'!$A:$A&amp;'Referensi Harga'!$B:$B,0))
     ),0)
  + IFERROR(VLOOKUP($H488,'Profile Size'!$A:$B,2,FALSE),0)
  + IFERROR(VLOOKUP($I488,'Ketebalan Material'!$A:$B,2,FALSE),0),
0)</f>
        <v>0</v>
      </c>
      <c r="Q488">
        <f>IF($M488="PER-M2",
    IFERROR(
        SUMIFS('Upah Tenaga Ahli'!$C:$C,
               'Upah Tenaga Ahli'!$A:$A,"PER-M2",
               'Upah Tenaga Ahli'!$B:$B,$G488
        ) * $J488 * $K488,
    0),
IF($M488="PER-LUBANG",
    IFERROR(
        SUMIFS('Upah Tenaga Ahli'!$D:$D,
               'Upah Tenaga Ahli'!$A:$A,"PER-LUBANG",
               'Upah Tenaga Ahli'!$B:$B,$G488
        ) * $L488 * $K488,
    0),
IF($M488="PER-M",
    IFERROR(
        SUMIFS('Upah Tenaga Ahli'!$E:$E,
               'Upah Tenaga Ahli'!$A:$A,"PER-M",
               'Upah Tenaga Ahli'!$B:$B,$G488
        ) * $J488 * $K488,
    0),
0)))</f>
        <v>1752000</v>
      </c>
      <c r="R488" t="s">
        <v>617</v>
      </c>
      <c r="S488" t="s">
        <v>24</v>
      </c>
      <c r="T488">
        <f>IF($M488="PER-M2",
   ($N488 * $J488 * $K488)
   + IFERROR(VLOOKUP($R488,Finishing!A:B,2,FALSE),0)
   + IFERROR(VLOOKUP($S488,Kerumitan!A:B,2,FALSE),0),
IF($M488="PER-LUBANG",
   ($P488 * $L488 * $K488)
   + IFERROR(VLOOKUP($R488,Finishing!A:B,2,FALSE),0)
   + IFERROR(VLOOKUP($S488,Kerumitan!A:B,2,FALSE),0),
IF($M488="PER-M",
   ($O488 * $J488 * $K488)
   + IFERROR(VLOOKUP($R488,Finishing!A:B,2,FALSE),0)
   + IFERROR(VLOOKUP($S488,Kerumitan!A:B,2,FALSE),0),
0)))</f>
        <v>15868000</v>
      </c>
    </row>
    <row r="489" spans="1:20" x14ac:dyDescent="0.45">
      <c r="A489" t="s">
        <v>587</v>
      </c>
      <c r="B489" s="5">
        <v>45039</v>
      </c>
      <c r="C489">
        <f t="shared" si="7"/>
        <v>2023</v>
      </c>
      <c r="D489" t="s">
        <v>232</v>
      </c>
      <c r="E489" t="s">
        <v>108</v>
      </c>
      <c r="F489" t="s">
        <v>4</v>
      </c>
      <c r="G489" t="s">
        <v>14</v>
      </c>
      <c r="H489" t="s">
        <v>615</v>
      </c>
      <c r="I489">
        <v>1.2</v>
      </c>
      <c r="J489">
        <v>27.21</v>
      </c>
      <c r="K489">
        <v>1</v>
      </c>
      <c r="L489">
        <v>0</v>
      </c>
      <c r="M489" t="str" cm="1">
        <f t="array" ref="M489">_xlfn.IFS(
   OR($F489="Pagar", $F489="Pintu Gerbang", $F489="Pintu Handerson", $F489="Kanopi"), "PER-M2",
   $F489="Teralis", "PER-LUBANG",
   OR($F489="Railing", $F489="Railing/Balkon"), "PER-M",
   TRUE, ""
)</f>
        <v>PER-M2</v>
      </c>
      <c r="N489" cm="1">
        <f t="array" ref="N489">IF($M489="PER-M2",
  IFERROR(
     _xlfn.IFS(
        $G489="Hollow",
            INDEX('Referensi Harga'!$C:$C,
                  MATCH($F489&amp;$C489,'Referensi Harga'!$A:$A&amp;'Referensi Harga'!$B:$B,0)),
        $G489="Hollow Stainless",
            INDEX('Referensi Harga'!$D:$D,
                  MATCH($F489&amp;$C489,'Referensi Harga'!$A:$A&amp;'Referensi Harga'!$B:$B,0)),
        $G489="Pipa Stainless",
            INDEX('Referensi Harga'!$E:$E,
                  MATCH($F489&amp;$C489,'Referensi Harga'!$A:$A&amp;'Referensi Harga'!$B:$B,0))
     ),0)
  + IFERROR(VLOOKUP($H489,'Profile Size'!$A:$B,2,FALSE),0)
  + IFERROR(VLOOKUP($I489,'Ketebalan Material'!$A:$B,2,FALSE),0),
0)</f>
        <v>1140000</v>
      </c>
      <c r="O489">
        <f>IF($M489="PER-M",
  IFERROR(
    IF($G489="Hollow",
       INDEX('Referensi Harga'!$C:$C, MATCH($F489 &amp; "|" &amp; $C489, 'Referensi Harga'!$F:$F, 0)),
    IF($G489="Hollow Stainless",
       INDEX('Referensi Harga'!$D:$D, MATCH($F489 &amp; "|" &amp; $C489, 'Referensi Harga'!$F:$F, 0)),
       INDEX('Referensi Harga'!$E:$E, MATCH($F489 &amp; "|" &amp; $C489, 'Referensi Harga'!$F:$F, 0))
    ))
    + IFERROR(VLOOKUP($H489, 'Profile Size'!$A:$B, 2, FALSE), 0)
    + IFERROR(VLOOKUP($I489, 'Ketebalan Material'!$A:$B, 2, FALSE), 0), 0),
0)</f>
        <v>0</v>
      </c>
      <c r="P489" cm="1">
        <f t="array" ref="P489">IF($M489="PER-LUBANG",
  IFERROR(
     _xlfn.IFS(
        $G489="Hollow",
            INDEX('Referensi Harga'!$C:$C,
                  MATCH($F489&amp;$C489,'Referensi Harga'!$A:$A&amp;'Referensi Harga'!$B:$B,0)),
        $G489="Hollow Stainless",
            INDEX('Referensi Harga'!$D:$D,
                  MATCH($F489&amp;$C489,'Referensi Harga'!$A:$A&amp;'Referensi Harga'!$B:$B,0)),
        $G489="Pipa Stainless",
            INDEX('Referensi Harga'!$E:$E,
                  MATCH($F489&amp;$C489,'Referensi Harga'!$A:$A&amp;'Referensi Harga'!$B:$B,0))
     ),0)
  + IFERROR(VLOOKUP($H489,'Profile Size'!$A:$B,2,FALSE),0)
  + IFERROR(VLOOKUP($I489,'Ketebalan Material'!$A:$B,2,FALSE),0),
0)</f>
        <v>0</v>
      </c>
      <c r="Q489">
        <f>IF($M489="PER-M2",
    IFERROR(
        SUMIFS('Upah Tenaga Ahli'!$C:$C,
               'Upah Tenaga Ahli'!$A:$A,"PER-M2",
               'Upah Tenaga Ahli'!$B:$B,$G489
        ) * $J489 * $K489,
    0),
IF($M489="PER-LUBANG",
    IFERROR(
        SUMIFS('Upah Tenaga Ahli'!$D:$D,
               'Upah Tenaga Ahli'!$A:$A,"PER-LUBANG",
               'Upah Tenaga Ahli'!$B:$B,$G489
        ) * $L489 * $K489,
    0),
IF($M489="PER-M",
    IFERROR(
        SUMIFS('Upah Tenaga Ahli'!$E:$E,
               'Upah Tenaga Ahli'!$A:$A,"PER-M",
               'Upah Tenaga Ahli'!$B:$B,$G489
        ) * $J489 * $K489,
    0),
0)))</f>
        <v>5442000</v>
      </c>
      <c r="R489" t="s">
        <v>617</v>
      </c>
      <c r="S489" t="s">
        <v>24</v>
      </c>
      <c r="T489">
        <f>IF($M489="PER-M2",
   ($N489 * $J489 * $K489)
   + IFERROR(VLOOKUP($R489,Finishing!A:B,2,FALSE),0)
   + IFERROR(VLOOKUP($S489,Kerumitan!A:B,2,FALSE),0),
IF($M489="PER-LUBANG",
   ($P489 * $L489 * $K489)
   + IFERROR(VLOOKUP($R489,Finishing!A:B,2,FALSE),0)
   + IFERROR(VLOOKUP($S489,Kerumitan!A:B,2,FALSE),0),
IF($M489="PER-M",
   ($O489 * $J489 * $K489)
   + IFERROR(VLOOKUP($R489,Finishing!A:B,2,FALSE),0)
   + IFERROR(VLOOKUP($S489,Kerumitan!A:B,2,FALSE),0),
0)))</f>
        <v>31119400</v>
      </c>
    </row>
    <row r="490" spans="1:20" x14ac:dyDescent="0.45">
      <c r="A490" t="s">
        <v>588</v>
      </c>
      <c r="B490" s="5">
        <v>45761</v>
      </c>
      <c r="C490">
        <f t="shared" si="7"/>
        <v>2025</v>
      </c>
      <c r="D490" t="s">
        <v>156</v>
      </c>
      <c r="E490" t="s">
        <v>61</v>
      </c>
      <c r="F490" t="s">
        <v>8</v>
      </c>
      <c r="G490" t="s">
        <v>13</v>
      </c>
      <c r="H490" t="s">
        <v>612</v>
      </c>
      <c r="I490">
        <v>1.2</v>
      </c>
      <c r="J490">
        <v>0</v>
      </c>
      <c r="K490">
        <v>1</v>
      </c>
      <c r="L490">
        <v>19</v>
      </c>
      <c r="M490" t="str" cm="1">
        <f t="array" ref="M490">_xlfn.IFS(
   OR($F490="Pagar", $F490="Pintu Gerbang", $F490="Pintu Handerson", $F490="Kanopi"), "PER-M2",
   $F490="Teralis", "PER-LUBANG",
   OR($F490="Railing", $F490="Railing/Balkon"), "PER-M",
   TRUE, ""
)</f>
        <v>PER-LUBANG</v>
      </c>
      <c r="N490" cm="1">
        <f t="array" ref="N490">IF($M490="PER-M2",
  IFERROR(
     _xlfn.IFS(
        $G490="Hollow",
            INDEX('Referensi Harga'!$C:$C,
                  MATCH($F490&amp;$C490,'Referensi Harga'!$A:$A&amp;'Referensi Harga'!$B:$B,0)),
        $G490="Hollow Stainless",
            INDEX('Referensi Harga'!$D:$D,
                  MATCH($F490&amp;$C490,'Referensi Harga'!$A:$A&amp;'Referensi Harga'!$B:$B,0)),
        $G490="Pipa Stainless",
            INDEX('Referensi Harga'!$E:$E,
                  MATCH($F490&amp;$C490,'Referensi Harga'!$A:$A&amp;'Referensi Harga'!$B:$B,0))
     ),0)
  + IFERROR(VLOOKUP($H490,'Profile Size'!$A:$B,2,FALSE),0)
  + IFERROR(VLOOKUP($I490,'Ketebalan Material'!$A:$B,2,FALSE),0),
0)</f>
        <v>0</v>
      </c>
      <c r="O490">
        <f>IF($M490="PER-M",
  IFERROR(
    IF($G490="Hollow",
       INDEX('Referensi Harga'!$C:$C, MATCH($F490 &amp; "|" &amp; $C490, 'Referensi Harga'!$F:$F, 0)),
    IF($G490="Hollow Stainless",
       INDEX('Referensi Harga'!$D:$D, MATCH($F490 &amp; "|" &amp; $C490, 'Referensi Harga'!$F:$F, 0)),
       INDEX('Referensi Harga'!$E:$E, MATCH($F490 &amp; "|" &amp; $C490, 'Referensi Harga'!$F:$F, 0))
    ))
    + IFERROR(VLOOKUP($H490, 'Profile Size'!$A:$B, 2, FALSE), 0)
    + IFERROR(VLOOKUP($I490, 'Ketebalan Material'!$A:$B, 2, FALSE), 0), 0),
0)</f>
        <v>0</v>
      </c>
      <c r="P490" cm="1">
        <f t="array" ref="P490">IF($M490="PER-LUBANG",
  IFERROR(
     _xlfn.IFS(
        $G490="Hollow",
            INDEX('Referensi Harga'!$C:$C,
                  MATCH($F490&amp;$C490,'Referensi Harga'!$A:$A&amp;'Referensi Harga'!$B:$B,0)),
        $G490="Hollow Stainless",
            INDEX('Referensi Harga'!$D:$D,
                  MATCH($F490&amp;$C490,'Referensi Harga'!$A:$A&amp;'Referensi Harga'!$B:$B,0)),
        $G490="Pipa Stainless",
            INDEX('Referensi Harga'!$E:$E,
                  MATCH($F490&amp;$C490,'Referensi Harga'!$A:$A&amp;'Referensi Harga'!$B:$B,0))
     ),0)
  + IFERROR(VLOOKUP($H490,'Profile Size'!$A:$B,2,FALSE),0)
  + IFERROR(VLOOKUP($I490,'Ketebalan Material'!$A:$B,2,FALSE),0),
0)</f>
        <v>450000</v>
      </c>
      <c r="Q490">
        <f>IF($M490="PER-M2",
    IFERROR(
        SUMIFS('Upah Tenaga Ahli'!$C:$C,
               'Upah Tenaga Ahli'!$A:$A,"PER-M2",
               'Upah Tenaga Ahli'!$B:$B,$G490
        ) * $J490 * $K490,
    0),
IF($M490="PER-LUBANG",
    IFERROR(
        SUMIFS('Upah Tenaga Ahli'!$D:$D,
               'Upah Tenaga Ahli'!$A:$A,"PER-LUBANG",
               'Upah Tenaga Ahli'!$B:$B,$G490
        ) * $L490 * $K490,
    0),
IF($M490="PER-M",
    IFERROR(
        SUMIFS('Upah Tenaga Ahli'!$E:$E,
               'Upah Tenaga Ahli'!$A:$A,"PER-M",
               'Upah Tenaga Ahli'!$B:$B,$G490
        ) * $J490 * $K490,
    0),
0)))</f>
        <v>1425000</v>
      </c>
      <c r="R490" t="s">
        <v>19</v>
      </c>
      <c r="S490" t="s">
        <v>24</v>
      </c>
      <c r="T490">
        <f>IF($M490="PER-M2",
   ($N490 * $J490 * $K490)
   + IFERROR(VLOOKUP($R490,Finishing!A:B,2,FALSE),0)
   + IFERROR(VLOOKUP($S490,Kerumitan!A:B,2,FALSE),0),
IF($M490="PER-LUBANG",
   ($P490 * $L490 * $K490)
   + IFERROR(VLOOKUP($R490,Finishing!A:B,2,FALSE),0)
   + IFERROR(VLOOKUP($S490,Kerumitan!A:B,2,FALSE),0),
IF($M490="PER-M",
   ($O490 * $J490 * $K490)
   + IFERROR(VLOOKUP($R490,Finishing!A:B,2,FALSE),0)
   + IFERROR(VLOOKUP($S490,Kerumitan!A:B,2,FALSE),0),
0)))</f>
        <v>8700000</v>
      </c>
    </row>
    <row r="491" spans="1:20" x14ac:dyDescent="0.45">
      <c r="A491" t="s">
        <v>589</v>
      </c>
      <c r="B491" s="5">
        <v>45771</v>
      </c>
      <c r="C491">
        <f t="shared" si="7"/>
        <v>2025</v>
      </c>
      <c r="D491" t="s">
        <v>77</v>
      </c>
      <c r="E491" t="s">
        <v>44</v>
      </c>
      <c r="F491" t="s">
        <v>625</v>
      </c>
      <c r="G491" t="s">
        <v>15</v>
      </c>
      <c r="H491" t="s">
        <v>46</v>
      </c>
      <c r="I491">
        <v>1.2</v>
      </c>
      <c r="J491">
        <v>12.24</v>
      </c>
      <c r="K491">
        <v>2</v>
      </c>
      <c r="L491">
        <v>0</v>
      </c>
      <c r="M491" t="str" cm="1">
        <f t="array" ref="M491">_xlfn.IFS(
   OR($F491="Pagar", $F491="Pintu Gerbang", $F491="Pintu Handerson", $F491="Kanopi"), "PER-M2",
   $F491="Teralis", "PER-LUBANG",
   OR($F491="Railing", $F491="Railing/Balkon"), "PER-M",
   TRUE, ""
)</f>
        <v>PER-M</v>
      </c>
      <c r="N491" cm="1">
        <f t="array" ref="N491">IF($M491="PER-M2",
  IFERROR(
     _xlfn.IFS(
        $G491="Hollow",
            INDEX('Referensi Harga'!$C:$C,
                  MATCH($F491&amp;$C491,'Referensi Harga'!$A:$A&amp;'Referensi Harga'!$B:$B,0)),
        $G491="Hollow Stainless",
            INDEX('Referensi Harga'!$D:$D,
                  MATCH($F491&amp;$C491,'Referensi Harga'!$A:$A&amp;'Referensi Harga'!$B:$B,0)),
        $G491="Pipa Stainless",
            INDEX('Referensi Harga'!$E:$E,
                  MATCH($F491&amp;$C491,'Referensi Harga'!$A:$A&amp;'Referensi Harga'!$B:$B,0))
     ),0)
  + IFERROR(VLOOKUP($H491,'Profile Size'!$A:$B,2,FALSE),0)
  + IFERROR(VLOOKUP($I491,'Ketebalan Material'!$A:$B,2,FALSE),0),
0)</f>
        <v>0</v>
      </c>
      <c r="O491">
        <f>IF($M491="PER-M",
  IFERROR(
    IF($G491="Hollow",
       INDEX('Referensi Harga'!$C:$C, MATCH($F491 &amp; "|" &amp; $C491, 'Referensi Harga'!$F:$F, 0)),
    IF($G491="Hollow Stainless",
       INDEX('Referensi Harga'!$D:$D, MATCH($F491 &amp; "|" &amp; $C491, 'Referensi Harga'!$F:$F, 0)),
       INDEX('Referensi Harga'!$E:$E, MATCH($F491 &amp; "|" &amp; $C491, 'Referensi Harga'!$F:$F, 0))
    ))
    + IFERROR(VLOOKUP($H491, 'Profile Size'!$A:$B, 2, FALSE), 0)
    + IFERROR(VLOOKUP($I491, 'Ketebalan Material'!$A:$B, 2, FALSE), 0), 0),
0)</f>
        <v>1350000</v>
      </c>
      <c r="P491" cm="1">
        <f t="array" ref="P491">IF($M491="PER-LUBANG",
  IFERROR(
     _xlfn.IFS(
        $G491="Hollow",
            INDEX('Referensi Harga'!$C:$C,
                  MATCH($F491&amp;$C491,'Referensi Harga'!$A:$A&amp;'Referensi Harga'!$B:$B,0)),
        $G491="Hollow Stainless",
            INDEX('Referensi Harga'!$D:$D,
                  MATCH($F491&amp;$C491,'Referensi Harga'!$A:$A&amp;'Referensi Harga'!$B:$B,0)),
        $G491="Pipa Stainless",
            INDEX('Referensi Harga'!$E:$E,
                  MATCH($F491&amp;$C491,'Referensi Harga'!$A:$A&amp;'Referensi Harga'!$B:$B,0))
     ),0)
  + IFERROR(VLOOKUP($H491,'Profile Size'!$A:$B,2,FALSE),0)
  + IFERROR(VLOOKUP($I491,'Ketebalan Material'!$A:$B,2,FALSE),0),
0)</f>
        <v>0</v>
      </c>
      <c r="Q491">
        <f>IF($M491="PER-M2",
    IFERROR(
        SUMIFS('Upah Tenaga Ahli'!$C:$C,
               'Upah Tenaga Ahli'!$A:$A,"PER-M2",
               'Upah Tenaga Ahli'!$B:$B,$G491
        ) * $J491 * $K491,
    0),
IF($M491="PER-LUBANG",
    IFERROR(
        SUMIFS('Upah Tenaga Ahli'!$D:$D,
               'Upah Tenaga Ahli'!$A:$A,"PER-LUBANG",
               'Upah Tenaga Ahli'!$B:$B,$G491
        ) * $L491 * $K491,
    0),
IF($M491="PER-M",
    IFERROR(
        SUMIFS('Upah Tenaga Ahli'!$E:$E,
               'Upah Tenaga Ahli'!$A:$A,"PER-M",
               'Upah Tenaga Ahli'!$B:$B,$G491
        ) * $J491 * $K491,
    0),
0)))</f>
        <v>3672000</v>
      </c>
      <c r="R491" t="s">
        <v>617</v>
      </c>
      <c r="S491" t="s">
        <v>23</v>
      </c>
      <c r="T491">
        <f>IF($M491="PER-M2",
   ($N491 * $J491 * $K491)
   + IFERROR(VLOOKUP($R491,Finishing!A:B,2,FALSE),0)
   + IFERROR(VLOOKUP($S491,Kerumitan!A:B,2,FALSE),0),
IF($M491="PER-LUBANG",
   ($P491 * $L491 * $K491)
   + IFERROR(VLOOKUP($R491,Finishing!A:B,2,FALSE),0)
   + IFERROR(VLOOKUP($S491,Kerumitan!A:B,2,FALSE),0),
IF($M491="PER-M",
   ($O491 * $J491 * $K491)
   + IFERROR(VLOOKUP($R491,Finishing!A:B,2,FALSE),0)
   + IFERROR(VLOOKUP($S491,Kerumitan!A:B,2,FALSE),0),
0)))</f>
        <v>33048000</v>
      </c>
    </row>
    <row r="492" spans="1:20" x14ac:dyDescent="0.45">
      <c r="A492" t="s">
        <v>590</v>
      </c>
      <c r="B492" s="5">
        <v>45305</v>
      </c>
      <c r="C492">
        <f t="shared" si="7"/>
        <v>2024</v>
      </c>
      <c r="D492" t="s">
        <v>288</v>
      </c>
      <c r="E492" t="s">
        <v>69</v>
      </c>
      <c r="F492" t="s">
        <v>7</v>
      </c>
      <c r="G492" t="s">
        <v>13</v>
      </c>
      <c r="H492" t="s">
        <v>33</v>
      </c>
      <c r="I492">
        <v>1.2</v>
      </c>
      <c r="J492">
        <v>13.91</v>
      </c>
      <c r="K492">
        <v>1</v>
      </c>
      <c r="L492">
        <v>0</v>
      </c>
      <c r="M492" t="str" cm="1">
        <f t="array" ref="M492">_xlfn.IFS(
   OR($F492="Pagar", $F492="Pintu Gerbang", $F492="Pintu Handerson", $F492="Kanopi"), "PER-M2",
   $F492="Teralis", "PER-LUBANG",
   OR($F492="Railing", $F492="Railing/Balkon"), "PER-M",
   TRUE, ""
)</f>
        <v>PER-M2</v>
      </c>
      <c r="N492" cm="1">
        <f t="array" ref="N492">IF($M492="PER-M2",
  IFERROR(
     _xlfn.IFS(
        $G492="Hollow",
            INDEX('Referensi Harga'!$C:$C,
                  MATCH($F492&amp;$C492,'Referensi Harga'!$A:$A&amp;'Referensi Harga'!$B:$B,0)),
        $G492="Hollow Stainless",
            INDEX('Referensi Harga'!$D:$D,
                  MATCH($F492&amp;$C492,'Referensi Harga'!$A:$A&amp;'Referensi Harga'!$B:$B,0)),
        $G492="Pipa Stainless",
            INDEX('Referensi Harga'!$E:$E,
                  MATCH($F492&amp;$C492,'Referensi Harga'!$A:$A&amp;'Referensi Harga'!$B:$B,0))
     ),0)
  + IFERROR(VLOOKUP($H492,'Profile Size'!$A:$B,2,FALSE),0)
  + IFERROR(VLOOKUP($I492,'Ketebalan Material'!$A:$B,2,FALSE),0),
0)</f>
        <v>850000</v>
      </c>
      <c r="O492">
        <f>IF($M492="PER-M",
  IFERROR(
    IF($G492="Hollow",
       INDEX('Referensi Harga'!$C:$C, MATCH($F492 &amp; "|" &amp; $C492, 'Referensi Harga'!$F:$F, 0)),
    IF($G492="Hollow Stainless",
       INDEX('Referensi Harga'!$D:$D, MATCH($F492 &amp; "|" &amp; $C492, 'Referensi Harga'!$F:$F, 0)),
       INDEX('Referensi Harga'!$E:$E, MATCH($F492 &amp; "|" &amp; $C492, 'Referensi Harga'!$F:$F, 0))
    ))
    + IFERROR(VLOOKUP($H492, 'Profile Size'!$A:$B, 2, FALSE), 0)
    + IFERROR(VLOOKUP($I492, 'Ketebalan Material'!$A:$B, 2, FALSE), 0), 0),
0)</f>
        <v>0</v>
      </c>
      <c r="P492" cm="1">
        <f t="array" ref="P492">IF($M492="PER-LUBANG",
  IFERROR(
     _xlfn.IFS(
        $G492="Hollow",
            INDEX('Referensi Harga'!$C:$C,
                  MATCH($F492&amp;$C492,'Referensi Harga'!$A:$A&amp;'Referensi Harga'!$B:$B,0)),
        $G492="Hollow Stainless",
            INDEX('Referensi Harga'!$D:$D,
                  MATCH($F492&amp;$C492,'Referensi Harga'!$A:$A&amp;'Referensi Harga'!$B:$B,0)),
        $G492="Pipa Stainless",
            INDEX('Referensi Harga'!$E:$E,
                  MATCH($F492&amp;$C492,'Referensi Harga'!$A:$A&amp;'Referensi Harga'!$B:$B,0))
     ),0)
  + IFERROR(VLOOKUP($H492,'Profile Size'!$A:$B,2,FALSE),0)
  + IFERROR(VLOOKUP($I492,'Ketebalan Material'!$A:$B,2,FALSE),0),
0)</f>
        <v>0</v>
      </c>
      <c r="Q492">
        <f>IF($M492="PER-M2",
    IFERROR(
        SUMIFS('Upah Tenaga Ahli'!$C:$C,
               'Upah Tenaga Ahli'!$A:$A,"PER-M2",
               'Upah Tenaga Ahli'!$B:$B,$G492
        ) * $J492 * $K492,
    0),
IF($M492="PER-LUBANG",
    IFERROR(
        SUMIFS('Upah Tenaga Ahli'!$D:$D,
               'Upah Tenaga Ahli'!$A:$A,"PER-LUBANG",
               'Upah Tenaga Ahli'!$B:$B,$G492
        ) * $L492 * $K492,
    0),
IF($M492="PER-M",
    IFERROR(
        SUMIFS('Upah Tenaga Ahli'!$E:$E,
               'Upah Tenaga Ahli'!$A:$A,"PER-M",
               'Upah Tenaga Ahli'!$B:$B,$G492
        ) * $J492 * $K492,
    0),
0)))</f>
        <v>1391000</v>
      </c>
      <c r="R492" t="s">
        <v>18</v>
      </c>
      <c r="S492" t="s">
        <v>24</v>
      </c>
      <c r="T492">
        <f>IF($M492="PER-M2",
   ($N492 * $J492 * $K492)
   + IFERROR(VLOOKUP($R492,Finishing!A:B,2,FALSE),0)
   + IFERROR(VLOOKUP($S492,Kerumitan!A:B,2,FALSE),0),
IF($M492="PER-LUBANG",
   ($P492 * $L492 * $K492)
   + IFERROR(VLOOKUP($R492,Finishing!A:B,2,FALSE),0)
   + IFERROR(VLOOKUP($S492,Kerumitan!A:B,2,FALSE),0),
IF($M492="PER-M",
   ($O492 * $J492 * $K492)
   + IFERROR(VLOOKUP($R492,Finishing!A:B,2,FALSE),0)
   + IFERROR(VLOOKUP($S492,Kerumitan!A:B,2,FALSE),0),
0)))</f>
        <v>11923500</v>
      </c>
    </row>
    <row r="493" spans="1:20" x14ac:dyDescent="0.45">
      <c r="A493" t="s">
        <v>591</v>
      </c>
      <c r="B493" s="5">
        <v>45795</v>
      </c>
      <c r="C493">
        <f t="shared" si="7"/>
        <v>2025</v>
      </c>
      <c r="D493" t="s">
        <v>199</v>
      </c>
      <c r="E493" t="s">
        <v>54</v>
      </c>
      <c r="F493" t="s">
        <v>10</v>
      </c>
      <c r="G493" t="s">
        <v>15</v>
      </c>
      <c r="H493" t="s">
        <v>35</v>
      </c>
      <c r="I493">
        <v>0.8</v>
      </c>
      <c r="J493">
        <v>4.78</v>
      </c>
      <c r="K493">
        <v>2</v>
      </c>
      <c r="L493">
        <v>0</v>
      </c>
      <c r="M493" t="str" cm="1">
        <f t="array" ref="M493">_xlfn.IFS(
   OR($F493="Pagar", $F493="Pintu Gerbang", $F493="Pintu Handerson", $F493="Kanopi"), "PER-M2",
   $F493="Teralis", "PER-LUBANG",
   OR($F493="Railing", $F493="Railing/Balkon"), "PER-M",
   TRUE, ""
)</f>
        <v>PER-M2</v>
      </c>
      <c r="N493" cm="1">
        <f t="array" ref="N493">IF($M493="PER-M2",
  IFERROR(
     _xlfn.IFS(
        $G493="Hollow",
            INDEX('Referensi Harga'!$C:$C,
                  MATCH($F493&amp;$C493,'Referensi Harga'!$A:$A&amp;'Referensi Harga'!$B:$B,0)),
        $G493="Hollow Stainless",
            INDEX('Referensi Harga'!$D:$D,
                  MATCH($F493&amp;$C493,'Referensi Harga'!$A:$A&amp;'Referensi Harga'!$B:$B,0)),
        $G493="Pipa Stainless",
            INDEX('Referensi Harga'!$E:$E,
                  MATCH($F493&amp;$C493,'Referensi Harga'!$A:$A&amp;'Referensi Harga'!$B:$B,0))
     ),0)
  + IFERROR(VLOOKUP($H493,'Profile Size'!$A:$B,2,FALSE),0)
  + IFERROR(VLOOKUP($I493,'Ketebalan Material'!$A:$B,2,FALSE),0),
0)</f>
        <v>1800000</v>
      </c>
      <c r="O493">
        <f>IF($M493="PER-M",
  IFERROR(
    IF($G493="Hollow",
       INDEX('Referensi Harga'!$C:$C, MATCH($F493 &amp; "|" &amp; $C493, 'Referensi Harga'!$F:$F, 0)),
    IF($G493="Hollow Stainless",
       INDEX('Referensi Harga'!$D:$D, MATCH($F493 &amp; "|" &amp; $C493, 'Referensi Harga'!$F:$F, 0)),
       INDEX('Referensi Harga'!$E:$E, MATCH($F493 &amp; "|" &amp; $C493, 'Referensi Harga'!$F:$F, 0))
    ))
    + IFERROR(VLOOKUP($H493, 'Profile Size'!$A:$B, 2, FALSE), 0)
    + IFERROR(VLOOKUP($I493, 'Ketebalan Material'!$A:$B, 2, FALSE), 0), 0),
0)</f>
        <v>0</v>
      </c>
      <c r="P493" cm="1">
        <f t="array" ref="P493">IF($M493="PER-LUBANG",
  IFERROR(
     _xlfn.IFS(
        $G493="Hollow",
            INDEX('Referensi Harga'!$C:$C,
                  MATCH($F493&amp;$C493,'Referensi Harga'!$A:$A&amp;'Referensi Harga'!$B:$B,0)),
        $G493="Hollow Stainless",
            INDEX('Referensi Harga'!$D:$D,
                  MATCH($F493&amp;$C493,'Referensi Harga'!$A:$A&amp;'Referensi Harga'!$B:$B,0)),
        $G493="Pipa Stainless",
            INDEX('Referensi Harga'!$E:$E,
                  MATCH($F493&amp;$C493,'Referensi Harga'!$A:$A&amp;'Referensi Harga'!$B:$B,0))
     ),0)
  + IFERROR(VLOOKUP($H493,'Profile Size'!$A:$B,2,FALSE),0)
  + IFERROR(VLOOKUP($I493,'Ketebalan Material'!$A:$B,2,FALSE),0),
0)</f>
        <v>0</v>
      </c>
      <c r="Q493">
        <f>IF($M493="PER-M2",
    IFERROR(
        SUMIFS('Upah Tenaga Ahli'!$C:$C,
               'Upah Tenaga Ahli'!$A:$A,"PER-M2",
               'Upah Tenaga Ahli'!$B:$B,$G493
        ) * $J493 * $K493,
    0),
IF($M493="PER-LUBANG",
    IFERROR(
        SUMIFS('Upah Tenaga Ahli'!$D:$D,
               'Upah Tenaga Ahli'!$A:$A,"PER-LUBANG",
               'Upah Tenaga Ahli'!$B:$B,$G493
        ) * $L493 * $K493,
    0),
IF($M493="PER-M",
    IFERROR(
        SUMIFS('Upah Tenaga Ahli'!$E:$E,
               'Upah Tenaga Ahli'!$A:$A,"PER-M",
               'Upah Tenaga Ahli'!$B:$B,$G493
        ) * $J493 * $K493,
    0),
0)))</f>
        <v>1434000</v>
      </c>
      <c r="R493" t="s">
        <v>617</v>
      </c>
      <c r="S493" t="s">
        <v>23</v>
      </c>
      <c r="T493">
        <f>IF($M493="PER-M2",
   ($N493 * $J493 * $K493)
   + IFERROR(VLOOKUP($R493,Finishing!A:B,2,FALSE),0)
   + IFERROR(VLOOKUP($S493,Kerumitan!A:B,2,FALSE),0),
IF($M493="PER-LUBANG",
   ($P493 * $L493 * $K493)
   + IFERROR(VLOOKUP($R493,Finishing!A:B,2,FALSE),0)
   + IFERROR(VLOOKUP($S493,Kerumitan!A:B,2,FALSE),0),
IF($M493="PER-M",
   ($O493 * $J493 * $K493)
   + IFERROR(VLOOKUP($R493,Finishing!A:B,2,FALSE),0)
   + IFERROR(VLOOKUP($S493,Kerumitan!A:B,2,FALSE),0),
0)))</f>
        <v>17208000</v>
      </c>
    </row>
    <row r="494" spans="1:20" x14ac:dyDescent="0.45">
      <c r="A494" t="s">
        <v>592</v>
      </c>
      <c r="B494" s="5">
        <v>45432</v>
      </c>
      <c r="C494">
        <f t="shared" si="7"/>
        <v>2024</v>
      </c>
      <c r="D494" t="s">
        <v>578</v>
      </c>
      <c r="E494" t="s">
        <v>57</v>
      </c>
      <c r="F494" t="s">
        <v>7</v>
      </c>
      <c r="G494" t="s">
        <v>13</v>
      </c>
      <c r="H494" t="s">
        <v>35</v>
      </c>
      <c r="I494">
        <v>1.2</v>
      </c>
      <c r="J494">
        <v>14.4</v>
      </c>
      <c r="K494">
        <v>1</v>
      </c>
      <c r="L494">
        <v>0</v>
      </c>
      <c r="M494" t="str" cm="1">
        <f t="array" ref="M494">_xlfn.IFS(
   OR($F494="Pagar", $F494="Pintu Gerbang", $F494="Pintu Handerson", $F494="Kanopi"), "PER-M2",
   $F494="Teralis", "PER-LUBANG",
   OR($F494="Railing", $F494="Railing/Balkon"), "PER-M",
   TRUE, ""
)</f>
        <v>PER-M2</v>
      </c>
      <c r="N494" cm="1">
        <f t="array" ref="N494">IF($M494="PER-M2",
  IFERROR(
     _xlfn.IFS(
        $G494="Hollow",
            INDEX('Referensi Harga'!$C:$C,
                  MATCH($F494&amp;$C494,'Referensi Harga'!$A:$A&amp;'Referensi Harga'!$B:$B,0)),
        $G494="Hollow Stainless",
            INDEX('Referensi Harga'!$D:$D,
                  MATCH($F494&amp;$C494,'Referensi Harga'!$A:$A&amp;'Referensi Harga'!$B:$B,0)),
        $G494="Pipa Stainless",
            INDEX('Referensi Harga'!$E:$E,
                  MATCH($F494&amp;$C494,'Referensi Harga'!$A:$A&amp;'Referensi Harga'!$B:$B,0))
     ),0)
  + IFERROR(VLOOKUP($H494,'Profile Size'!$A:$B,2,FALSE),0)
  + IFERROR(VLOOKUP($I494,'Ketebalan Material'!$A:$B,2,FALSE),0),
0)</f>
        <v>950000</v>
      </c>
      <c r="O494">
        <f>IF($M494="PER-M",
  IFERROR(
    IF($G494="Hollow",
       INDEX('Referensi Harga'!$C:$C, MATCH($F494 &amp; "|" &amp; $C494, 'Referensi Harga'!$F:$F, 0)),
    IF($G494="Hollow Stainless",
       INDEX('Referensi Harga'!$D:$D, MATCH($F494 &amp; "|" &amp; $C494, 'Referensi Harga'!$F:$F, 0)),
       INDEX('Referensi Harga'!$E:$E, MATCH($F494 &amp; "|" &amp; $C494, 'Referensi Harga'!$F:$F, 0))
    ))
    + IFERROR(VLOOKUP($H494, 'Profile Size'!$A:$B, 2, FALSE), 0)
    + IFERROR(VLOOKUP($I494, 'Ketebalan Material'!$A:$B, 2, FALSE), 0), 0),
0)</f>
        <v>0</v>
      </c>
      <c r="P494" cm="1">
        <f t="array" ref="P494">IF($M494="PER-LUBANG",
  IFERROR(
     _xlfn.IFS(
        $G494="Hollow",
            INDEX('Referensi Harga'!$C:$C,
                  MATCH($F494&amp;$C494,'Referensi Harga'!$A:$A&amp;'Referensi Harga'!$B:$B,0)),
        $G494="Hollow Stainless",
            INDEX('Referensi Harga'!$D:$D,
                  MATCH($F494&amp;$C494,'Referensi Harga'!$A:$A&amp;'Referensi Harga'!$B:$B,0)),
        $G494="Pipa Stainless",
            INDEX('Referensi Harga'!$E:$E,
                  MATCH($F494&amp;$C494,'Referensi Harga'!$A:$A&amp;'Referensi Harga'!$B:$B,0))
     ),0)
  + IFERROR(VLOOKUP($H494,'Profile Size'!$A:$B,2,FALSE),0)
  + IFERROR(VLOOKUP($I494,'Ketebalan Material'!$A:$B,2,FALSE),0),
0)</f>
        <v>0</v>
      </c>
      <c r="Q494">
        <f>IF($M494="PER-M2",
    IFERROR(
        SUMIFS('Upah Tenaga Ahli'!$C:$C,
               'Upah Tenaga Ahli'!$A:$A,"PER-M2",
               'Upah Tenaga Ahli'!$B:$B,$G494
        ) * $J494 * $K494,
    0),
IF($M494="PER-LUBANG",
    IFERROR(
        SUMIFS('Upah Tenaga Ahli'!$D:$D,
               'Upah Tenaga Ahli'!$A:$A,"PER-LUBANG",
               'Upah Tenaga Ahli'!$B:$B,$G494
        ) * $L494 * $K494,
    0),
IF($M494="PER-M",
    IFERROR(
        SUMIFS('Upah Tenaga Ahli'!$E:$E,
               'Upah Tenaga Ahli'!$A:$A,"PER-M",
               'Upah Tenaga Ahli'!$B:$B,$G494
        ) * $J494 * $K494,
    0),
0)))</f>
        <v>1440000</v>
      </c>
      <c r="R494" t="s">
        <v>18</v>
      </c>
      <c r="S494" t="s">
        <v>24</v>
      </c>
      <c r="T494">
        <f>IF($M494="PER-M2",
   ($N494 * $J494 * $K494)
   + IFERROR(VLOOKUP($R494,Finishing!A:B,2,FALSE),0)
   + IFERROR(VLOOKUP($S494,Kerumitan!A:B,2,FALSE),0),
IF($M494="PER-LUBANG",
   ($P494 * $L494 * $K494)
   + IFERROR(VLOOKUP($R494,Finishing!A:B,2,FALSE),0)
   + IFERROR(VLOOKUP($S494,Kerumitan!A:B,2,FALSE),0),
IF($M494="PER-M",
   ($O494 * $J494 * $K494)
   + IFERROR(VLOOKUP($R494,Finishing!A:B,2,FALSE),0)
   + IFERROR(VLOOKUP($S494,Kerumitan!A:B,2,FALSE),0),
0)))</f>
        <v>13780000</v>
      </c>
    </row>
    <row r="495" spans="1:20" x14ac:dyDescent="0.45">
      <c r="A495" t="s">
        <v>593</v>
      </c>
      <c r="B495" s="5">
        <v>43891</v>
      </c>
      <c r="C495">
        <f t="shared" si="7"/>
        <v>2020</v>
      </c>
      <c r="D495" t="s">
        <v>93</v>
      </c>
      <c r="E495" t="s">
        <v>69</v>
      </c>
      <c r="F495" t="s">
        <v>6</v>
      </c>
      <c r="G495" t="s">
        <v>15</v>
      </c>
      <c r="H495" t="s">
        <v>46</v>
      </c>
      <c r="I495">
        <v>1</v>
      </c>
      <c r="J495">
        <v>15.76</v>
      </c>
      <c r="K495">
        <v>2</v>
      </c>
      <c r="L495">
        <v>0</v>
      </c>
      <c r="M495" t="str" cm="1">
        <f t="array" ref="M495">_xlfn.IFS(
   OR($F495="Pagar", $F495="Pintu Gerbang", $F495="Pintu Handerson", $F495="Kanopi"), "PER-M2",
   $F495="Teralis", "PER-LUBANG",
   OR($F495="Railing", $F495="Railing/Balkon"), "PER-M",
   TRUE, ""
)</f>
        <v>PER-M2</v>
      </c>
      <c r="N495" cm="1">
        <f t="array" ref="N495">IF($M495="PER-M2",
  IFERROR(
     _xlfn.IFS(
        $G495="Hollow",
            INDEX('Referensi Harga'!$C:$C,
                  MATCH($F495&amp;$C495,'Referensi Harga'!$A:$A&amp;'Referensi Harga'!$B:$B,0)),
        $G495="Hollow Stainless",
            INDEX('Referensi Harga'!$D:$D,
                  MATCH($F495&amp;$C495,'Referensi Harga'!$A:$A&amp;'Referensi Harga'!$B:$B,0)),
        $G495="Pipa Stainless",
            INDEX('Referensi Harga'!$E:$E,
                  MATCH($F495&amp;$C495,'Referensi Harga'!$A:$A&amp;'Referensi Harga'!$B:$B,0))
     ),0)
  + IFERROR(VLOOKUP($H495,'Profile Size'!$A:$B,2,FALSE),0)
  + IFERROR(VLOOKUP($I495,'Ketebalan Material'!$A:$B,2,FALSE),0),
0)</f>
        <v>800000</v>
      </c>
      <c r="O495">
        <f>IF($M495="PER-M",
  IFERROR(
    IF($G495="Hollow",
       INDEX('Referensi Harga'!$C:$C, MATCH($F495 &amp; "|" &amp; $C495, 'Referensi Harga'!$F:$F, 0)),
    IF($G495="Hollow Stainless",
       INDEX('Referensi Harga'!$D:$D, MATCH($F495 &amp; "|" &amp; $C495, 'Referensi Harga'!$F:$F, 0)),
       INDEX('Referensi Harga'!$E:$E, MATCH($F495 &amp; "|" &amp; $C495, 'Referensi Harga'!$F:$F, 0))
    ))
    + IFERROR(VLOOKUP($H495, 'Profile Size'!$A:$B, 2, FALSE), 0)
    + IFERROR(VLOOKUP($I495, 'Ketebalan Material'!$A:$B, 2, FALSE), 0), 0),
0)</f>
        <v>0</v>
      </c>
      <c r="P495" cm="1">
        <f t="array" ref="P495">IF($M495="PER-LUBANG",
  IFERROR(
     _xlfn.IFS(
        $G495="Hollow",
            INDEX('Referensi Harga'!$C:$C,
                  MATCH($F495&amp;$C495,'Referensi Harga'!$A:$A&amp;'Referensi Harga'!$B:$B,0)),
        $G495="Hollow Stainless",
            INDEX('Referensi Harga'!$D:$D,
                  MATCH($F495&amp;$C495,'Referensi Harga'!$A:$A&amp;'Referensi Harga'!$B:$B,0)),
        $G495="Pipa Stainless",
            INDEX('Referensi Harga'!$E:$E,
                  MATCH($F495&amp;$C495,'Referensi Harga'!$A:$A&amp;'Referensi Harga'!$B:$B,0))
     ),0)
  + IFERROR(VLOOKUP($H495,'Profile Size'!$A:$B,2,FALSE),0)
  + IFERROR(VLOOKUP($I495,'Ketebalan Material'!$A:$B,2,FALSE),0),
0)</f>
        <v>0</v>
      </c>
      <c r="Q495">
        <f>IF($M495="PER-M2",
    IFERROR(
        SUMIFS('Upah Tenaga Ahli'!$C:$C,
               'Upah Tenaga Ahli'!$A:$A,"PER-M2",
               'Upah Tenaga Ahli'!$B:$B,$G495
        ) * $J495 * $K495,
    0),
IF($M495="PER-LUBANG",
    IFERROR(
        SUMIFS('Upah Tenaga Ahli'!$D:$D,
               'Upah Tenaga Ahli'!$A:$A,"PER-LUBANG",
               'Upah Tenaga Ahli'!$B:$B,$G495
        ) * $L495 * $K495,
    0),
IF($M495="PER-M",
    IFERROR(
        SUMIFS('Upah Tenaga Ahli'!$E:$E,
               'Upah Tenaga Ahli'!$A:$A,"PER-M",
               'Upah Tenaga Ahli'!$B:$B,$G495
        ) * $J495 * $K495,
    0),
0)))</f>
        <v>4728000</v>
      </c>
      <c r="R495" t="s">
        <v>617</v>
      </c>
      <c r="S495" t="s">
        <v>23</v>
      </c>
      <c r="T495">
        <f>IF($M495="PER-M2",
   ($N495 * $J495 * $K495)
   + IFERROR(VLOOKUP($R495,Finishing!A:B,2,FALSE),0)
   + IFERROR(VLOOKUP($S495,Kerumitan!A:B,2,FALSE),0),
IF($M495="PER-LUBANG",
   ($P495 * $L495 * $K495)
   + IFERROR(VLOOKUP($R495,Finishing!A:B,2,FALSE),0)
   + IFERROR(VLOOKUP($S495,Kerumitan!A:B,2,FALSE),0),
IF($M495="PER-M",
   ($O495 * $J495 * $K495)
   + IFERROR(VLOOKUP($R495,Finishing!A:B,2,FALSE),0)
   + IFERROR(VLOOKUP($S495,Kerumitan!A:B,2,FALSE),0),
0)))</f>
        <v>25216000</v>
      </c>
    </row>
    <row r="496" spans="1:20" x14ac:dyDescent="0.45">
      <c r="A496" t="s">
        <v>594</v>
      </c>
      <c r="B496" s="5">
        <v>44630</v>
      </c>
      <c r="C496">
        <f t="shared" si="7"/>
        <v>2022</v>
      </c>
      <c r="D496" t="s">
        <v>63</v>
      </c>
      <c r="E496" t="s">
        <v>87</v>
      </c>
      <c r="F496" t="s">
        <v>7</v>
      </c>
      <c r="G496" t="s">
        <v>14</v>
      </c>
      <c r="H496" t="s">
        <v>615</v>
      </c>
      <c r="I496">
        <v>0.8</v>
      </c>
      <c r="J496">
        <v>5</v>
      </c>
      <c r="K496">
        <v>1</v>
      </c>
      <c r="L496">
        <v>0</v>
      </c>
      <c r="M496" t="str" cm="1">
        <f t="array" ref="M496">_xlfn.IFS(
   OR($F496="Pagar", $F496="Pintu Gerbang", $F496="Pintu Handerson", $F496="Kanopi"), "PER-M2",
   $F496="Teralis", "PER-LUBANG",
   OR($F496="Railing", $F496="Railing/Balkon"), "PER-M",
   TRUE, ""
)</f>
        <v>PER-M2</v>
      </c>
      <c r="N496" cm="1">
        <f t="array" ref="N496">IF($M496="PER-M2",
  IFERROR(
     _xlfn.IFS(
        $G496="Hollow",
            INDEX('Referensi Harga'!$C:$C,
                  MATCH($F496&amp;$C496,'Referensi Harga'!$A:$A&amp;'Referensi Harga'!$B:$B,0)),
        $G496="Hollow Stainless",
            INDEX('Referensi Harga'!$D:$D,
                  MATCH($F496&amp;$C496,'Referensi Harga'!$A:$A&amp;'Referensi Harga'!$B:$B,0)),
        $G496="Pipa Stainless",
            INDEX('Referensi Harga'!$E:$E,
                  MATCH($F496&amp;$C496,'Referensi Harga'!$A:$A&amp;'Referensi Harga'!$B:$B,0))
     ),0)
  + IFERROR(VLOOKUP($H496,'Profile Size'!$A:$B,2,FALSE),0)
  + IFERROR(VLOOKUP($I496,'Ketebalan Material'!$A:$B,2,FALSE),0),
0)</f>
        <v>1200000</v>
      </c>
      <c r="O496">
        <f>IF($M496="PER-M",
  IFERROR(
    IF($G496="Hollow",
       INDEX('Referensi Harga'!$C:$C, MATCH($F496 &amp; "|" &amp; $C496, 'Referensi Harga'!$F:$F, 0)),
    IF($G496="Hollow Stainless",
       INDEX('Referensi Harga'!$D:$D, MATCH($F496 &amp; "|" &amp; $C496, 'Referensi Harga'!$F:$F, 0)),
       INDEX('Referensi Harga'!$E:$E, MATCH($F496 &amp; "|" &amp; $C496, 'Referensi Harga'!$F:$F, 0))
    ))
    + IFERROR(VLOOKUP($H496, 'Profile Size'!$A:$B, 2, FALSE), 0)
    + IFERROR(VLOOKUP($I496, 'Ketebalan Material'!$A:$B, 2, FALSE), 0), 0),
0)</f>
        <v>0</v>
      </c>
      <c r="P496" cm="1">
        <f t="array" ref="P496">IF($M496="PER-LUBANG",
  IFERROR(
     _xlfn.IFS(
        $G496="Hollow",
            INDEX('Referensi Harga'!$C:$C,
                  MATCH($F496&amp;$C496,'Referensi Harga'!$A:$A&amp;'Referensi Harga'!$B:$B,0)),
        $G496="Hollow Stainless",
            INDEX('Referensi Harga'!$D:$D,
                  MATCH($F496&amp;$C496,'Referensi Harga'!$A:$A&amp;'Referensi Harga'!$B:$B,0)),
        $G496="Pipa Stainless",
            INDEX('Referensi Harga'!$E:$E,
                  MATCH($F496&amp;$C496,'Referensi Harga'!$A:$A&amp;'Referensi Harga'!$B:$B,0))
     ),0)
  + IFERROR(VLOOKUP($H496,'Profile Size'!$A:$B,2,FALSE),0)
  + IFERROR(VLOOKUP($I496,'Ketebalan Material'!$A:$B,2,FALSE),0),
0)</f>
        <v>0</v>
      </c>
      <c r="Q496">
        <f>IF($M496="PER-M2",
    IFERROR(
        SUMIFS('Upah Tenaga Ahli'!$C:$C,
               'Upah Tenaga Ahli'!$A:$A,"PER-M2",
               'Upah Tenaga Ahli'!$B:$B,$G496
        ) * $J496 * $K496,
    0),
IF($M496="PER-LUBANG",
    IFERROR(
        SUMIFS('Upah Tenaga Ahli'!$D:$D,
               'Upah Tenaga Ahli'!$A:$A,"PER-LUBANG",
               'Upah Tenaga Ahli'!$B:$B,$G496
        ) * $L496 * $K496,
    0),
IF($M496="PER-M",
    IFERROR(
        SUMIFS('Upah Tenaga Ahli'!$E:$E,
               'Upah Tenaga Ahli'!$A:$A,"PER-M",
               'Upah Tenaga Ahli'!$B:$B,$G496
        ) * $J496 * $K496,
    0),
0)))</f>
        <v>1000000</v>
      </c>
      <c r="R496" t="s">
        <v>617</v>
      </c>
      <c r="S496" t="s">
        <v>24</v>
      </c>
      <c r="T496">
        <f>IF($M496="PER-M2",
   ($N496 * $J496 * $K496)
   + IFERROR(VLOOKUP($R496,Finishing!A:B,2,FALSE),0)
   + IFERROR(VLOOKUP($S496,Kerumitan!A:B,2,FALSE),0),
IF($M496="PER-LUBANG",
   ($P496 * $L496 * $K496)
   + IFERROR(VLOOKUP($R496,Finishing!A:B,2,FALSE),0)
   + IFERROR(VLOOKUP($S496,Kerumitan!A:B,2,FALSE),0),
IF($M496="PER-M",
   ($O496 * $J496 * $K496)
   + IFERROR(VLOOKUP($R496,Finishing!A:B,2,FALSE),0)
   + IFERROR(VLOOKUP($S496,Kerumitan!A:B,2,FALSE),0),
0)))</f>
        <v>6100000</v>
      </c>
    </row>
    <row r="497" spans="1:20" x14ac:dyDescent="0.45">
      <c r="A497" t="s">
        <v>595</v>
      </c>
      <c r="B497" s="5">
        <v>45690</v>
      </c>
      <c r="C497">
        <f t="shared" si="7"/>
        <v>2025</v>
      </c>
      <c r="D497" t="s">
        <v>232</v>
      </c>
      <c r="E497" t="s">
        <v>69</v>
      </c>
      <c r="F497" t="s">
        <v>10</v>
      </c>
      <c r="G497" t="s">
        <v>15</v>
      </c>
      <c r="H497" t="s">
        <v>35</v>
      </c>
      <c r="I497">
        <v>0.8</v>
      </c>
      <c r="J497">
        <v>4.92</v>
      </c>
      <c r="K497">
        <v>2</v>
      </c>
      <c r="L497">
        <v>0</v>
      </c>
      <c r="M497" t="str" cm="1">
        <f t="array" ref="M497">_xlfn.IFS(
   OR($F497="Pagar", $F497="Pintu Gerbang", $F497="Pintu Handerson", $F497="Kanopi"), "PER-M2",
   $F497="Teralis", "PER-LUBANG",
   OR($F497="Railing", $F497="Railing/Balkon"), "PER-M",
   TRUE, ""
)</f>
        <v>PER-M2</v>
      </c>
      <c r="N497" cm="1">
        <f t="array" ref="N497">IF($M497="PER-M2",
  IFERROR(
     _xlfn.IFS(
        $G497="Hollow",
            INDEX('Referensi Harga'!$C:$C,
                  MATCH($F497&amp;$C497,'Referensi Harga'!$A:$A&amp;'Referensi Harga'!$B:$B,0)),
        $G497="Hollow Stainless",
            INDEX('Referensi Harga'!$D:$D,
                  MATCH($F497&amp;$C497,'Referensi Harga'!$A:$A&amp;'Referensi Harga'!$B:$B,0)),
        $G497="Pipa Stainless",
            INDEX('Referensi Harga'!$E:$E,
                  MATCH($F497&amp;$C497,'Referensi Harga'!$A:$A&amp;'Referensi Harga'!$B:$B,0))
     ),0)
  + IFERROR(VLOOKUP($H497,'Profile Size'!$A:$B,2,FALSE),0)
  + IFERROR(VLOOKUP($I497,'Ketebalan Material'!$A:$B,2,FALSE),0),
0)</f>
        <v>1800000</v>
      </c>
      <c r="O497">
        <f>IF($M497="PER-M",
  IFERROR(
    IF($G497="Hollow",
       INDEX('Referensi Harga'!$C:$C, MATCH($F497 &amp; "|" &amp; $C497, 'Referensi Harga'!$F:$F, 0)),
    IF($G497="Hollow Stainless",
       INDEX('Referensi Harga'!$D:$D, MATCH($F497 &amp; "|" &amp; $C497, 'Referensi Harga'!$F:$F, 0)),
       INDEX('Referensi Harga'!$E:$E, MATCH($F497 &amp; "|" &amp; $C497, 'Referensi Harga'!$F:$F, 0))
    ))
    + IFERROR(VLOOKUP($H497, 'Profile Size'!$A:$B, 2, FALSE), 0)
    + IFERROR(VLOOKUP($I497, 'Ketebalan Material'!$A:$B, 2, FALSE), 0), 0),
0)</f>
        <v>0</v>
      </c>
      <c r="P497" cm="1">
        <f t="array" ref="P497">IF($M497="PER-LUBANG",
  IFERROR(
     _xlfn.IFS(
        $G497="Hollow",
            INDEX('Referensi Harga'!$C:$C,
                  MATCH($F497&amp;$C497,'Referensi Harga'!$A:$A&amp;'Referensi Harga'!$B:$B,0)),
        $G497="Hollow Stainless",
            INDEX('Referensi Harga'!$D:$D,
                  MATCH($F497&amp;$C497,'Referensi Harga'!$A:$A&amp;'Referensi Harga'!$B:$B,0)),
        $G497="Pipa Stainless",
            INDEX('Referensi Harga'!$E:$E,
                  MATCH($F497&amp;$C497,'Referensi Harga'!$A:$A&amp;'Referensi Harga'!$B:$B,0))
     ),0)
  + IFERROR(VLOOKUP($H497,'Profile Size'!$A:$B,2,FALSE),0)
  + IFERROR(VLOOKUP($I497,'Ketebalan Material'!$A:$B,2,FALSE),0),
0)</f>
        <v>0</v>
      </c>
      <c r="Q497">
        <f>IF($M497="PER-M2",
    IFERROR(
        SUMIFS('Upah Tenaga Ahli'!$C:$C,
               'Upah Tenaga Ahli'!$A:$A,"PER-M2",
               'Upah Tenaga Ahli'!$B:$B,$G497
        ) * $J497 * $K497,
    0),
IF($M497="PER-LUBANG",
    IFERROR(
        SUMIFS('Upah Tenaga Ahli'!$D:$D,
               'Upah Tenaga Ahli'!$A:$A,"PER-LUBANG",
               'Upah Tenaga Ahli'!$B:$B,$G497
        ) * $L497 * $K497,
    0),
IF($M497="PER-M",
    IFERROR(
        SUMIFS('Upah Tenaga Ahli'!$E:$E,
               'Upah Tenaga Ahli'!$A:$A,"PER-M",
               'Upah Tenaga Ahli'!$B:$B,$G497
        ) * $J497 * $K497,
    0),
0)))</f>
        <v>1476000</v>
      </c>
      <c r="R497" t="s">
        <v>617</v>
      </c>
      <c r="S497" t="s">
        <v>24</v>
      </c>
      <c r="T497">
        <f>IF($M497="PER-M2",
   ($N497 * $J497 * $K497)
   + IFERROR(VLOOKUP($R497,Finishing!A:B,2,FALSE),0)
   + IFERROR(VLOOKUP($S497,Kerumitan!A:B,2,FALSE),0),
IF($M497="PER-LUBANG",
   ($P497 * $L497 * $K497)
   + IFERROR(VLOOKUP($R497,Finishing!A:B,2,FALSE),0)
   + IFERROR(VLOOKUP($S497,Kerumitan!A:B,2,FALSE),0),
IF($M497="PER-M",
   ($O497 * $J497 * $K497)
   + IFERROR(VLOOKUP($R497,Finishing!A:B,2,FALSE),0)
   + IFERROR(VLOOKUP($S497,Kerumitan!A:B,2,FALSE),0),
0)))</f>
        <v>17812000</v>
      </c>
    </row>
    <row r="498" spans="1:20" x14ac:dyDescent="0.45">
      <c r="A498" t="s">
        <v>596</v>
      </c>
      <c r="B498" s="5">
        <v>44515</v>
      </c>
      <c r="C498">
        <f t="shared" si="7"/>
        <v>2021</v>
      </c>
      <c r="D498" t="s">
        <v>232</v>
      </c>
      <c r="E498" t="s">
        <v>105</v>
      </c>
      <c r="F498" t="s">
        <v>10</v>
      </c>
      <c r="G498" t="s">
        <v>14</v>
      </c>
      <c r="H498" t="s">
        <v>615</v>
      </c>
      <c r="I498">
        <v>0.8</v>
      </c>
      <c r="J498">
        <v>5.79</v>
      </c>
      <c r="K498">
        <v>2</v>
      </c>
      <c r="L498">
        <v>0</v>
      </c>
      <c r="M498" t="str" cm="1">
        <f t="array" ref="M498">_xlfn.IFS(
   OR($F498="Pagar", $F498="Pintu Gerbang", $F498="Pintu Handerson", $F498="Kanopi"), "PER-M2",
   $F498="Teralis", "PER-LUBANG",
   OR($F498="Railing", $F498="Railing/Balkon"), "PER-M",
   TRUE, ""
)</f>
        <v>PER-M2</v>
      </c>
      <c r="N498" cm="1">
        <f t="array" ref="N498">IF($M498="PER-M2",
  IFERROR(
     _xlfn.IFS(
        $G498="Hollow",
            INDEX('Referensi Harga'!$C:$C,
                  MATCH($F498&amp;$C498,'Referensi Harga'!$A:$A&amp;'Referensi Harga'!$B:$B,0)),
        $G498="Hollow Stainless",
            INDEX('Referensi Harga'!$D:$D,
                  MATCH($F498&amp;$C498,'Referensi Harga'!$A:$A&amp;'Referensi Harga'!$B:$B,0)),
        $G498="Pipa Stainless",
            INDEX('Referensi Harga'!$E:$E,
                  MATCH($F498&amp;$C498,'Referensi Harga'!$A:$A&amp;'Referensi Harga'!$B:$B,0))
     ),0)
  + IFERROR(VLOOKUP($H498,'Profile Size'!$A:$B,2,FALSE),0)
  + IFERROR(VLOOKUP($I498,'Ketebalan Material'!$A:$B,2,FALSE),0),
0)</f>
        <v>1400000</v>
      </c>
      <c r="O498">
        <f>IF($M498="PER-M",
  IFERROR(
    IF($G498="Hollow",
       INDEX('Referensi Harga'!$C:$C, MATCH($F498 &amp; "|" &amp; $C498, 'Referensi Harga'!$F:$F, 0)),
    IF($G498="Hollow Stainless",
       INDEX('Referensi Harga'!$D:$D, MATCH($F498 &amp; "|" &amp; $C498, 'Referensi Harga'!$F:$F, 0)),
       INDEX('Referensi Harga'!$E:$E, MATCH($F498 &amp; "|" &amp; $C498, 'Referensi Harga'!$F:$F, 0))
    ))
    + IFERROR(VLOOKUP($H498, 'Profile Size'!$A:$B, 2, FALSE), 0)
    + IFERROR(VLOOKUP($I498, 'Ketebalan Material'!$A:$B, 2, FALSE), 0), 0),
0)</f>
        <v>0</v>
      </c>
      <c r="P498" cm="1">
        <f t="array" ref="P498">IF($M498="PER-LUBANG",
  IFERROR(
     _xlfn.IFS(
        $G498="Hollow",
            INDEX('Referensi Harga'!$C:$C,
                  MATCH($F498&amp;$C498,'Referensi Harga'!$A:$A&amp;'Referensi Harga'!$B:$B,0)),
        $G498="Hollow Stainless",
            INDEX('Referensi Harga'!$D:$D,
                  MATCH($F498&amp;$C498,'Referensi Harga'!$A:$A&amp;'Referensi Harga'!$B:$B,0)),
        $G498="Pipa Stainless",
            INDEX('Referensi Harga'!$E:$E,
                  MATCH($F498&amp;$C498,'Referensi Harga'!$A:$A&amp;'Referensi Harga'!$B:$B,0))
     ),0)
  + IFERROR(VLOOKUP($H498,'Profile Size'!$A:$B,2,FALSE),0)
  + IFERROR(VLOOKUP($I498,'Ketebalan Material'!$A:$B,2,FALSE),0),
0)</f>
        <v>0</v>
      </c>
      <c r="Q498">
        <f>IF($M498="PER-M2",
    IFERROR(
        SUMIFS('Upah Tenaga Ahli'!$C:$C,
               'Upah Tenaga Ahli'!$A:$A,"PER-M2",
               'Upah Tenaga Ahli'!$B:$B,$G498
        ) * $J498 * $K498,
    0),
IF($M498="PER-LUBANG",
    IFERROR(
        SUMIFS('Upah Tenaga Ahli'!$D:$D,
               'Upah Tenaga Ahli'!$A:$A,"PER-LUBANG",
               'Upah Tenaga Ahli'!$B:$B,$G498
        ) * $L498 * $K498,
    0),
IF($M498="PER-M",
    IFERROR(
        SUMIFS('Upah Tenaga Ahli'!$E:$E,
               'Upah Tenaga Ahli'!$A:$A,"PER-M",
               'Upah Tenaga Ahli'!$B:$B,$G498
        ) * $J498 * $K498,
    0),
0)))</f>
        <v>2316000</v>
      </c>
      <c r="R498" t="s">
        <v>617</v>
      </c>
      <c r="S498" t="s">
        <v>24</v>
      </c>
      <c r="T498">
        <f>IF($M498="PER-M2",
   ($N498 * $J498 * $K498)
   + IFERROR(VLOOKUP($R498,Finishing!A:B,2,FALSE),0)
   + IFERROR(VLOOKUP($S498,Kerumitan!A:B,2,FALSE),0),
IF($M498="PER-LUBANG",
   ($P498 * $L498 * $K498)
   + IFERROR(VLOOKUP($R498,Finishing!A:B,2,FALSE),0)
   + IFERROR(VLOOKUP($S498,Kerumitan!A:B,2,FALSE),0),
IF($M498="PER-M",
   ($O498 * $J498 * $K498)
   + IFERROR(VLOOKUP($R498,Finishing!A:B,2,FALSE),0)
   + IFERROR(VLOOKUP($S498,Kerumitan!A:B,2,FALSE),0),
0)))</f>
        <v>16312000</v>
      </c>
    </row>
    <row r="499" spans="1:20" x14ac:dyDescent="0.45">
      <c r="A499" t="s">
        <v>597</v>
      </c>
      <c r="B499" s="5">
        <v>45847</v>
      </c>
      <c r="C499">
        <f t="shared" si="7"/>
        <v>2025</v>
      </c>
      <c r="D499" t="s">
        <v>117</v>
      </c>
      <c r="E499" t="s">
        <v>69</v>
      </c>
      <c r="F499" t="s">
        <v>10</v>
      </c>
      <c r="G499" t="s">
        <v>13</v>
      </c>
      <c r="H499" t="s">
        <v>35</v>
      </c>
      <c r="I499">
        <v>1.2</v>
      </c>
      <c r="J499">
        <v>2.12</v>
      </c>
      <c r="K499">
        <v>2</v>
      </c>
      <c r="L499">
        <v>0</v>
      </c>
      <c r="M499" t="str" cm="1">
        <f t="array" ref="M499">_xlfn.IFS(
   OR($F499="Pagar", $F499="Pintu Gerbang", $F499="Pintu Handerson", $F499="Kanopi"), "PER-M2",
   $F499="Teralis", "PER-LUBANG",
   OR($F499="Railing", $F499="Railing/Balkon"), "PER-M",
   TRUE, ""
)</f>
        <v>PER-M2</v>
      </c>
      <c r="N499" cm="1">
        <f t="array" ref="N499">IF($M499="PER-M2",
  IFERROR(
     _xlfn.IFS(
        $G499="Hollow",
            INDEX('Referensi Harga'!$C:$C,
                  MATCH($F499&amp;$C499,'Referensi Harga'!$A:$A&amp;'Referensi Harga'!$B:$B,0)),
        $G499="Hollow Stainless",
            INDEX('Referensi Harga'!$D:$D,
                  MATCH($F499&amp;$C499,'Referensi Harga'!$A:$A&amp;'Referensi Harga'!$B:$B,0)),
        $G499="Pipa Stainless",
            INDEX('Referensi Harga'!$E:$E,
                  MATCH($F499&amp;$C499,'Referensi Harga'!$A:$A&amp;'Referensi Harga'!$B:$B,0))
     ),0)
  + IFERROR(VLOOKUP($H499,'Profile Size'!$A:$B,2,FALSE),0)
  + IFERROR(VLOOKUP($I499,'Ketebalan Material'!$A:$B,2,FALSE),0),
0)</f>
        <v>1100000</v>
      </c>
      <c r="O499">
        <f>IF($M499="PER-M",
  IFERROR(
    IF($G499="Hollow",
       INDEX('Referensi Harga'!$C:$C, MATCH($F499 &amp; "|" &amp; $C499, 'Referensi Harga'!$F:$F, 0)),
    IF($G499="Hollow Stainless",
       INDEX('Referensi Harga'!$D:$D, MATCH($F499 &amp; "|" &amp; $C499, 'Referensi Harga'!$F:$F, 0)),
       INDEX('Referensi Harga'!$E:$E, MATCH($F499 &amp; "|" &amp; $C499, 'Referensi Harga'!$F:$F, 0))
    ))
    + IFERROR(VLOOKUP($H499, 'Profile Size'!$A:$B, 2, FALSE), 0)
    + IFERROR(VLOOKUP($I499, 'Ketebalan Material'!$A:$B, 2, FALSE), 0), 0),
0)</f>
        <v>0</v>
      </c>
      <c r="P499" cm="1">
        <f t="array" ref="P499">IF($M499="PER-LUBANG",
  IFERROR(
     _xlfn.IFS(
        $G499="Hollow",
            INDEX('Referensi Harga'!$C:$C,
                  MATCH($F499&amp;$C499,'Referensi Harga'!$A:$A&amp;'Referensi Harga'!$B:$B,0)),
        $G499="Hollow Stainless",
            INDEX('Referensi Harga'!$D:$D,
                  MATCH($F499&amp;$C499,'Referensi Harga'!$A:$A&amp;'Referensi Harga'!$B:$B,0)),
        $G499="Pipa Stainless",
            INDEX('Referensi Harga'!$E:$E,
                  MATCH($F499&amp;$C499,'Referensi Harga'!$A:$A&amp;'Referensi Harga'!$B:$B,0))
     ),0)
  + IFERROR(VLOOKUP($H499,'Profile Size'!$A:$B,2,FALSE),0)
  + IFERROR(VLOOKUP($I499,'Ketebalan Material'!$A:$B,2,FALSE),0),
0)</f>
        <v>0</v>
      </c>
      <c r="Q499">
        <f>IF($M499="PER-M2",
    IFERROR(
        SUMIFS('Upah Tenaga Ahli'!$C:$C,
               'Upah Tenaga Ahli'!$A:$A,"PER-M2",
               'Upah Tenaga Ahli'!$B:$B,$G499
        ) * $J499 * $K499,
    0),
IF($M499="PER-LUBANG",
    IFERROR(
        SUMIFS('Upah Tenaga Ahli'!$D:$D,
               'Upah Tenaga Ahli'!$A:$A,"PER-LUBANG",
               'Upah Tenaga Ahli'!$B:$B,$G499
        ) * $L499 * $K499,
    0),
IF($M499="PER-M",
    IFERROR(
        SUMIFS('Upah Tenaga Ahli'!$E:$E,
               'Upah Tenaga Ahli'!$A:$A,"PER-M",
               'Upah Tenaga Ahli'!$B:$B,$G499
        ) * $J499 * $K499,
    0),
0)))</f>
        <v>424000</v>
      </c>
      <c r="R499" t="s">
        <v>20</v>
      </c>
      <c r="S499" t="s">
        <v>24</v>
      </c>
      <c r="T499">
        <f>IF($M499="PER-M2",
   ($N499 * $J499 * $K499)
   + IFERROR(VLOOKUP($R499,Finishing!A:B,2,FALSE),0)
   + IFERROR(VLOOKUP($S499,Kerumitan!A:B,2,FALSE),0),
IF($M499="PER-LUBANG",
   ($P499 * $L499 * $K499)
   + IFERROR(VLOOKUP($R499,Finishing!A:B,2,FALSE),0)
   + IFERROR(VLOOKUP($S499,Kerumitan!A:B,2,FALSE),0),
IF($M499="PER-M",
   ($O499 * $J499 * $K499)
   + IFERROR(VLOOKUP($R499,Finishing!A:B,2,FALSE),0)
   + IFERROR(VLOOKUP($S499,Kerumitan!A:B,2,FALSE),0),
0)))</f>
        <v>4914000</v>
      </c>
    </row>
    <row r="500" spans="1:20" x14ac:dyDescent="0.45">
      <c r="A500" t="s">
        <v>598</v>
      </c>
      <c r="B500" s="5">
        <v>44080</v>
      </c>
      <c r="C500">
        <f t="shared" si="7"/>
        <v>2020</v>
      </c>
      <c r="D500" t="s">
        <v>103</v>
      </c>
      <c r="E500" t="s">
        <v>44</v>
      </c>
      <c r="F500" t="s">
        <v>4</v>
      </c>
      <c r="G500" t="s">
        <v>15</v>
      </c>
      <c r="H500" t="s">
        <v>33</v>
      </c>
      <c r="I500">
        <v>0.8</v>
      </c>
      <c r="J500">
        <v>21.69</v>
      </c>
      <c r="K500">
        <v>1</v>
      </c>
      <c r="L500">
        <v>0</v>
      </c>
      <c r="M500" t="str" cm="1">
        <f t="array" ref="M500">_xlfn.IFS(
   OR($F500="Pagar", $F500="Pintu Gerbang", $F500="Pintu Handerson", $F500="Kanopi"), "PER-M2",
   $F500="Teralis", "PER-LUBANG",
   OR($F500="Railing", $F500="Railing/Balkon"), "PER-M",
   TRUE, ""
)</f>
        <v>PER-M2</v>
      </c>
      <c r="N500" cm="1">
        <f t="array" ref="N500">IF($M500="PER-M2",
  IFERROR(
     _xlfn.IFS(
        $G500="Hollow",
            INDEX('Referensi Harga'!$C:$C,
                  MATCH($F500&amp;$C500,'Referensi Harga'!$A:$A&amp;'Referensi Harga'!$B:$B,0)),
        $G500="Hollow Stainless",
            INDEX('Referensi Harga'!$D:$D,
                  MATCH($F500&amp;$C500,'Referensi Harga'!$A:$A&amp;'Referensi Harga'!$B:$B,0)),
        $G500="Pipa Stainless",
            INDEX('Referensi Harga'!$E:$E,
                  MATCH($F500&amp;$C500,'Referensi Harga'!$A:$A&amp;'Referensi Harga'!$B:$B,0))
     ),0)
  + IFERROR(VLOOKUP($H500,'Profile Size'!$A:$B,2,FALSE),0)
  + IFERROR(VLOOKUP($I500,'Ketebalan Material'!$A:$B,2,FALSE),0),
0)</f>
        <v>1050000</v>
      </c>
      <c r="O500">
        <f>IF($M500="PER-M",
  IFERROR(
    IF($G500="Hollow",
       INDEX('Referensi Harga'!$C:$C, MATCH($F500 &amp; "|" &amp; $C500, 'Referensi Harga'!$F:$F, 0)),
    IF($G500="Hollow Stainless",
       INDEX('Referensi Harga'!$D:$D, MATCH($F500 &amp; "|" &amp; $C500, 'Referensi Harga'!$F:$F, 0)),
       INDEX('Referensi Harga'!$E:$E, MATCH($F500 &amp; "|" &amp; $C500, 'Referensi Harga'!$F:$F, 0))
    ))
    + IFERROR(VLOOKUP($H500, 'Profile Size'!$A:$B, 2, FALSE), 0)
    + IFERROR(VLOOKUP($I500, 'Ketebalan Material'!$A:$B, 2, FALSE), 0), 0),
0)</f>
        <v>0</v>
      </c>
      <c r="P500" cm="1">
        <f t="array" ref="P500">IF($M500="PER-LUBANG",
  IFERROR(
     _xlfn.IFS(
        $G500="Hollow",
            INDEX('Referensi Harga'!$C:$C,
                  MATCH($F500&amp;$C500,'Referensi Harga'!$A:$A&amp;'Referensi Harga'!$B:$B,0)),
        $G500="Hollow Stainless",
            INDEX('Referensi Harga'!$D:$D,
                  MATCH($F500&amp;$C500,'Referensi Harga'!$A:$A&amp;'Referensi Harga'!$B:$B,0)),
        $G500="Pipa Stainless",
            INDEX('Referensi Harga'!$E:$E,
                  MATCH($F500&amp;$C500,'Referensi Harga'!$A:$A&amp;'Referensi Harga'!$B:$B,0))
     ),0)
  + IFERROR(VLOOKUP($H500,'Profile Size'!$A:$B,2,FALSE),0)
  + IFERROR(VLOOKUP($I500,'Ketebalan Material'!$A:$B,2,FALSE),0),
0)</f>
        <v>0</v>
      </c>
      <c r="Q500">
        <f>IF($M500="PER-M2",
    IFERROR(
        SUMIFS('Upah Tenaga Ahli'!$C:$C,
               'Upah Tenaga Ahli'!$A:$A,"PER-M2",
               'Upah Tenaga Ahli'!$B:$B,$G500
        ) * $J500 * $K500,
    0),
IF($M500="PER-LUBANG",
    IFERROR(
        SUMIFS('Upah Tenaga Ahli'!$D:$D,
               'Upah Tenaga Ahli'!$A:$A,"PER-LUBANG",
               'Upah Tenaga Ahli'!$B:$B,$G500
        ) * $L500 * $K500,
    0),
IF($M500="PER-M",
    IFERROR(
        SUMIFS('Upah Tenaga Ahli'!$E:$E,
               'Upah Tenaga Ahli'!$A:$A,"PER-M",
               'Upah Tenaga Ahli'!$B:$B,$G500
        ) * $J500 * $K500,
    0),
0)))</f>
        <v>3253500</v>
      </c>
      <c r="R500" t="s">
        <v>617</v>
      </c>
      <c r="S500" t="s">
        <v>25</v>
      </c>
      <c r="T500">
        <f>IF($M500="PER-M2",
   ($N500 * $J500 * $K500)
   + IFERROR(VLOOKUP($R500,Finishing!A:B,2,FALSE),0)
   + IFERROR(VLOOKUP($S500,Kerumitan!A:B,2,FALSE),0),
IF($M500="PER-LUBANG",
   ($P500 * $L500 * $K500)
   + IFERROR(VLOOKUP($R500,Finishing!A:B,2,FALSE),0)
   + IFERROR(VLOOKUP($S500,Kerumitan!A:B,2,FALSE),0),
IF($M500="PER-M",
   ($O500 * $J500 * $K500)
   + IFERROR(VLOOKUP($R500,Finishing!A:B,2,FALSE),0)
   + IFERROR(VLOOKUP($S500,Kerumitan!A:B,2,FALSE),0),
0)))</f>
        <v>22924500</v>
      </c>
    </row>
    <row r="501" spans="1:20" x14ac:dyDescent="0.45">
      <c r="A501" t="s">
        <v>599</v>
      </c>
      <c r="B501" s="5">
        <v>44093</v>
      </c>
      <c r="C501">
        <f t="shared" si="7"/>
        <v>2020</v>
      </c>
      <c r="D501" t="s">
        <v>133</v>
      </c>
      <c r="E501" t="s">
        <v>121</v>
      </c>
      <c r="F501" t="s">
        <v>4</v>
      </c>
      <c r="G501" t="s">
        <v>15</v>
      </c>
      <c r="H501" t="s">
        <v>35</v>
      </c>
      <c r="I501">
        <v>1.2</v>
      </c>
      <c r="J501">
        <v>14.7</v>
      </c>
      <c r="K501">
        <v>1</v>
      </c>
      <c r="L501">
        <v>0</v>
      </c>
      <c r="M501" t="str" cm="1">
        <f t="array" ref="M501">_xlfn.IFS(
   OR($F501="Pagar", $F501="Pintu Gerbang", $F501="Pintu Handerson", $F501="Kanopi"), "PER-M2",
   $F501="Teralis", "PER-LUBANG",
   OR($F501="Railing", $F501="Railing/Balkon"), "PER-M",
   TRUE, ""
)</f>
        <v>PER-M2</v>
      </c>
      <c r="N501" cm="1">
        <f t="array" ref="N501">IF($M501="PER-M2",
  IFERROR(
     _xlfn.IFS(
        $G501="Hollow",
            INDEX('Referensi Harga'!$C:$C,
                  MATCH($F501&amp;$C501,'Referensi Harga'!$A:$A&amp;'Referensi Harga'!$B:$B,0)),
        $G501="Hollow Stainless",
            INDEX('Referensi Harga'!$D:$D,
                  MATCH($F501&amp;$C501,'Referensi Harga'!$A:$A&amp;'Referensi Harga'!$B:$B,0)),
        $G501="Pipa Stainless",
            INDEX('Referensi Harga'!$E:$E,
                  MATCH($F501&amp;$C501,'Referensi Harga'!$A:$A&amp;'Referensi Harga'!$B:$B,0))
     ),0)
  + IFERROR(VLOOKUP($H501,'Profile Size'!$A:$B,2,FALSE),0)
  + IFERROR(VLOOKUP($I501,'Ketebalan Material'!$A:$B,2,FALSE),0),
0)</f>
        <v>1250000</v>
      </c>
      <c r="O501">
        <f>IF($M501="PER-M",
  IFERROR(
    IF($G501="Hollow",
       INDEX('Referensi Harga'!$C:$C, MATCH($F501 &amp; "|" &amp; $C501, 'Referensi Harga'!$F:$F, 0)),
    IF($G501="Hollow Stainless",
       INDEX('Referensi Harga'!$D:$D, MATCH($F501 &amp; "|" &amp; $C501, 'Referensi Harga'!$F:$F, 0)),
       INDEX('Referensi Harga'!$E:$E, MATCH($F501 &amp; "|" &amp; $C501, 'Referensi Harga'!$F:$F, 0))
    ))
    + IFERROR(VLOOKUP($H501, 'Profile Size'!$A:$B, 2, FALSE), 0)
    + IFERROR(VLOOKUP($I501, 'Ketebalan Material'!$A:$B, 2, FALSE), 0), 0),
0)</f>
        <v>0</v>
      </c>
      <c r="P501" cm="1">
        <f t="array" ref="P501">IF($M501="PER-LUBANG",
  IFERROR(
     _xlfn.IFS(
        $G501="Hollow",
            INDEX('Referensi Harga'!$C:$C,
                  MATCH($F501&amp;$C501,'Referensi Harga'!$A:$A&amp;'Referensi Harga'!$B:$B,0)),
        $G501="Hollow Stainless",
            INDEX('Referensi Harga'!$D:$D,
                  MATCH($F501&amp;$C501,'Referensi Harga'!$A:$A&amp;'Referensi Harga'!$B:$B,0)),
        $G501="Pipa Stainless",
            INDEX('Referensi Harga'!$E:$E,
                  MATCH($F501&amp;$C501,'Referensi Harga'!$A:$A&amp;'Referensi Harga'!$B:$B,0))
     ),0)
  + IFERROR(VLOOKUP($H501,'Profile Size'!$A:$B,2,FALSE),0)
  + IFERROR(VLOOKUP($I501,'Ketebalan Material'!$A:$B,2,FALSE),0),
0)</f>
        <v>0</v>
      </c>
      <c r="Q501">
        <f>IF($M501="PER-M2",
    IFERROR(
        SUMIFS('Upah Tenaga Ahli'!$C:$C,
               'Upah Tenaga Ahli'!$A:$A,"PER-M2",
               'Upah Tenaga Ahli'!$B:$B,$G501
        ) * $J501 * $K501,
    0),
IF($M501="PER-LUBANG",
    IFERROR(
        SUMIFS('Upah Tenaga Ahli'!$D:$D,
               'Upah Tenaga Ahli'!$A:$A,"PER-LUBANG",
               'Upah Tenaga Ahli'!$B:$B,$G501
        ) * $L501 * $K501,
    0),
IF($M501="PER-M",
    IFERROR(
        SUMIFS('Upah Tenaga Ahli'!$E:$E,
               'Upah Tenaga Ahli'!$A:$A,"PER-M",
               'Upah Tenaga Ahli'!$B:$B,$G501
        ) * $J501 * $K501,
    0),
0)))</f>
        <v>2205000</v>
      </c>
      <c r="R501" t="s">
        <v>617</v>
      </c>
      <c r="S501" t="s">
        <v>23</v>
      </c>
      <c r="T501">
        <f>IF($M501="PER-M2",
   ($N501 * $J501 * $K501)
   + IFERROR(VLOOKUP($R501,Finishing!A:B,2,FALSE),0)
   + IFERROR(VLOOKUP($S501,Kerumitan!A:B,2,FALSE),0),
IF($M501="PER-LUBANG",
   ($P501 * $L501 * $K501)
   + IFERROR(VLOOKUP($R501,Finishing!A:B,2,FALSE),0)
   + IFERROR(VLOOKUP($S501,Kerumitan!A:B,2,FALSE),0),
IF($M501="PER-M",
   ($O501 * $J501 * $K501)
   + IFERROR(VLOOKUP($R501,Finishing!A:B,2,FALSE),0)
   + IFERROR(VLOOKUP($S501,Kerumitan!A:B,2,FALSE),0),
0)))</f>
        <v>18375000</v>
      </c>
    </row>
    <row r="502" spans="1:20" x14ac:dyDescent="0.45">
      <c r="A502" t="s">
        <v>618</v>
      </c>
      <c r="B502" s="5">
        <v>43781</v>
      </c>
      <c r="C502">
        <f t="shared" si="7"/>
        <v>2019</v>
      </c>
      <c r="D502" t="s">
        <v>73</v>
      </c>
      <c r="E502" t="s">
        <v>69</v>
      </c>
      <c r="F502" t="s">
        <v>4</v>
      </c>
      <c r="G502" t="s">
        <v>13</v>
      </c>
      <c r="H502" t="s">
        <v>33</v>
      </c>
      <c r="I502">
        <v>0.8</v>
      </c>
      <c r="J502">
        <v>27</v>
      </c>
      <c r="K502">
        <v>1</v>
      </c>
      <c r="L502">
        <v>0</v>
      </c>
      <c r="M502" t="str" cm="1">
        <f t="array" ref="M502">_xlfn.IFS(
   OR($F502="Pagar", $F502="Pintu Gerbang", $F502="Pintu Handerson", $F502="Kanopi"), "PER-M2",
   $F502="Teralis", "PER-LUBANG",
   OR($F502="Railing", $F502="Railing/Balkon"), "PER-M",
   TRUE, ""
)</f>
        <v>PER-M2</v>
      </c>
      <c r="N502" cm="1">
        <f t="array" ref="N502">IF($M502="PER-M2",
  IFERROR(
     _xlfn.IFS(
        $G502="Hollow",
            INDEX('Referensi Harga'!$C:$C,
                  MATCH($F502&amp;$C502,'Referensi Harga'!$A:$A&amp;'Referensi Harga'!$B:$B,0)),
        $G502="Hollow Stainless",
            INDEX('Referensi Harga'!$D:$D,
                  MATCH($F502&amp;$C502,'Referensi Harga'!$A:$A&amp;'Referensi Harga'!$B:$B,0)),
        $G502="Pipa Stainless",
            INDEX('Referensi Harga'!$E:$E,
                  MATCH($F502&amp;$C502,'Referensi Harga'!$A:$A&amp;'Referensi Harga'!$B:$B,0))
     ),0)
  + IFERROR(VLOOKUP($H502,'Profile Size'!$A:$B,2,FALSE),0)
  + IFERROR(VLOOKUP($I502,'Ketebalan Material'!$A:$B,2,FALSE),0),
0)</f>
        <v>500000</v>
      </c>
      <c r="O502">
        <f>IF($M502="PER-M",
  IFERROR(
    IF($G502="Hollow",
       INDEX('Referensi Harga'!$C:$C, MATCH($F502 &amp; "|" &amp; $C502, 'Referensi Harga'!$F:$F, 0)),
    IF($G502="Hollow Stainless",
       INDEX('Referensi Harga'!$D:$D, MATCH($F502 &amp; "|" &amp; $C502, 'Referensi Harga'!$F:$F, 0)),
       INDEX('Referensi Harga'!$E:$E, MATCH($F502 &amp; "|" &amp; $C502, 'Referensi Harga'!$F:$F, 0))
    ))
    + IFERROR(VLOOKUP($H502, 'Profile Size'!$A:$B, 2, FALSE), 0)
    + IFERROR(VLOOKUP($I502, 'Ketebalan Material'!$A:$B, 2, FALSE), 0), 0),
0)</f>
        <v>0</v>
      </c>
      <c r="P502" cm="1">
        <f t="array" ref="P502">IF($M502="PER-LUBANG",
  IFERROR(
     _xlfn.IFS(
        $G502="Hollow",
            INDEX('Referensi Harga'!$C:$C,
                  MATCH($F502&amp;$C502,'Referensi Harga'!$A:$A&amp;'Referensi Harga'!$B:$B,0)),
        $G502="Hollow Stainless",
            INDEX('Referensi Harga'!$D:$D,
                  MATCH($F502&amp;$C502,'Referensi Harga'!$A:$A&amp;'Referensi Harga'!$B:$B,0)),
        $G502="Pipa Stainless",
            INDEX('Referensi Harga'!$E:$E,
                  MATCH($F502&amp;$C502,'Referensi Harga'!$A:$A&amp;'Referensi Harga'!$B:$B,0))
     ),0)
  + IFERROR(VLOOKUP($H502,'Profile Size'!$A:$B,2,FALSE),0)
  + IFERROR(VLOOKUP($I502,'Ketebalan Material'!$A:$B,2,FALSE),0),
0)</f>
        <v>0</v>
      </c>
      <c r="Q502">
        <f>IF($M502="PER-M2",
    IFERROR(
        SUMIFS('Upah Tenaga Ahli'!$C:$C,
               'Upah Tenaga Ahli'!$A:$A,"PER-M2",
               'Upah Tenaga Ahli'!$B:$B,$G502
        ) * $J502 * $K502,
    0),
IF($M502="PER-LUBANG",
    IFERROR(
        SUMIFS('Upah Tenaga Ahli'!$D:$D,
               'Upah Tenaga Ahli'!$A:$A,"PER-LUBANG",
               'Upah Tenaga Ahli'!$B:$B,$G502
        ) * $L502 * $K502,
    0),
IF($M502="PER-M",
    IFERROR(
        SUMIFS('Upah Tenaga Ahli'!$E:$E,
               'Upah Tenaga Ahli'!$A:$A,"PER-M",
               'Upah Tenaga Ahli'!$B:$B,$G502
        ) * $J502 * $K502,
    0),
0)))</f>
        <v>2700000</v>
      </c>
      <c r="R502" t="s">
        <v>617</v>
      </c>
      <c r="S502" t="s">
        <v>23</v>
      </c>
      <c r="T502">
        <f>IF($M502="PER-M2",
   ($N502 * $J502 * $K502)
   + IFERROR(VLOOKUP($R502,Finishing!A:B,2,FALSE),0)
   + IFERROR(VLOOKUP($S502,Kerumitan!A:B,2,FALSE),0),
IF($M502="PER-LUBANG",
   ($P502 * $L502 * $K502)
   + IFERROR(VLOOKUP($R502,Finishing!A:B,2,FALSE),0)
   + IFERROR(VLOOKUP($S502,Kerumitan!A:B,2,FALSE),0),
IF($M502="PER-M",
   ($O502 * $J502 * $K502)
   + IFERROR(VLOOKUP($R502,Finishing!A:B,2,FALSE),0)
   + IFERROR(VLOOKUP($S502,Kerumitan!A:B,2,FALSE),0),
0)))</f>
        <v>13500000</v>
      </c>
    </row>
  </sheetData>
  <phoneticPr fontId="3" type="noConversion"/>
  <conditionalFormatting sqref="B320:B358">
    <cfRule type="duplicateValues" dxfId="0" priority="1"/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topLeftCell="A17" workbookViewId="0">
      <selection activeCell="G34" sqref="G34"/>
    </sheetView>
  </sheetViews>
  <sheetFormatPr defaultRowHeight="14.25" x14ac:dyDescent="0.45"/>
  <cols>
    <col min="1" max="1" width="13.86328125" bestFit="1" customWidth="1"/>
    <col min="2" max="2" width="14.86328125" customWidth="1"/>
    <col min="3" max="3" width="25.6640625" customWidth="1"/>
    <col min="4" max="4" width="24.59765625" bestFit="1" customWidth="1"/>
    <col min="5" max="5" width="24.59765625" customWidth="1"/>
    <col min="6" max="6" width="18.796875" bestFit="1" customWidth="1"/>
  </cols>
  <sheetData>
    <row r="1" spans="1:6" x14ac:dyDescent="0.45">
      <c r="A1" s="2" t="s">
        <v>620</v>
      </c>
      <c r="B1" s="2" t="s">
        <v>621</v>
      </c>
      <c r="C1" s="2" t="s">
        <v>622</v>
      </c>
      <c r="D1" s="2" t="s">
        <v>623</v>
      </c>
      <c r="E1" s="2" t="s">
        <v>624</v>
      </c>
      <c r="F1" s="2" t="s">
        <v>619</v>
      </c>
    </row>
    <row r="2" spans="1:6" x14ac:dyDescent="0.45">
      <c r="A2" s="3" t="s">
        <v>4</v>
      </c>
      <c r="B2" s="3">
        <v>2019</v>
      </c>
      <c r="C2" s="3">
        <v>500000</v>
      </c>
      <c r="D2" s="3">
        <v>1000000</v>
      </c>
      <c r="E2" s="3">
        <v>850000</v>
      </c>
      <c r="F2" t="str">
        <f>TRIM(A2) &amp; "|" &amp; TRIM(B2)</f>
        <v>Pagar|2019</v>
      </c>
    </row>
    <row r="3" spans="1:6" x14ac:dyDescent="0.45">
      <c r="A3" s="3" t="s">
        <v>4</v>
      </c>
      <c r="B3" s="3">
        <v>2020</v>
      </c>
      <c r="C3" s="3">
        <v>500000</v>
      </c>
      <c r="D3" s="3">
        <v>1050000</v>
      </c>
      <c r="E3" s="3">
        <v>880000</v>
      </c>
      <c r="F3" t="str">
        <f t="shared" ref="F3:F43" si="0">TRIM(A3) &amp; "|" &amp; TRIM(B3)</f>
        <v>Pagar|2020</v>
      </c>
    </row>
    <row r="4" spans="1:6" x14ac:dyDescent="0.45">
      <c r="A4" s="3" t="s">
        <v>4</v>
      </c>
      <c r="B4" s="3">
        <v>2021</v>
      </c>
      <c r="C4" s="3">
        <v>500000</v>
      </c>
      <c r="D4" s="3">
        <v>1100000</v>
      </c>
      <c r="E4" s="3">
        <v>900000</v>
      </c>
      <c r="F4" t="str">
        <f t="shared" si="0"/>
        <v>Pagar|2021</v>
      </c>
    </row>
    <row r="5" spans="1:6" x14ac:dyDescent="0.45">
      <c r="A5" s="3" t="s">
        <v>4</v>
      </c>
      <c r="B5" s="3">
        <v>2022</v>
      </c>
      <c r="C5" s="3">
        <v>530000</v>
      </c>
      <c r="D5" s="3">
        <v>1130000</v>
      </c>
      <c r="E5" s="3">
        <v>920000</v>
      </c>
      <c r="F5" t="str">
        <f t="shared" si="0"/>
        <v>Pagar|2022</v>
      </c>
    </row>
    <row r="6" spans="1:6" x14ac:dyDescent="0.45">
      <c r="A6" s="3" t="s">
        <v>4</v>
      </c>
      <c r="B6" s="3">
        <v>2023</v>
      </c>
      <c r="C6" s="3">
        <v>550000</v>
      </c>
      <c r="D6" s="3">
        <v>1150000</v>
      </c>
      <c r="E6" s="3">
        <v>940000</v>
      </c>
      <c r="F6" t="str">
        <f t="shared" si="0"/>
        <v>Pagar|2023</v>
      </c>
    </row>
    <row r="7" spans="1:6" x14ac:dyDescent="0.45">
      <c r="A7" s="3" t="s">
        <v>4</v>
      </c>
      <c r="B7" s="3">
        <v>2024</v>
      </c>
      <c r="C7" s="3">
        <v>550000</v>
      </c>
      <c r="D7" s="3">
        <v>1180000</v>
      </c>
      <c r="E7" s="3">
        <v>960000</v>
      </c>
      <c r="F7" t="str">
        <f t="shared" si="0"/>
        <v>Pagar|2024</v>
      </c>
    </row>
    <row r="8" spans="1:6" x14ac:dyDescent="0.45">
      <c r="A8" s="3" t="s">
        <v>4</v>
      </c>
      <c r="B8" s="3">
        <v>2025</v>
      </c>
      <c r="C8" s="3">
        <v>600000</v>
      </c>
      <c r="D8" s="3">
        <v>1200000</v>
      </c>
      <c r="E8" s="3">
        <v>1000000</v>
      </c>
      <c r="F8" t="str">
        <f t="shared" si="0"/>
        <v>Pagar|2025</v>
      </c>
    </row>
    <row r="9" spans="1:6" x14ac:dyDescent="0.45">
      <c r="A9" s="3" t="s">
        <v>6</v>
      </c>
      <c r="B9" s="3">
        <v>2019</v>
      </c>
      <c r="C9" s="3">
        <v>350000</v>
      </c>
      <c r="D9" s="3">
        <v>650000</v>
      </c>
      <c r="E9" s="3">
        <v>600000</v>
      </c>
      <c r="F9" t="str">
        <f t="shared" si="0"/>
        <v>Kanopi|2019</v>
      </c>
    </row>
    <row r="10" spans="1:6" x14ac:dyDescent="0.45">
      <c r="A10" s="3" t="s">
        <v>6</v>
      </c>
      <c r="B10" s="3">
        <v>2020</v>
      </c>
      <c r="C10" s="3">
        <v>350000</v>
      </c>
      <c r="D10" s="3">
        <v>700000</v>
      </c>
      <c r="E10" s="3">
        <v>630000</v>
      </c>
      <c r="F10" t="str">
        <f t="shared" si="0"/>
        <v>Kanopi|2020</v>
      </c>
    </row>
    <row r="11" spans="1:6" x14ac:dyDescent="0.45">
      <c r="A11" s="3" t="s">
        <v>6</v>
      </c>
      <c r="B11" s="3">
        <v>2021</v>
      </c>
      <c r="C11" s="3">
        <v>350000</v>
      </c>
      <c r="D11" s="3">
        <v>750000</v>
      </c>
      <c r="E11" s="3">
        <v>660000</v>
      </c>
      <c r="F11" t="str">
        <f t="shared" si="0"/>
        <v>Kanopi|2021</v>
      </c>
    </row>
    <row r="12" spans="1:6" x14ac:dyDescent="0.45">
      <c r="A12" s="3" t="s">
        <v>6</v>
      </c>
      <c r="B12" s="3">
        <v>2022</v>
      </c>
      <c r="C12" s="3">
        <v>350000</v>
      </c>
      <c r="D12" s="3">
        <v>780000</v>
      </c>
      <c r="E12" s="3">
        <v>680000</v>
      </c>
      <c r="F12" t="str">
        <f t="shared" si="0"/>
        <v>Kanopi|2022</v>
      </c>
    </row>
    <row r="13" spans="1:6" x14ac:dyDescent="0.45">
      <c r="A13" s="3" t="s">
        <v>6</v>
      </c>
      <c r="B13" s="3">
        <v>2023</v>
      </c>
      <c r="C13" s="3">
        <v>420000</v>
      </c>
      <c r="D13" s="3">
        <v>800000</v>
      </c>
      <c r="E13" s="3">
        <v>700000</v>
      </c>
      <c r="F13" t="str">
        <f t="shared" si="0"/>
        <v>Kanopi|2023</v>
      </c>
    </row>
    <row r="14" spans="1:6" x14ac:dyDescent="0.45">
      <c r="A14" s="3" t="s">
        <v>6</v>
      </c>
      <c r="B14" s="3">
        <v>2024</v>
      </c>
      <c r="C14" s="3">
        <v>450000</v>
      </c>
      <c r="D14" s="3">
        <v>800000</v>
      </c>
      <c r="E14" s="3">
        <v>700000</v>
      </c>
      <c r="F14" t="str">
        <f t="shared" si="0"/>
        <v>Kanopi|2024</v>
      </c>
    </row>
    <row r="15" spans="1:6" x14ac:dyDescent="0.45">
      <c r="A15" s="3" t="s">
        <v>6</v>
      </c>
      <c r="B15" s="3">
        <v>2025</v>
      </c>
      <c r="C15" s="3">
        <v>450000</v>
      </c>
      <c r="D15" s="3">
        <v>800000</v>
      </c>
      <c r="E15" s="3">
        <v>700000</v>
      </c>
      <c r="F15" t="str">
        <f t="shared" si="0"/>
        <v>Kanopi|2025</v>
      </c>
    </row>
    <row r="16" spans="1:6" x14ac:dyDescent="0.45">
      <c r="A16" s="3" t="s">
        <v>7</v>
      </c>
      <c r="B16" s="3">
        <v>2019</v>
      </c>
      <c r="C16" s="3">
        <v>550000</v>
      </c>
      <c r="D16" s="3">
        <v>1100000</v>
      </c>
      <c r="E16" s="3">
        <v>950000</v>
      </c>
      <c r="F16" t="str">
        <f t="shared" si="0"/>
        <v>Pintu Gerbang|2019</v>
      </c>
    </row>
    <row r="17" spans="1:6" x14ac:dyDescent="0.45">
      <c r="A17" s="3" t="s">
        <v>7</v>
      </c>
      <c r="B17" s="3">
        <v>2020</v>
      </c>
      <c r="C17" s="3">
        <v>600000</v>
      </c>
      <c r="D17" s="3">
        <v>1150000</v>
      </c>
      <c r="E17" s="3">
        <v>1000000</v>
      </c>
      <c r="F17" t="str">
        <f t="shared" si="0"/>
        <v>Pintu Gerbang|2020</v>
      </c>
    </row>
    <row r="18" spans="1:6" x14ac:dyDescent="0.45">
      <c r="A18" s="3" t="s">
        <v>7</v>
      </c>
      <c r="B18" s="3">
        <v>2021</v>
      </c>
      <c r="C18" s="3">
        <v>600000</v>
      </c>
      <c r="D18" s="3">
        <v>1200000</v>
      </c>
      <c r="E18" s="3">
        <v>1050000</v>
      </c>
      <c r="F18" t="str">
        <f t="shared" si="0"/>
        <v>Pintu Gerbang|2021</v>
      </c>
    </row>
    <row r="19" spans="1:6" x14ac:dyDescent="0.45">
      <c r="A19" s="3" t="s">
        <v>7</v>
      </c>
      <c r="B19" s="3">
        <v>2022</v>
      </c>
      <c r="C19" s="3">
        <v>650000</v>
      </c>
      <c r="D19" s="3">
        <v>1250000</v>
      </c>
      <c r="E19" s="3">
        <v>1100000</v>
      </c>
      <c r="F19" t="str">
        <f t="shared" si="0"/>
        <v>Pintu Gerbang|2022</v>
      </c>
    </row>
    <row r="20" spans="1:6" x14ac:dyDescent="0.45">
      <c r="A20" s="3" t="s">
        <v>7</v>
      </c>
      <c r="B20" s="3">
        <v>2023</v>
      </c>
      <c r="C20" s="3">
        <v>700000</v>
      </c>
      <c r="D20" s="3">
        <v>1300000</v>
      </c>
      <c r="E20" s="3">
        <v>1150000</v>
      </c>
      <c r="F20" t="str">
        <f t="shared" si="0"/>
        <v>Pintu Gerbang|2023</v>
      </c>
    </row>
    <row r="21" spans="1:6" x14ac:dyDescent="0.45">
      <c r="A21" s="3" t="s">
        <v>7</v>
      </c>
      <c r="B21" s="3">
        <v>2024</v>
      </c>
      <c r="C21" s="3">
        <v>750000</v>
      </c>
      <c r="D21" s="3">
        <v>1420000</v>
      </c>
      <c r="E21" s="3">
        <v>1180000</v>
      </c>
      <c r="F21" t="str">
        <f t="shared" si="0"/>
        <v>Pintu Gerbang|2024</v>
      </c>
    </row>
    <row r="22" spans="1:6" x14ac:dyDescent="0.45">
      <c r="A22" s="3" t="s">
        <v>7</v>
      </c>
      <c r="B22" s="3">
        <v>2025</v>
      </c>
      <c r="C22" s="3">
        <v>750000</v>
      </c>
      <c r="D22" s="3">
        <v>1500000</v>
      </c>
      <c r="E22" s="3">
        <v>1200000</v>
      </c>
      <c r="F22" t="str">
        <f t="shared" si="0"/>
        <v>Pintu Gerbang|2025</v>
      </c>
    </row>
    <row r="23" spans="1:6" x14ac:dyDescent="0.45">
      <c r="A23" s="3" t="s">
        <v>8</v>
      </c>
      <c r="B23" s="3">
        <v>2019</v>
      </c>
      <c r="C23" s="3">
        <v>300000</v>
      </c>
      <c r="D23" s="3">
        <v>650000</v>
      </c>
      <c r="E23" s="3">
        <v>600000</v>
      </c>
      <c r="F23" t="str">
        <f t="shared" si="0"/>
        <v>Teralis|2019</v>
      </c>
    </row>
    <row r="24" spans="1:6" x14ac:dyDescent="0.45">
      <c r="A24" s="3" t="s">
        <v>8</v>
      </c>
      <c r="B24" s="3">
        <v>2020</v>
      </c>
      <c r="C24" s="3">
        <v>300000</v>
      </c>
      <c r="D24" s="3">
        <v>700000</v>
      </c>
      <c r="E24" s="3">
        <v>620000</v>
      </c>
      <c r="F24" t="str">
        <f t="shared" si="0"/>
        <v>Teralis|2020</v>
      </c>
    </row>
    <row r="25" spans="1:6" x14ac:dyDescent="0.45">
      <c r="A25" s="3" t="s">
        <v>8</v>
      </c>
      <c r="B25" s="3">
        <v>2021</v>
      </c>
      <c r="C25" s="3">
        <v>300000</v>
      </c>
      <c r="D25" s="3">
        <v>750000</v>
      </c>
      <c r="E25" s="3">
        <v>640000</v>
      </c>
      <c r="F25" t="str">
        <f t="shared" si="0"/>
        <v>Teralis|2021</v>
      </c>
    </row>
    <row r="26" spans="1:6" x14ac:dyDescent="0.45">
      <c r="A26" s="3" t="s">
        <v>8</v>
      </c>
      <c r="B26" s="3">
        <v>2022</v>
      </c>
      <c r="C26" s="3">
        <v>300000</v>
      </c>
      <c r="D26" s="3">
        <v>780000</v>
      </c>
      <c r="E26" s="3">
        <v>660000</v>
      </c>
      <c r="F26" t="str">
        <f t="shared" si="0"/>
        <v>Teralis|2022</v>
      </c>
    </row>
    <row r="27" spans="1:6" x14ac:dyDescent="0.45">
      <c r="A27" s="3" t="s">
        <v>8</v>
      </c>
      <c r="B27" s="3">
        <v>2023</v>
      </c>
      <c r="C27" s="3">
        <v>350000</v>
      </c>
      <c r="D27" s="3">
        <v>800000</v>
      </c>
      <c r="E27" s="3">
        <v>680000</v>
      </c>
      <c r="F27" t="str">
        <f t="shared" si="0"/>
        <v>Teralis|2023</v>
      </c>
    </row>
    <row r="28" spans="1:6" x14ac:dyDescent="0.45">
      <c r="A28" s="3" t="s">
        <v>8</v>
      </c>
      <c r="B28" s="3">
        <v>2024</v>
      </c>
      <c r="C28" s="3">
        <v>350000</v>
      </c>
      <c r="D28" s="3">
        <v>800000</v>
      </c>
      <c r="E28" s="3">
        <v>700000</v>
      </c>
      <c r="F28" t="str">
        <f t="shared" si="0"/>
        <v>Teralis|2024</v>
      </c>
    </row>
    <row r="29" spans="1:6" x14ac:dyDescent="0.45">
      <c r="A29" s="3" t="s">
        <v>8</v>
      </c>
      <c r="B29" s="3">
        <v>2025</v>
      </c>
      <c r="C29" s="3">
        <v>350000</v>
      </c>
      <c r="D29" s="3">
        <v>800000</v>
      </c>
      <c r="E29" s="3">
        <v>700000</v>
      </c>
      <c r="F29" t="str">
        <f t="shared" si="0"/>
        <v>Teralis|2025</v>
      </c>
    </row>
    <row r="30" spans="1:6" x14ac:dyDescent="0.45">
      <c r="A30" s="3" t="s">
        <v>625</v>
      </c>
      <c r="B30" s="3">
        <v>2019</v>
      </c>
      <c r="C30" s="3">
        <v>400000</v>
      </c>
      <c r="D30" s="3">
        <v>1000000</v>
      </c>
      <c r="E30" s="3">
        <v>850000</v>
      </c>
      <c r="F30" t="str">
        <f t="shared" si="0"/>
        <v>Railing|2019</v>
      </c>
    </row>
    <row r="31" spans="1:6" x14ac:dyDescent="0.45">
      <c r="A31" s="3" t="s">
        <v>625</v>
      </c>
      <c r="B31" s="3">
        <v>2020</v>
      </c>
      <c r="C31" s="3">
        <v>400000</v>
      </c>
      <c r="D31" s="3">
        <v>1050000</v>
      </c>
      <c r="E31" s="3">
        <v>880000</v>
      </c>
      <c r="F31" t="str">
        <f t="shared" si="0"/>
        <v>Railing|2020</v>
      </c>
    </row>
    <row r="32" spans="1:6" x14ac:dyDescent="0.45">
      <c r="A32" s="3" t="s">
        <v>625</v>
      </c>
      <c r="B32" s="3">
        <v>2021</v>
      </c>
      <c r="C32" s="3">
        <v>450000</v>
      </c>
      <c r="D32" s="3">
        <v>1100000</v>
      </c>
      <c r="E32" s="3">
        <v>900000</v>
      </c>
      <c r="F32" t="str">
        <f t="shared" si="0"/>
        <v>Railing|2021</v>
      </c>
    </row>
    <row r="33" spans="1:6" x14ac:dyDescent="0.45">
      <c r="A33" s="3" t="s">
        <v>625</v>
      </c>
      <c r="B33" s="3">
        <v>2022</v>
      </c>
      <c r="C33" s="3">
        <v>450000</v>
      </c>
      <c r="D33" s="3">
        <v>1120000</v>
      </c>
      <c r="E33" s="3">
        <v>920000</v>
      </c>
      <c r="F33" t="str">
        <f t="shared" si="0"/>
        <v>Railing|2022</v>
      </c>
    </row>
    <row r="34" spans="1:6" x14ac:dyDescent="0.45">
      <c r="A34" s="3" t="s">
        <v>625</v>
      </c>
      <c r="B34" s="3">
        <v>2023</v>
      </c>
      <c r="C34" s="3">
        <v>500000</v>
      </c>
      <c r="D34" s="3">
        <v>1150000</v>
      </c>
      <c r="E34" s="3">
        <v>950000</v>
      </c>
      <c r="F34" t="str">
        <f t="shared" si="0"/>
        <v>Railing|2023</v>
      </c>
    </row>
    <row r="35" spans="1:6" x14ac:dyDescent="0.45">
      <c r="A35" s="3" t="s">
        <v>625</v>
      </c>
      <c r="B35" s="3">
        <v>2024</v>
      </c>
      <c r="C35" s="3">
        <v>500000</v>
      </c>
      <c r="D35" s="3">
        <v>1180000</v>
      </c>
      <c r="E35" s="3">
        <v>1000000</v>
      </c>
      <c r="F35" t="str">
        <f t="shared" si="0"/>
        <v>Railing|2024</v>
      </c>
    </row>
    <row r="36" spans="1:6" x14ac:dyDescent="0.45">
      <c r="A36" s="3" t="s">
        <v>625</v>
      </c>
      <c r="B36" s="3">
        <v>2025</v>
      </c>
      <c r="C36" s="3">
        <v>500000</v>
      </c>
      <c r="D36" s="3">
        <v>1200000</v>
      </c>
      <c r="E36" s="3">
        <v>1000000</v>
      </c>
      <c r="F36" t="str">
        <f t="shared" si="0"/>
        <v>Railing|2025</v>
      </c>
    </row>
    <row r="37" spans="1:6" x14ac:dyDescent="0.45">
      <c r="A37" s="3" t="s">
        <v>10</v>
      </c>
      <c r="B37" s="3">
        <v>2019</v>
      </c>
      <c r="C37" s="3">
        <v>750000</v>
      </c>
      <c r="D37" s="3">
        <v>1300000</v>
      </c>
      <c r="E37" s="3">
        <v>1200000</v>
      </c>
      <c r="F37" t="str">
        <f t="shared" si="0"/>
        <v>Pintu Handerson|2019</v>
      </c>
    </row>
    <row r="38" spans="1:6" x14ac:dyDescent="0.45">
      <c r="A38" s="3" t="s">
        <v>10</v>
      </c>
      <c r="B38" s="3">
        <v>2020</v>
      </c>
      <c r="C38" s="3">
        <v>800000</v>
      </c>
      <c r="D38" s="3">
        <v>1350000</v>
      </c>
      <c r="E38" s="3">
        <v>1250000</v>
      </c>
      <c r="F38" t="str">
        <f t="shared" si="0"/>
        <v>Pintu Handerson|2020</v>
      </c>
    </row>
    <row r="39" spans="1:6" x14ac:dyDescent="0.45">
      <c r="A39" s="3" t="s">
        <v>10</v>
      </c>
      <c r="B39" s="3">
        <v>2021</v>
      </c>
      <c r="C39" s="3">
        <v>800000</v>
      </c>
      <c r="D39" s="3">
        <v>1420000</v>
      </c>
      <c r="E39" s="3">
        <v>1300000</v>
      </c>
      <c r="F39" t="str">
        <f t="shared" si="0"/>
        <v>Pintu Handerson|2021</v>
      </c>
    </row>
    <row r="40" spans="1:6" x14ac:dyDescent="0.45">
      <c r="A40" s="3" t="s">
        <v>10</v>
      </c>
      <c r="B40" s="3">
        <v>2022</v>
      </c>
      <c r="C40" s="3">
        <v>800000</v>
      </c>
      <c r="D40" s="3">
        <v>1460000</v>
      </c>
      <c r="E40" s="3">
        <v>1350000</v>
      </c>
      <c r="F40" t="str">
        <f t="shared" si="0"/>
        <v>Pintu Handerson|2022</v>
      </c>
    </row>
    <row r="41" spans="1:6" x14ac:dyDescent="0.45">
      <c r="A41" s="3" t="s">
        <v>10</v>
      </c>
      <c r="B41" s="3">
        <v>2023</v>
      </c>
      <c r="C41" s="3">
        <v>850000</v>
      </c>
      <c r="D41" s="3">
        <v>1500000</v>
      </c>
      <c r="E41" s="3">
        <v>1400000</v>
      </c>
      <c r="F41" t="str">
        <f t="shared" si="0"/>
        <v>Pintu Handerson|2023</v>
      </c>
    </row>
    <row r="42" spans="1:6" x14ac:dyDescent="0.45">
      <c r="A42" s="3" t="s">
        <v>10</v>
      </c>
      <c r="B42" s="3">
        <v>2024</v>
      </c>
      <c r="C42" s="3">
        <v>900000</v>
      </c>
      <c r="D42" s="3">
        <v>1600000</v>
      </c>
      <c r="E42" s="3">
        <v>1450000</v>
      </c>
      <c r="F42" t="str">
        <f t="shared" si="0"/>
        <v>Pintu Handerson|2024</v>
      </c>
    </row>
    <row r="43" spans="1:6" x14ac:dyDescent="0.45">
      <c r="A43" s="3" t="s">
        <v>10</v>
      </c>
      <c r="B43" s="3">
        <v>2025</v>
      </c>
      <c r="C43" s="3">
        <v>900000</v>
      </c>
      <c r="D43" s="3">
        <v>1700000</v>
      </c>
      <c r="E43" s="3">
        <v>1500000</v>
      </c>
      <c r="F43" t="str">
        <f t="shared" si="0"/>
        <v>Pintu Handerson|2025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A6DA6-08E0-491C-8A39-39CDE8E09B72}">
  <dimension ref="A1:B4"/>
  <sheetViews>
    <sheetView workbookViewId="0">
      <selection activeCell="I11" sqref="I11"/>
    </sheetView>
  </sheetViews>
  <sheetFormatPr defaultRowHeight="14.25" x14ac:dyDescent="0.45"/>
  <cols>
    <col min="1" max="1" width="17.265625" customWidth="1"/>
    <col min="2" max="2" width="15.53125" customWidth="1"/>
  </cols>
  <sheetData>
    <row r="1" spans="1:2" ht="42.75" x14ac:dyDescent="0.45">
      <c r="A1" s="2" t="s">
        <v>603</v>
      </c>
      <c r="B1" s="2" t="s">
        <v>602</v>
      </c>
    </row>
    <row r="2" spans="1:2" x14ac:dyDescent="0.45">
      <c r="A2" s="3">
        <v>0.8</v>
      </c>
      <c r="B2" s="3">
        <v>0</v>
      </c>
    </row>
    <row r="3" spans="1:2" x14ac:dyDescent="0.45">
      <c r="A3" s="3">
        <v>1</v>
      </c>
      <c r="B3" s="3">
        <v>50000</v>
      </c>
    </row>
    <row r="4" spans="1:2" x14ac:dyDescent="0.45">
      <c r="A4" s="3">
        <v>1.2</v>
      </c>
      <c r="B4" s="3">
        <v>100000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448F-E32D-4CDE-BFF7-F2D3ED248789}">
  <dimension ref="A1:B9"/>
  <sheetViews>
    <sheetView workbookViewId="0">
      <selection activeCell="C14" sqref="C14"/>
    </sheetView>
  </sheetViews>
  <sheetFormatPr defaultRowHeight="14.25" x14ac:dyDescent="0.45"/>
  <cols>
    <col min="1" max="1" width="15.46484375" customWidth="1"/>
    <col min="2" max="2" width="21.53125" customWidth="1"/>
  </cols>
  <sheetData>
    <row r="1" spans="1:2" x14ac:dyDescent="0.45">
      <c r="A1" s="2" t="s">
        <v>1</v>
      </c>
      <c r="B1" s="2" t="s">
        <v>602</v>
      </c>
    </row>
    <row r="2" spans="1:2" x14ac:dyDescent="0.45">
      <c r="A2" t="s">
        <v>29</v>
      </c>
      <c r="B2">
        <v>50000</v>
      </c>
    </row>
    <row r="3" spans="1:2" x14ac:dyDescent="0.45">
      <c r="A3" s="3" t="s">
        <v>33</v>
      </c>
      <c r="B3" s="3">
        <v>0</v>
      </c>
    </row>
    <row r="4" spans="1:2" x14ac:dyDescent="0.45">
      <c r="A4" s="3" t="s">
        <v>46</v>
      </c>
      <c r="B4" s="3">
        <v>50000</v>
      </c>
    </row>
    <row r="5" spans="1:2" x14ac:dyDescent="0.45">
      <c r="A5" s="3" t="s">
        <v>35</v>
      </c>
      <c r="B5" s="3">
        <v>100000</v>
      </c>
    </row>
    <row r="6" spans="1:2" x14ac:dyDescent="0.45">
      <c r="A6" s="3" t="s">
        <v>611</v>
      </c>
      <c r="B6" s="3">
        <v>0</v>
      </c>
    </row>
    <row r="7" spans="1:2" x14ac:dyDescent="0.45">
      <c r="A7" s="3" t="s">
        <v>612</v>
      </c>
      <c r="B7" s="3">
        <v>0</v>
      </c>
    </row>
    <row r="8" spans="1:2" x14ac:dyDescent="0.45">
      <c r="A8" s="3" t="s">
        <v>614</v>
      </c>
      <c r="B8" s="3">
        <v>0</v>
      </c>
    </row>
    <row r="9" spans="1:2" x14ac:dyDescent="0.45">
      <c r="A9" s="3" t="s">
        <v>615</v>
      </c>
      <c r="B9" s="3">
        <v>100000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5B11-01CC-4A89-A47A-22C30C32DB1F}">
  <dimension ref="A1:E10"/>
  <sheetViews>
    <sheetView workbookViewId="0">
      <selection activeCell="E10" sqref="E10"/>
    </sheetView>
  </sheetViews>
  <sheetFormatPr defaultRowHeight="14.25" x14ac:dyDescent="0.45"/>
  <cols>
    <col min="1" max="1" width="13.265625" customWidth="1"/>
    <col min="2" max="2" width="15.1328125" customWidth="1"/>
    <col min="3" max="3" width="14" customWidth="1"/>
    <col min="4" max="4" width="17" customWidth="1"/>
    <col min="5" max="5" width="12.3984375" customWidth="1"/>
  </cols>
  <sheetData>
    <row r="1" spans="1:5" ht="28.5" x14ac:dyDescent="0.45">
      <c r="A1" s="2" t="s">
        <v>2</v>
      </c>
      <c r="B1" s="2" t="s">
        <v>0</v>
      </c>
      <c r="C1" s="2" t="s">
        <v>604</v>
      </c>
      <c r="D1" s="2" t="s">
        <v>605</v>
      </c>
      <c r="E1" s="2" t="s">
        <v>626</v>
      </c>
    </row>
    <row r="2" spans="1:5" x14ac:dyDescent="0.45">
      <c r="A2" s="3" t="s">
        <v>5</v>
      </c>
      <c r="B2" s="3" t="s">
        <v>13</v>
      </c>
      <c r="C2" s="3">
        <v>100000</v>
      </c>
      <c r="D2" s="3" t="s">
        <v>606</v>
      </c>
      <c r="E2" s="3" t="s">
        <v>606</v>
      </c>
    </row>
    <row r="3" spans="1:5" x14ac:dyDescent="0.45">
      <c r="A3" s="3" t="s">
        <v>5</v>
      </c>
      <c r="B3" s="3" t="s">
        <v>15</v>
      </c>
      <c r="C3" s="3">
        <v>150000</v>
      </c>
      <c r="D3" s="3" t="s">
        <v>606</v>
      </c>
      <c r="E3" s="3" t="s">
        <v>606</v>
      </c>
    </row>
    <row r="4" spans="1:5" x14ac:dyDescent="0.45">
      <c r="A4" s="3" t="s">
        <v>5</v>
      </c>
      <c r="B4" s="3" t="s">
        <v>14</v>
      </c>
      <c r="C4" s="3">
        <v>200000</v>
      </c>
      <c r="D4" s="3" t="s">
        <v>606</v>
      </c>
      <c r="E4" s="3" t="s">
        <v>606</v>
      </c>
    </row>
    <row r="5" spans="1:5" x14ac:dyDescent="0.45">
      <c r="A5" s="3" t="s">
        <v>9</v>
      </c>
      <c r="B5" s="3" t="s">
        <v>13</v>
      </c>
      <c r="C5" s="3" t="s">
        <v>606</v>
      </c>
      <c r="D5" s="3">
        <v>75000</v>
      </c>
      <c r="E5" s="3" t="s">
        <v>606</v>
      </c>
    </row>
    <row r="6" spans="1:5" x14ac:dyDescent="0.45">
      <c r="A6" s="3" t="s">
        <v>9</v>
      </c>
      <c r="B6" s="3" t="s">
        <v>15</v>
      </c>
      <c r="C6" s="3" t="s">
        <v>606</v>
      </c>
      <c r="D6" s="3">
        <v>150000</v>
      </c>
      <c r="E6" s="3" t="s">
        <v>606</v>
      </c>
    </row>
    <row r="7" spans="1:5" x14ac:dyDescent="0.45">
      <c r="A7" s="3" t="s">
        <v>9</v>
      </c>
      <c r="B7" s="3" t="s">
        <v>14</v>
      </c>
      <c r="C7" s="3" t="s">
        <v>606</v>
      </c>
      <c r="D7" s="3">
        <v>150000</v>
      </c>
      <c r="E7" s="3" t="s">
        <v>606</v>
      </c>
    </row>
    <row r="8" spans="1:5" x14ac:dyDescent="0.45">
      <c r="A8" s="3" t="s">
        <v>627</v>
      </c>
      <c r="B8" s="3" t="s">
        <v>13</v>
      </c>
      <c r="C8" s="3" t="s">
        <v>606</v>
      </c>
      <c r="D8" s="3" t="s">
        <v>606</v>
      </c>
      <c r="E8" s="3">
        <v>100000</v>
      </c>
    </row>
    <row r="9" spans="1:5" x14ac:dyDescent="0.45">
      <c r="A9" s="3" t="s">
        <v>627</v>
      </c>
      <c r="B9" s="3" t="s">
        <v>15</v>
      </c>
      <c r="C9" s="3" t="s">
        <v>606</v>
      </c>
      <c r="D9" s="3" t="s">
        <v>606</v>
      </c>
      <c r="E9" s="3">
        <v>150000</v>
      </c>
    </row>
    <row r="10" spans="1:5" x14ac:dyDescent="0.45">
      <c r="A10" s="3" t="s">
        <v>627</v>
      </c>
      <c r="B10" s="3" t="s">
        <v>14</v>
      </c>
      <c r="C10" s="3" t="s">
        <v>606</v>
      </c>
      <c r="D10" s="3" t="s">
        <v>606</v>
      </c>
      <c r="E10" s="3">
        <v>200000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81B9-F215-4D1F-A962-1DCC577163D4}">
  <dimension ref="A1:B5"/>
  <sheetViews>
    <sheetView workbookViewId="0">
      <selection activeCell="B4" sqref="B4"/>
    </sheetView>
  </sheetViews>
  <sheetFormatPr defaultRowHeight="14.25" x14ac:dyDescent="0.45"/>
  <sheetData>
    <row r="1" spans="1:2" ht="42.75" x14ac:dyDescent="0.45">
      <c r="A1" s="2" t="s">
        <v>3</v>
      </c>
      <c r="B1" s="2" t="s">
        <v>607</v>
      </c>
    </row>
    <row r="2" spans="1:2" x14ac:dyDescent="0.45">
      <c r="A2" s="3" t="s">
        <v>18</v>
      </c>
      <c r="B2" s="3">
        <v>0</v>
      </c>
    </row>
    <row r="3" spans="1:2" x14ac:dyDescent="0.45">
      <c r="A3" s="3" t="s">
        <v>19</v>
      </c>
      <c r="B3" s="3">
        <v>50000</v>
      </c>
    </row>
    <row r="4" spans="1:2" x14ac:dyDescent="0.45">
      <c r="A4" s="3" t="s">
        <v>20</v>
      </c>
      <c r="B4" s="3">
        <v>150000</v>
      </c>
    </row>
    <row r="5" spans="1:2" x14ac:dyDescent="0.45">
      <c r="A5" s="3" t="s">
        <v>617</v>
      </c>
      <c r="B5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153F-8F4E-4788-B909-F31090E7A2A2}">
  <dimension ref="A1:B4"/>
  <sheetViews>
    <sheetView workbookViewId="0">
      <selection sqref="A1:B4"/>
    </sheetView>
  </sheetViews>
  <sheetFormatPr defaultRowHeight="14.25" x14ac:dyDescent="0.45"/>
  <sheetData>
    <row r="1" spans="1:2" ht="42.75" x14ac:dyDescent="0.45">
      <c r="A1" s="2" t="s">
        <v>608</v>
      </c>
      <c r="B1" s="2" t="s">
        <v>607</v>
      </c>
    </row>
    <row r="2" spans="1:2" x14ac:dyDescent="0.45">
      <c r="A2" s="3" t="s">
        <v>23</v>
      </c>
      <c r="B2" s="3">
        <v>0</v>
      </c>
    </row>
    <row r="3" spans="1:2" ht="28.5" x14ac:dyDescent="0.45">
      <c r="A3" s="3" t="s">
        <v>24</v>
      </c>
      <c r="B3" s="3">
        <v>100000</v>
      </c>
    </row>
    <row r="4" spans="1:2" x14ac:dyDescent="0.45">
      <c r="A4" s="3" t="s">
        <v>25</v>
      </c>
      <c r="B4" s="3">
        <v>150000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topLeftCell="A16" workbookViewId="0">
      <selection activeCell="G19" sqref="G19:G31"/>
    </sheetView>
  </sheetViews>
  <sheetFormatPr defaultRowHeight="14.25" x14ac:dyDescent="0.45"/>
  <cols>
    <col min="1" max="1" width="13.59765625" bestFit="1" customWidth="1"/>
    <col min="2" max="2" width="20.33203125" bestFit="1" customWidth="1"/>
  </cols>
  <sheetData>
    <row r="1" spans="1:2" x14ac:dyDescent="0.45">
      <c r="A1" t="s">
        <v>11</v>
      </c>
      <c r="B1" t="s">
        <v>12</v>
      </c>
    </row>
    <row r="2" spans="1:2" x14ac:dyDescent="0.45">
      <c r="A2" t="s">
        <v>13</v>
      </c>
      <c r="B2">
        <v>0</v>
      </c>
    </row>
    <row r="3" spans="1:2" x14ac:dyDescent="0.45">
      <c r="A3" t="s">
        <v>14</v>
      </c>
      <c r="B3">
        <v>200000</v>
      </c>
    </row>
    <row r="4" spans="1:2" x14ac:dyDescent="0.45">
      <c r="A4" t="s">
        <v>15</v>
      </c>
      <c r="B4">
        <v>150000</v>
      </c>
    </row>
    <row r="6" spans="1:2" x14ac:dyDescent="0.45">
      <c r="A6" t="s">
        <v>16</v>
      </c>
      <c r="B6" t="s">
        <v>17</v>
      </c>
    </row>
    <row r="7" spans="1:2" x14ac:dyDescent="0.45">
      <c r="A7" t="s">
        <v>18</v>
      </c>
      <c r="B7">
        <v>0</v>
      </c>
    </row>
    <row r="8" spans="1:2" x14ac:dyDescent="0.45">
      <c r="A8" t="s">
        <v>19</v>
      </c>
      <c r="B8">
        <v>100000</v>
      </c>
    </row>
    <row r="9" spans="1:2" x14ac:dyDescent="0.45">
      <c r="A9" t="s">
        <v>20</v>
      </c>
      <c r="B9">
        <v>150000</v>
      </c>
    </row>
    <row r="11" spans="1:2" x14ac:dyDescent="0.45">
      <c r="A11" t="s">
        <v>21</v>
      </c>
      <c r="B11" t="s">
        <v>22</v>
      </c>
    </row>
    <row r="12" spans="1:2" x14ac:dyDescent="0.45">
      <c r="A12" t="s">
        <v>23</v>
      </c>
      <c r="B12">
        <v>0</v>
      </c>
    </row>
    <row r="13" spans="1:2" x14ac:dyDescent="0.45">
      <c r="A13" t="s">
        <v>24</v>
      </c>
      <c r="B13">
        <v>100000</v>
      </c>
    </row>
    <row r="14" spans="1:2" x14ac:dyDescent="0.45">
      <c r="A14" t="s">
        <v>25</v>
      </c>
      <c r="B14">
        <v>150000</v>
      </c>
    </row>
    <row r="16" spans="1:2" ht="28.5" x14ac:dyDescent="0.45">
      <c r="A16" s="2" t="s">
        <v>600</v>
      </c>
      <c r="B16" s="2" t="s">
        <v>12</v>
      </c>
    </row>
    <row r="17" spans="1:2" x14ac:dyDescent="0.45">
      <c r="A17" s="3" t="s">
        <v>33</v>
      </c>
      <c r="B17" s="3">
        <v>0</v>
      </c>
    </row>
    <row r="18" spans="1:2" x14ac:dyDescent="0.45">
      <c r="A18" s="3" t="s">
        <v>46</v>
      </c>
      <c r="B18" s="3">
        <v>100000</v>
      </c>
    </row>
    <row r="19" spans="1:2" x14ac:dyDescent="0.45">
      <c r="A19" s="3" t="s">
        <v>35</v>
      </c>
      <c r="B19" s="3">
        <v>150000</v>
      </c>
    </row>
    <row r="22" spans="1:2" ht="28.5" x14ac:dyDescent="0.45">
      <c r="A22" s="2" t="s">
        <v>601</v>
      </c>
      <c r="B22" s="2" t="s">
        <v>12</v>
      </c>
    </row>
    <row r="23" spans="1:2" x14ac:dyDescent="0.45">
      <c r="A23" s="3">
        <v>0.8</v>
      </c>
      <c r="B23" s="3">
        <v>0</v>
      </c>
    </row>
    <row r="24" spans="1:2" x14ac:dyDescent="0.45">
      <c r="A24" s="3">
        <v>1</v>
      </c>
      <c r="B24" s="3">
        <v>100000</v>
      </c>
    </row>
    <row r="25" spans="1:2" x14ac:dyDescent="0.45">
      <c r="A25" s="3">
        <v>1.2</v>
      </c>
      <c r="B25" s="3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Order Bengkel</vt:lpstr>
      <vt:lpstr>Referensi Harga</vt:lpstr>
      <vt:lpstr>Ketebalan Material</vt:lpstr>
      <vt:lpstr>Profile Size</vt:lpstr>
      <vt:lpstr>Upah Tenaga Ahli</vt:lpstr>
      <vt:lpstr>Finishing</vt:lpstr>
      <vt:lpstr>Kerumitan</vt:lpstr>
      <vt:lpstr>Referensi Tambahan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MUHAMAD DIMAS NURZAKY</cp:lastModifiedBy>
  <dcterms:created xsi:type="dcterms:W3CDTF">2025-11-07T16:23:59Z</dcterms:created>
  <dcterms:modified xsi:type="dcterms:W3CDTF">2025-11-21T17:09:23Z</dcterms:modified>
</cp:coreProperties>
</file>